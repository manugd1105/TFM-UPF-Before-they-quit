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rlleida/Documents/TFM/"/>
    </mc:Choice>
  </mc:AlternateContent>
  <xr:revisionPtr revIDLastSave="0" documentId="13_ncr:1_{7035DB48-9131-9A4A-8D5D-EAA8BD50CDCD}" xr6:coauthVersionLast="47" xr6:coauthVersionMax="47" xr10:uidLastSave="{00000000-0000-0000-0000-000000000000}"/>
  <bookViews>
    <workbookView xWindow="0" yWindow="600" windowWidth="28800" windowHeight="15560" activeTab="1" xr2:uid="{00000000-000D-0000-FFFF-FFFF00000000}"/>
  </bookViews>
  <sheets>
    <sheet name="Feature dictionary" sheetId="1" r:id="rId1"/>
    <sheet name="Execution planner" sheetId="2" r:id="rId2"/>
    <sheet name="Dashboard" sheetId="3" r:id="rId3"/>
    <sheet name="Inputs &gt;&gt;&gt;" sheetId="4" r:id="rId4"/>
    <sheet name="General inputs" sheetId="5" r:id="rId5"/>
    <sheet name="Train prediction inputs" sheetId="6" r:id="rId6"/>
    <sheet name="Test prediction inputs" sheetId="7" r:id="rId7"/>
    <sheet name="Execution deepdive inputs" sheetId="8" r:id="rId8"/>
    <sheet name="Dropdowns" sheetId="9" r:id="rId9"/>
  </sheets>
  <definedNames>
    <definedName name="_xlnm._FilterDatabase" localSheetId="7" hidden="1">'Execution deepdive inputs'!$B$6:$AD$6</definedName>
    <definedName name="_xlnm._FilterDatabase" localSheetId="0" hidden="1">'Feature dictionary'!$B$6:$D$6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7" i="9" l="1"/>
  <c r="H307" i="9"/>
  <c r="L306" i="9"/>
  <c r="H306" i="9"/>
  <c r="L305" i="9"/>
  <c r="H305" i="9"/>
  <c r="L304" i="9"/>
  <c r="H304" i="9"/>
  <c r="L303" i="9"/>
  <c r="H303" i="9"/>
  <c r="L302" i="9"/>
  <c r="H302" i="9"/>
  <c r="L301" i="9"/>
  <c r="H301" i="9"/>
  <c r="L300" i="9"/>
  <c r="H300" i="9"/>
  <c r="L299" i="9"/>
  <c r="H299" i="9"/>
  <c r="L298" i="9"/>
  <c r="H298" i="9"/>
  <c r="L297" i="9"/>
  <c r="H297" i="9"/>
  <c r="L296" i="9"/>
  <c r="H296" i="9"/>
  <c r="L295" i="9"/>
  <c r="H295" i="9"/>
  <c r="L294" i="9"/>
  <c r="H294" i="9"/>
  <c r="L293" i="9"/>
  <c r="H293" i="9"/>
  <c r="L292" i="9"/>
  <c r="H292" i="9"/>
  <c r="L291" i="9"/>
  <c r="H291" i="9"/>
  <c r="L290" i="9"/>
  <c r="H290" i="9"/>
  <c r="L289" i="9"/>
  <c r="H289" i="9"/>
  <c r="L288" i="9"/>
  <c r="H288" i="9"/>
  <c r="L287" i="9"/>
  <c r="H287" i="9"/>
  <c r="L286" i="9"/>
  <c r="H286" i="9"/>
  <c r="L285" i="9"/>
  <c r="H285" i="9"/>
  <c r="L284" i="9"/>
  <c r="H284" i="9"/>
  <c r="L283" i="9"/>
  <c r="H283" i="9"/>
  <c r="L282" i="9"/>
  <c r="H282" i="9"/>
  <c r="L281" i="9"/>
  <c r="H281" i="9"/>
  <c r="L280" i="9"/>
  <c r="H280" i="9"/>
  <c r="L279" i="9"/>
  <c r="H279" i="9"/>
  <c r="L278" i="9"/>
  <c r="H278" i="9"/>
  <c r="L277" i="9"/>
  <c r="H277" i="9"/>
  <c r="L276" i="9"/>
  <c r="H276" i="9"/>
  <c r="L275" i="9"/>
  <c r="H275" i="9"/>
  <c r="L274" i="9"/>
  <c r="H274" i="9"/>
  <c r="L273" i="9"/>
  <c r="H273" i="9"/>
  <c r="L272" i="9"/>
  <c r="H272" i="9"/>
  <c r="L271" i="9"/>
  <c r="H271" i="9"/>
  <c r="L270" i="9"/>
  <c r="H270" i="9"/>
  <c r="L269" i="9"/>
  <c r="H269" i="9"/>
  <c r="L268" i="9"/>
  <c r="H268" i="9"/>
  <c r="L267" i="9"/>
  <c r="H267" i="9"/>
  <c r="L266" i="9"/>
  <c r="H266" i="9"/>
  <c r="L265" i="9"/>
  <c r="H265" i="9"/>
  <c r="L264" i="9"/>
  <c r="H264" i="9"/>
  <c r="L263" i="9"/>
  <c r="H263" i="9"/>
  <c r="L262" i="9"/>
  <c r="H262" i="9"/>
  <c r="L261" i="9"/>
  <c r="H261" i="9"/>
  <c r="L260" i="9"/>
  <c r="H260" i="9"/>
  <c r="L259" i="9"/>
  <c r="H259" i="9"/>
  <c r="L258" i="9"/>
  <c r="H258" i="9"/>
  <c r="L257" i="9"/>
  <c r="H257" i="9"/>
  <c r="L256" i="9"/>
  <c r="H256" i="9"/>
  <c r="L255" i="9"/>
  <c r="H255" i="9"/>
  <c r="L254" i="9"/>
  <c r="H254" i="9"/>
  <c r="L253" i="9"/>
  <c r="H253" i="9"/>
  <c r="L252" i="9"/>
  <c r="H252" i="9"/>
  <c r="L251" i="9"/>
  <c r="H251" i="9"/>
  <c r="L250" i="9"/>
  <c r="H250" i="9"/>
  <c r="L249" i="9"/>
  <c r="H249" i="9"/>
  <c r="L248" i="9"/>
  <c r="H248" i="9"/>
  <c r="L247" i="9"/>
  <c r="H247" i="9"/>
  <c r="L246" i="9"/>
  <c r="H246" i="9"/>
  <c r="L245" i="9"/>
  <c r="H245" i="9"/>
  <c r="L244" i="9"/>
  <c r="H244" i="9"/>
  <c r="L243" i="9"/>
  <c r="H243" i="9"/>
  <c r="L242" i="9"/>
  <c r="H242" i="9"/>
  <c r="L241" i="9"/>
  <c r="H241" i="9"/>
  <c r="L240" i="9"/>
  <c r="H240" i="9"/>
  <c r="L239" i="9"/>
  <c r="H239" i="9"/>
  <c r="L238" i="9"/>
  <c r="H238" i="9"/>
  <c r="L237" i="9"/>
  <c r="H237" i="9"/>
  <c r="L236" i="9"/>
  <c r="H236" i="9"/>
  <c r="L235" i="9"/>
  <c r="H235" i="9"/>
  <c r="L234" i="9"/>
  <c r="H234" i="9"/>
  <c r="L233" i="9"/>
  <c r="H233" i="9"/>
  <c r="L232" i="9"/>
  <c r="H232" i="9"/>
  <c r="L231" i="9"/>
  <c r="H231" i="9"/>
  <c r="L230" i="9"/>
  <c r="H230" i="9"/>
  <c r="L229" i="9"/>
  <c r="H229" i="9"/>
  <c r="L228" i="9"/>
  <c r="H228" i="9"/>
  <c r="L227" i="9"/>
  <c r="H227" i="9"/>
  <c r="L226" i="9"/>
  <c r="H226" i="9"/>
  <c r="L225" i="9"/>
  <c r="H225" i="9"/>
  <c r="L224" i="9"/>
  <c r="H224" i="9"/>
  <c r="L223" i="9"/>
  <c r="H223" i="9"/>
  <c r="L222" i="9"/>
  <c r="H222" i="9"/>
  <c r="L221" i="9"/>
  <c r="H221" i="9"/>
  <c r="L220" i="9"/>
  <c r="H220" i="9"/>
  <c r="L219" i="9"/>
  <c r="H219" i="9"/>
  <c r="L218" i="9"/>
  <c r="H218" i="9"/>
  <c r="L217" i="9"/>
  <c r="H217" i="9"/>
  <c r="L216" i="9"/>
  <c r="H216" i="9"/>
  <c r="L215" i="9"/>
  <c r="H215" i="9"/>
  <c r="L214" i="9"/>
  <c r="H214" i="9"/>
  <c r="L213" i="9"/>
  <c r="H213" i="9"/>
  <c r="L212" i="9"/>
  <c r="H212" i="9"/>
  <c r="L211" i="9"/>
  <c r="H211" i="9"/>
  <c r="L210" i="9"/>
  <c r="H210" i="9"/>
  <c r="L209" i="9"/>
  <c r="H209" i="9"/>
  <c r="L208" i="9"/>
  <c r="H208" i="9"/>
  <c r="L207" i="9"/>
  <c r="H207" i="9"/>
  <c r="L206" i="9"/>
  <c r="H206" i="9"/>
  <c r="L205" i="9"/>
  <c r="H205" i="9"/>
  <c r="L204" i="9"/>
  <c r="H204" i="9"/>
  <c r="L203" i="9"/>
  <c r="H203" i="9"/>
  <c r="L202" i="9"/>
  <c r="H202" i="9"/>
  <c r="L201" i="9"/>
  <c r="H201" i="9"/>
  <c r="L200" i="9"/>
  <c r="H200" i="9"/>
  <c r="L199" i="9"/>
  <c r="H199" i="9"/>
  <c r="L198" i="9"/>
  <c r="H198" i="9"/>
  <c r="L197" i="9"/>
  <c r="H197" i="9"/>
  <c r="L196" i="9"/>
  <c r="H196" i="9"/>
  <c r="L195" i="9"/>
  <c r="H195" i="9"/>
  <c r="L194" i="9"/>
  <c r="H194" i="9"/>
  <c r="L193" i="9"/>
  <c r="H193" i="9"/>
  <c r="L192" i="9"/>
  <c r="H192" i="9"/>
  <c r="L191" i="9"/>
  <c r="H191" i="9"/>
  <c r="L190" i="9"/>
  <c r="H190" i="9"/>
  <c r="L189" i="9"/>
  <c r="H189" i="9"/>
  <c r="L188" i="9"/>
  <c r="H188" i="9"/>
  <c r="L187" i="9"/>
  <c r="H187" i="9"/>
  <c r="L186" i="9"/>
  <c r="H186" i="9"/>
  <c r="L185" i="9"/>
  <c r="H185" i="9"/>
  <c r="L184" i="9"/>
  <c r="H184" i="9"/>
  <c r="L183" i="9"/>
  <c r="H183" i="9"/>
  <c r="L182" i="9"/>
  <c r="H182" i="9"/>
  <c r="L181" i="9"/>
  <c r="H181" i="9"/>
  <c r="L180" i="9"/>
  <c r="H180" i="9"/>
  <c r="L179" i="9"/>
  <c r="H179" i="9"/>
  <c r="L178" i="9"/>
  <c r="H178" i="9"/>
  <c r="L177" i="9"/>
  <c r="H177" i="9"/>
  <c r="L176" i="9"/>
  <c r="H176" i="9"/>
  <c r="L175" i="9"/>
  <c r="H175" i="9"/>
  <c r="L174" i="9"/>
  <c r="H174" i="9"/>
  <c r="L173" i="9"/>
  <c r="H173" i="9"/>
  <c r="L172" i="9"/>
  <c r="H172" i="9"/>
  <c r="L171" i="9"/>
  <c r="H171" i="9"/>
  <c r="L170" i="9"/>
  <c r="H170" i="9"/>
  <c r="L169" i="9"/>
  <c r="H169" i="9"/>
  <c r="L168" i="9"/>
  <c r="H168" i="9"/>
  <c r="L167" i="9"/>
  <c r="H167" i="9"/>
  <c r="L166" i="9"/>
  <c r="H166" i="9"/>
  <c r="L165" i="9"/>
  <c r="H165" i="9"/>
  <c r="L164" i="9"/>
  <c r="H164" i="9"/>
  <c r="L163" i="9"/>
  <c r="H163" i="9"/>
  <c r="L162" i="9"/>
  <c r="H162" i="9"/>
  <c r="L161" i="9"/>
  <c r="H161" i="9"/>
  <c r="L160" i="9"/>
  <c r="H160" i="9"/>
  <c r="L159" i="9"/>
  <c r="H159" i="9"/>
  <c r="L158" i="9"/>
  <c r="H158" i="9"/>
  <c r="L157" i="9"/>
  <c r="H157" i="9"/>
  <c r="L156" i="9"/>
  <c r="H156" i="9"/>
  <c r="L155" i="9"/>
  <c r="H155" i="9"/>
  <c r="L154" i="9"/>
  <c r="H154" i="9"/>
  <c r="L153" i="9"/>
  <c r="H153" i="9"/>
  <c r="L152" i="9"/>
  <c r="H152" i="9"/>
  <c r="L151" i="9"/>
  <c r="H151" i="9"/>
  <c r="L150" i="9"/>
  <c r="H150" i="9"/>
  <c r="L149" i="9"/>
  <c r="H149" i="9"/>
  <c r="L148" i="9"/>
  <c r="H148" i="9"/>
  <c r="L147" i="9"/>
  <c r="H147" i="9"/>
  <c r="L146" i="9"/>
  <c r="H146" i="9"/>
  <c r="L145" i="9"/>
  <c r="H145" i="9"/>
  <c r="L144" i="9"/>
  <c r="H144" i="9"/>
  <c r="L143" i="9"/>
  <c r="H143" i="9"/>
  <c r="L142" i="9"/>
  <c r="H142" i="9"/>
  <c r="L141" i="9"/>
  <c r="H141" i="9"/>
  <c r="L140" i="9"/>
  <c r="H140" i="9"/>
  <c r="L139" i="9"/>
  <c r="H139" i="9"/>
  <c r="L138" i="9"/>
  <c r="H138" i="9"/>
  <c r="L137" i="9"/>
  <c r="H137" i="9"/>
  <c r="L136" i="9"/>
  <c r="H136" i="9"/>
  <c r="L135" i="9"/>
  <c r="H135" i="9"/>
  <c r="L134" i="9"/>
  <c r="H134" i="9"/>
  <c r="L133" i="9"/>
  <c r="H133" i="9"/>
  <c r="L132" i="9"/>
  <c r="H132" i="9"/>
  <c r="L131" i="9"/>
  <c r="H131" i="9"/>
  <c r="L130" i="9"/>
  <c r="H130" i="9"/>
  <c r="L129" i="9"/>
  <c r="H129" i="9"/>
  <c r="L128" i="9"/>
  <c r="H128" i="9"/>
  <c r="L127" i="9"/>
  <c r="H127" i="9"/>
  <c r="L126" i="9"/>
  <c r="H126" i="9"/>
  <c r="L125" i="9"/>
  <c r="H125" i="9"/>
  <c r="L124" i="9"/>
  <c r="H124" i="9"/>
  <c r="L123" i="9"/>
  <c r="H123" i="9"/>
  <c r="L122" i="9"/>
  <c r="H122" i="9"/>
  <c r="L121" i="9"/>
  <c r="H121" i="9"/>
  <c r="L120" i="9"/>
  <c r="H120" i="9"/>
  <c r="L119" i="9"/>
  <c r="H119" i="9"/>
  <c r="L118" i="9"/>
  <c r="H118" i="9"/>
  <c r="L117" i="9"/>
  <c r="H117" i="9"/>
  <c r="L116" i="9"/>
  <c r="H116" i="9"/>
  <c r="L115" i="9"/>
  <c r="H115" i="9"/>
  <c r="L114" i="9"/>
  <c r="H114" i="9"/>
  <c r="L113" i="9"/>
  <c r="H113" i="9"/>
  <c r="L112" i="9"/>
  <c r="H112" i="9"/>
  <c r="L111" i="9"/>
  <c r="H111" i="9"/>
  <c r="L110" i="9"/>
  <c r="H110" i="9"/>
  <c r="L109" i="9"/>
  <c r="H109" i="9"/>
  <c r="L108" i="9"/>
  <c r="H108" i="9"/>
  <c r="L107" i="9"/>
  <c r="H107" i="9"/>
  <c r="L106" i="9"/>
  <c r="H106" i="9"/>
  <c r="L105" i="9"/>
  <c r="H105" i="9"/>
  <c r="L104" i="9"/>
  <c r="H104" i="9"/>
  <c r="L103" i="9"/>
  <c r="H103" i="9"/>
  <c r="L102" i="9"/>
  <c r="H102" i="9"/>
  <c r="L101" i="9"/>
  <c r="H101" i="9"/>
  <c r="L100" i="9"/>
  <c r="H100" i="9"/>
  <c r="L99" i="9"/>
  <c r="H99" i="9"/>
  <c r="L98" i="9"/>
  <c r="H98" i="9"/>
  <c r="L97" i="9"/>
  <c r="H97" i="9"/>
  <c r="L96" i="9"/>
  <c r="H96" i="9"/>
  <c r="L95" i="9"/>
  <c r="H95" i="9"/>
  <c r="L94" i="9"/>
  <c r="H94" i="9"/>
  <c r="L93" i="9"/>
  <c r="H93" i="9"/>
  <c r="L92" i="9"/>
  <c r="H92" i="9"/>
  <c r="L91" i="9"/>
  <c r="H91" i="9"/>
  <c r="L90" i="9"/>
  <c r="H90" i="9"/>
  <c r="L89" i="9"/>
  <c r="H89" i="9"/>
  <c r="L88" i="9"/>
  <c r="H88" i="9"/>
  <c r="L87" i="9"/>
  <c r="H87" i="9"/>
  <c r="L86" i="9"/>
  <c r="H86" i="9"/>
  <c r="L85" i="9"/>
  <c r="H85" i="9"/>
  <c r="L84" i="9"/>
  <c r="H84" i="9"/>
  <c r="L83" i="9"/>
  <c r="H83" i="9"/>
  <c r="L82" i="9"/>
  <c r="H82" i="9"/>
  <c r="L81" i="9"/>
  <c r="H81" i="9"/>
  <c r="L80" i="9"/>
  <c r="H80" i="9"/>
  <c r="L79" i="9"/>
  <c r="H79" i="9"/>
  <c r="L78" i="9"/>
  <c r="H78" i="9"/>
  <c r="L77" i="9"/>
  <c r="H77" i="9"/>
  <c r="L76" i="9"/>
  <c r="H76" i="9"/>
  <c r="L75" i="9"/>
  <c r="H75" i="9"/>
  <c r="L74" i="9"/>
  <c r="H74" i="9"/>
  <c r="L73" i="9"/>
  <c r="H73" i="9"/>
  <c r="L72" i="9"/>
  <c r="H72" i="9"/>
  <c r="L71" i="9"/>
  <c r="H71" i="9"/>
  <c r="L70" i="9"/>
  <c r="H70" i="9"/>
  <c r="L69" i="9"/>
  <c r="H69" i="9"/>
  <c r="L68" i="9"/>
  <c r="H68" i="9"/>
  <c r="L67" i="9"/>
  <c r="H67" i="9"/>
  <c r="L66" i="9"/>
  <c r="H66" i="9"/>
  <c r="L65" i="9"/>
  <c r="H65" i="9"/>
  <c r="L64" i="9"/>
  <c r="H64" i="9"/>
  <c r="L63" i="9"/>
  <c r="H63" i="9"/>
  <c r="L62" i="9"/>
  <c r="H62" i="9"/>
  <c r="L61" i="9"/>
  <c r="H61" i="9"/>
  <c r="L60" i="9"/>
  <c r="H60" i="9"/>
  <c r="L59" i="9"/>
  <c r="H59" i="9"/>
  <c r="L58" i="9"/>
  <c r="H58" i="9"/>
  <c r="L57" i="9"/>
  <c r="H57" i="9"/>
  <c r="L56" i="9"/>
  <c r="H56" i="9"/>
  <c r="L55" i="9"/>
  <c r="H55" i="9"/>
  <c r="L54" i="9"/>
  <c r="H54" i="9"/>
  <c r="L53" i="9"/>
  <c r="H53" i="9"/>
  <c r="L52" i="9"/>
  <c r="H52" i="9"/>
  <c r="L51" i="9"/>
  <c r="H51" i="9"/>
  <c r="L50" i="9"/>
  <c r="H50" i="9"/>
  <c r="L49" i="9"/>
  <c r="H49" i="9"/>
  <c r="L48" i="9"/>
  <c r="H48" i="9"/>
  <c r="L47" i="9"/>
  <c r="H47" i="9"/>
  <c r="L46" i="9"/>
  <c r="H46" i="9"/>
  <c r="L45" i="9"/>
  <c r="H45" i="9"/>
  <c r="L44" i="9"/>
  <c r="H44" i="9"/>
  <c r="L43" i="9"/>
  <c r="H43" i="9"/>
  <c r="L42" i="9"/>
  <c r="H42" i="9"/>
  <c r="L41" i="9"/>
  <c r="H41" i="9"/>
  <c r="L40" i="9"/>
  <c r="H40" i="9"/>
  <c r="L39" i="9"/>
  <c r="H39" i="9"/>
  <c r="L38" i="9"/>
  <c r="H38" i="9"/>
  <c r="L37" i="9"/>
  <c r="H37" i="9"/>
  <c r="L36" i="9"/>
  <c r="H36" i="9"/>
  <c r="L35" i="9"/>
  <c r="H35" i="9"/>
  <c r="L34" i="9"/>
  <c r="H34" i="9"/>
  <c r="T33" i="9"/>
  <c r="S33" i="9"/>
  <c r="R33" i="9"/>
  <c r="P33" i="9"/>
  <c r="O33" i="9"/>
  <c r="N33" i="9"/>
  <c r="L33" i="9"/>
  <c r="H33" i="9"/>
  <c r="T32" i="9"/>
  <c r="S32" i="9"/>
  <c r="R32" i="9"/>
  <c r="P32" i="9"/>
  <c r="O32" i="9"/>
  <c r="N32" i="9"/>
  <c r="L32" i="9"/>
  <c r="H32" i="9"/>
  <c r="T31" i="9"/>
  <c r="S31" i="9"/>
  <c r="R31" i="9"/>
  <c r="P31" i="9"/>
  <c r="O31" i="9"/>
  <c r="N31" i="9"/>
  <c r="L31" i="9"/>
  <c r="H31" i="9"/>
  <c r="T30" i="9"/>
  <c r="S30" i="9"/>
  <c r="R30" i="9"/>
  <c r="P30" i="9"/>
  <c r="O30" i="9"/>
  <c r="N30" i="9"/>
  <c r="L30" i="9"/>
  <c r="H30" i="9"/>
  <c r="T29" i="9"/>
  <c r="S29" i="9"/>
  <c r="R29" i="9"/>
  <c r="P29" i="9"/>
  <c r="O29" i="9"/>
  <c r="N29" i="9"/>
  <c r="L29" i="9"/>
  <c r="H29" i="9"/>
  <c r="T28" i="9"/>
  <c r="S28" i="9"/>
  <c r="R28" i="9"/>
  <c r="P28" i="9"/>
  <c r="O28" i="9"/>
  <c r="N28" i="9"/>
  <c r="L28" i="9"/>
  <c r="H28" i="9"/>
  <c r="T27" i="9"/>
  <c r="S27" i="9"/>
  <c r="R27" i="9"/>
  <c r="P27" i="9"/>
  <c r="O27" i="9"/>
  <c r="N27" i="9"/>
  <c r="L27" i="9"/>
  <c r="H27" i="9"/>
  <c r="T26" i="9"/>
  <c r="S26" i="9"/>
  <c r="R26" i="9"/>
  <c r="P26" i="9"/>
  <c r="O26" i="9"/>
  <c r="N26" i="9"/>
  <c r="L26" i="9"/>
  <c r="H26" i="9"/>
  <c r="T25" i="9"/>
  <c r="S25" i="9"/>
  <c r="R25" i="9"/>
  <c r="P25" i="9"/>
  <c r="O25" i="9"/>
  <c r="N25" i="9"/>
  <c r="L25" i="9"/>
  <c r="H25" i="9"/>
  <c r="T24" i="9"/>
  <c r="S24" i="9"/>
  <c r="R24" i="9"/>
  <c r="P24" i="9"/>
  <c r="O24" i="9"/>
  <c r="N24" i="9"/>
  <c r="L24" i="9"/>
  <c r="H24" i="9"/>
  <c r="T23" i="9"/>
  <c r="S23" i="9"/>
  <c r="R23" i="9"/>
  <c r="P23" i="9"/>
  <c r="O23" i="9"/>
  <c r="N23" i="9"/>
  <c r="L23" i="9"/>
  <c r="H23" i="9"/>
  <c r="T22" i="9"/>
  <c r="S22" i="9"/>
  <c r="R22" i="9"/>
  <c r="P22" i="9"/>
  <c r="O22" i="9"/>
  <c r="N22" i="9"/>
  <c r="L22" i="9"/>
  <c r="H22" i="9"/>
  <c r="T21" i="9"/>
  <c r="S21" i="9"/>
  <c r="R21" i="9"/>
  <c r="P21" i="9"/>
  <c r="O21" i="9"/>
  <c r="N21" i="9"/>
  <c r="L21" i="9"/>
  <c r="H21" i="9"/>
  <c r="T20" i="9"/>
  <c r="S20" i="9"/>
  <c r="R20" i="9"/>
  <c r="P20" i="9"/>
  <c r="O20" i="9"/>
  <c r="N20" i="9"/>
  <c r="L20" i="9"/>
  <c r="H20" i="9"/>
  <c r="T19" i="9"/>
  <c r="S19" i="9"/>
  <c r="R19" i="9"/>
  <c r="P19" i="9"/>
  <c r="O19" i="9"/>
  <c r="N19" i="9"/>
  <c r="L19" i="9"/>
  <c r="H19" i="9"/>
  <c r="T18" i="9"/>
  <c r="S18" i="9"/>
  <c r="R18" i="9"/>
  <c r="P18" i="9"/>
  <c r="O18" i="9"/>
  <c r="N18" i="9"/>
  <c r="L18" i="9"/>
  <c r="H18" i="9"/>
  <c r="T17" i="9"/>
  <c r="S17" i="9"/>
  <c r="R17" i="9"/>
  <c r="P17" i="9"/>
  <c r="O17" i="9"/>
  <c r="N17" i="9"/>
  <c r="L17" i="9"/>
  <c r="H17" i="9"/>
  <c r="T16" i="9"/>
  <c r="S16" i="9"/>
  <c r="R16" i="9"/>
  <c r="P16" i="9"/>
  <c r="O16" i="9"/>
  <c r="N16" i="9"/>
  <c r="L16" i="9"/>
  <c r="H16" i="9"/>
  <c r="V15" i="9"/>
  <c r="T15" i="9"/>
  <c r="S15" i="9"/>
  <c r="R15" i="9"/>
  <c r="P15" i="9"/>
  <c r="O15" i="9"/>
  <c r="N15" i="9"/>
  <c r="L15" i="9"/>
  <c r="H15" i="9"/>
  <c r="V14" i="9"/>
  <c r="T14" i="9"/>
  <c r="S14" i="9"/>
  <c r="R14" i="9"/>
  <c r="P14" i="9"/>
  <c r="O14" i="9"/>
  <c r="N14" i="9"/>
  <c r="L14" i="9"/>
  <c r="H14" i="9"/>
  <c r="V13" i="9"/>
  <c r="T13" i="9"/>
  <c r="S13" i="9"/>
  <c r="R13" i="9"/>
  <c r="P13" i="9"/>
  <c r="L13" i="9"/>
  <c r="H13" i="9"/>
  <c r="V12" i="9"/>
  <c r="T12" i="9"/>
  <c r="S12" i="9"/>
  <c r="R12" i="9"/>
  <c r="P12" i="9"/>
  <c r="L12" i="9"/>
  <c r="H12" i="9"/>
  <c r="V11" i="9"/>
  <c r="T11" i="9"/>
  <c r="S11" i="9"/>
  <c r="R11" i="9"/>
  <c r="P11" i="9"/>
  <c r="L11" i="9"/>
  <c r="H11" i="9"/>
  <c r="V10" i="9"/>
  <c r="T10" i="9"/>
  <c r="S10" i="9"/>
  <c r="R10" i="9"/>
  <c r="P10" i="9"/>
  <c r="L10" i="9"/>
  <c r="H10" i="9"/>
  <c r="D10" i="9"/>
  <c r="Y108" i="9"/>
  <c r="Y107" i="9"/>
  <c r="Y106" i="9"/>
  <c r="Y105" i="9"/>
  <c r="Y104" i="9"/>
  <c r="Y103" i="9"/>
  <c r="Y102" i="9"/>
  <c r="Y101" i="9"/>
  <c r="Y100" i="9"/>
  <c r="Y99" i="9"/>
  <c r="Y98" i="9"/>
  <c r="Y97" i="9"/>
  <c r="Y96" i="9"/>
  <c r="Y95" i="9"/>
  <c r="Y94" i="9"/>
  <c r="Y93" i="9"/>
  <c r="Y92" i="9"/>
  <c r="Y91" i="9"/>
  <c r="Y90" i="9"/>
  <c r="Y89" i="9"/>
  <c r="Y88" i="9"/>
  <c r="Y87" i="9"/>
  <c r="Y86" i="9"/>
  <c r="Y85" i="9"/>
  <c r="Y84" i="9"/>
  <c r="Y83" i="9"/>
  <c r="Y82" i="9"/>
  <c r="Y81" i="9"/>
  <c r="Y80" i="9"/>
  <c r="Y79" i="9"/>
  <c r="Y78" i="9"/>
  <c r="Y77" i="9"/>
  <c r="Y76" i="9"/>
  <c r="Y75" i="9"/>
  <c r="Y74" i="9"/>
  <c r="Y73" i="9"/>
  <c r="Y72" i="9"/>
  <c r="Y71" i="9"/>
  <c r="Y70" i="9"/>
  <c r="Y69" i="9"/>
  <c r="Y68" i="9"/>
  <c r="Y67" i="9"/>
  <c r="Y66" i="9"/>
  <c r="Y65" i="9"/>
  <c r="Y64" i="9"/>
  <c r="Y63" i="9"/>
  <c r="Y62" i="9"/>
  <c r="Y61" i="9"/>
  <c r="Y60" i="9"/>
  <c r="Y59" i="9"/>
  <c r="Y58" i="9"/>
  <c r="Y57" i="9"/>
  <c r="Y56" i="9"/>
  <c r="Y55" i="9"/>
  <c r="Y54" i="9"/>
  <c r="Y53" i="9"/>
  <c r="Y52" i="9"/>
  <c r="Y51" i="9"/>
  <c r="Y50" i="9"/>
  <c r="Y49" i="9"/>
  <c r="Y48" i="9"/>
  <c r="Y47" i="9"/>
  <c r="Y46" i="9"/>
  <c r="Y45" i="9"/>
  <c r="Y44" i="9"/>
  <c r="Y43" i="9"/>
  <c r="Y42" i="9"/>
  <c r="Y41" i="9"/>
  <c r="Y40" i="9"/>
  <c r="Y39" i="9"/>
  <c r="Y38" i="9"/>
  <c r="Y37" i="9"/>
  <c r="Y36" i="9"/>
  <c r="Y35" i="9"/>
  <c r="Y34" i="9"/>
  <c r="Y33" i="9"/>
  <c r="Y32" i="9"/>
  <c r="Y31" i="9"/>
  <c r="Y30" i="9"/>
  <c r="Y29" i="9"/>
  <c r="Y28" i="9"/>
  <c r="Y27" i="9"/>
  <c r="Y26" i="9"/>
  <c r="Y25" i="9"/>
  <c r="Y24" i="9"/>
  <c r="Y23" i="9"/>
  <c r="Y22" i="9"/>
  <c r="Y21" i="9"/>
  <c r="Y20" i="9"/>
  <c r="Y19" i="9"/>
  <c r="Y18" i="9"/>
  <c r="Y17" i="9"/>
  <c r="Y16" i="9"/>
  <c r="Y15" i="9"/>
  <c r="Y14" i="9"/>
  <c r="Y13" i="9"/>
  <c r="Y12" i="9"/>
  <c r="Y11" i="9"/>
  <c r="Y10" i="9"/>
  <c r="Y9" i="9" a="1"/>
  <c r="Y9" i="9"/>
  <c r="X108" i="9"/>
  <c r="X107" i="9"/>
  <c r="X106" i="9"/>
  <c r="X105" i="9"/>
  <c r="X104" i="9"/>
  <c r="X103" i="9"/>
  <c r="X102" i="9"/>
  <c r="X101" i="9"/>
  <c r="X100" i="9"/>
  <c r="X99" i="9"/>
  <c r="X98" i="9"/>
  <c r="X97" i="9"/>
  <c r="X96" i="9"/>
  <c r="X95" i="9"/>
  <c r="X94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X9" i="9" a="1"/>
  <c r="X9" i="9"/>
  <c r="V9" i="9"/>
  <c r="T9" i="9"/>
  <c r="S9" i="9"/>
  <c r="R9" i="9"/>
  <c r="P9" i="9"/>
  <c r="L9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 a="1"/>
  <c r="K9" i="9"/>
  <c r="J307" i="9"/>
  <c r="J306" i="9"/>
  <c r="J305" i="9"/>
  <c r="J304" i="9"/>
  <c r="J303" i="9"/>
  <c r="J302" i="9"/>
  <c r="J301" i="9"/>
  <c r="J300" i="9"/>
  <c r="J299" i="9"/>
  <c r="J298" i="9"/>
  <c r="J297" i="9"/>
  <c r="J296" i="9"/>
  <c r="J295" i="9"/>
  <c r="J294" i="9"/>
  <c r="J293" i="9"/>
  <c r="J292" i="9"/>
  <c r="J291" i="9"/>
  <c r="J290" i="9"/>
  <c r="J289" i="9"/>
  <c r="J288" i="9"/>
  <c r="J287" i="9"/>
  <c r="J286" i="9"/>
  <c r="J285" i="9"/>
  <c r="J284" i="9"/>
  <c r="J283" i="9"/>
  <c r="J282" i="9"/>
  <c r="J281" i="9"/>
  <c r="J280" i="9"/>
  <c r="J279" i="9"/>
  <c r="J278" i="9"/>
  <c r="J277" i="9"/>
  <c r="J276" i="9"/>
  <c r="J275" i="9"/>
  <c r="J274" i="9"/>
  <c r="J273" i="9"/>
  <c r="J272" i="9"/>
  <c r="J271" i="9"/>
  <c r="J270" i="9"/>
  <c r="J269" i="9"/>
  <c r="J268" i="9"/>
  <c r="J267" i="9"/>
  <c r="J266" i="9"/>
  <c r="J265" i="9"/>
  <c r="J264" i="9"/>
  <c r="J263" i="9"/>
  <c r="J262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39" i="9"/>
  <c r="J238" i="9"/>
  <c r="J237" i="9"/>
  <c r="J236" i="9"/>
  <c r="J235" i="9"/>
  <c r="J234" i="9"/>
  <c r="J233" i="9"/>
  <c r="J232" i="9"/>
  <c r="J231" i="9"/>
  <c r="J230" i="9"/>
  <c r="J229" i="9"/>
  <c r="J228" i="9"/>
  <c r="J227" i="9"/>
  <c r="J226" i="9"/>
  <c r="J225" i="9"/>
  <c r="J224" i="9"/>
  <c r="J223" i="9"/>
  <c r="J222" i="9"/>
  <c r="J221" i="9"/>
  <c r="J220" i="9"/>
  <c r="J219" i="9"/>
  <c r="J218" i="9"/>
  <c r="J217" i="9"/>
  <c r="J216" i="9"/>
  <c r="J215" i="9"/>
  <c r="J214" i="9"/>
  <c r="J213" i="9"/>
  <c r="J212" i="9"/>
  <c r="J211" i="9"/>
  <c r="J210" i="9"/>
  <c r="J209" i="9"/>
  <c r="J208" i="9"/>
  <c r="J207" i="9"/>
  <c r="J206" i="9"/>
  <c r="J205" i="9"/>
  <c r="J204" i="9"/>
  <c r="J203" i="9"/>
  <c r="J202" i="9"/>
  <c r="J201" i="9"/>
  <c r="J200" i="9"/>
  <c r="J199" i="9"/>
  <c r="J198" i="9"/>
  <c r="J197" i="9"/>
  <c r="J196" i="9"/>
  <c r="J195" i="9"/>
  <c r="J194" i="9"/>
  <c r="J193" i="9"/>
  <c r="J192" i="9"/>
  <c r="J191" i="9"/>
  <c r="J190" i="9"/>
  <c r="J189" i="9"/>
  <c r="J188" i="9"/>
  <c r="J187" i="9"/>
  <c r="J186" i="9"/>
  <c r="J185" i="9"/>
  <c r="J184" i="9"/>
  <c r="J183" i="9"/>
  <c r="J182" i="9"/>
  <c r="J181" i="9"/>
  <c r="J180" i="9"/>
  <c r="J179" i="9"/>
  <c r="J178" i="9"/>
  <c r="J177" i="9"/>
  <c r="J176" i="9"/>
  <c r="J175" i="9"/>
  <c r="J174" i="9"/>
  <c r="J173" i="9"/>
  <c r="J172" i="9"/>
  <c r="J171" i="9"/>
  <c r="J170" i="9"/>
  <c r="J169" i="9"/>
  <c r="J168" i="9"/>
  <c r="J167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3" i="9"/>
  <c r="J132" i="9"/>
  <c r="J131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89" i="9"/>
  <c r="J88" i="9"/>
  <c r="J87" i="9"/>
  <c r="J86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 a="1"/>
  <c r="J9" i="9"/>
  <c r="H9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 a="1"/>
  <c r="G9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 a="1"/>
  <c r="F9" i="9"/>
  <c r="D9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 a="1"/>
  <c r="B9" i="9"/>
  <c r="X8" i="9"/>
  <c r="T8" i="9"/>
  <c r="S8" i="9"/>
  <c r="R8" i="9"/>
  <c r="K8" i="9"/>
  <c r="J8" i="9"/>
  <c r="G8" i="9"/>
  <c r="F8" i="9"/>
  <c r="AA5" i="8"/>
  <c r="Y5" i="8"/>
  <c r="W5" i="8"/>
  <c r="U5" i="8"/>
  <c r="S5" i="8"/>
  <c r="Q5" i="8"/>
  <c r="O5" i="8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29" i="3"/>
  <c r="N29" i="3"/>
  <c r="M29" i="3"/>
  <c r="L29" i="3"/>
  <c r="K29" i="3"/>
  <c r="J29" i="3"/>
  <c r="H29" i="3"/>
  <c r="G29" i="3"/>
  <c r="F29" i="3"/>
  <c r="E29" i="3"/>
  <c r="D29" i="3"/>
  <c r="O28" i="3"/>
  <c r="N28" i="3"/>
  <c r="M28" i="3"/>
  <c r="L28" i="3"/>
  <c r="K28" i="3"/>
  <c r="J28" i="3"/>
  <c r="H28" i="3"/>
  <c r="G28" i="3"/>
  <c r="F28" i="3"/>
  <c r="E28" i="3"/>
  <c r="D28" i="3"/>
  <c r="C28" i="3"/>
  <c r="O27" i="3"/>
  <c r="N27" i="3"/>
  <c r="M27" i="3"/>
  <c r="L27" i="3"/>
  <c r="K27" i="3"/>
  <c r="J27" i="3"/>
  <c r="H27" i="3"/>
  <c r="G27" i="3"/>
  <c r="F27" i="3"/>
  <c r="E27" i="3"/>
  <c r="D27" i="3"/>
  <c r="C27" i="3"/>
  <c r="O26" i="3"/>
  <c r="N26" i="3"/>
  <c r="M26" i="3"/>
  <c r="L26" i="3"/>
  <c r="K26" i="3"/>
  <c r="J26" i="3"/>
  <c r="H26" i="3"/>
  <c r="G26" i="3"/>
  <c r="F26" i="3"/>
  <c r="E26" i="3"/>
  <c r="D26" i="3"/>
  <c r="C26" i="3"/>
  <c r="O25" i="3"/>
  <c r="N25" i="3"/>
  <c r="M25" i="3"/>
  <c r="L25" i="3"/>
  <c r="K25" i="3"/>
  <c r="J25" i="3"/>
  <c r="H25" i="3"/>
  <c r="G25" i="3"/>
  <c r="F25" i="3"/>
  <c r="E25" i="3"/>
  <c r="D25" i="3"/>
  <c r="C25" i="3"/>
  <c r="C17" i="3"/>
  <c r="C15" i="3"/>
  <c r="C13" i="3"/>
  <c r="I11" i="3"/>
  <c r="F11" i="3"/>
  <c r="C11" i="3"/>
  <c r="I9" i="3"/>
  <c r="F9" i="3"/>
  <c r="C9" i="3"/>
  <c r="I7" i="3"/>
  <c r="F7" i="3"/>
  <c r="D96" i="2"/>
  <c r="B96" i="2"/>
  <c r="D95" i="2"/>
  <c r="B95" i="2"/>
  <c r="D94" i="2"/>
  <c r="B94" i="2"/>
  <c r="D93" i="2"/>
  <c r="B93" i="2"/>
  <c r="D92" i="2"/>
  <c r="B92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B43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B24" i="2"/>
  <c r="B23" i="2"/>
  <c r="B22" i="2"/>
  <c r="B21" i="2"/>
  <c r="B20" i="2"/>
  <c r="B19" i="2"/>
  <c r="B18" i="2"/>
</calcChain>
</file>

<file path=xl/sharedStrings.xml><?xml version="1.0" encoding="utf-8"?>
<sst xmlns="http://schemas.openxmlformats.org/spreadsheetml/2006/main" count="5326" uniqueCount="840">
  <si>
    <t>Execution planner</t>
  </si>
  <si>
    <t>Execution groups</t>
  </si>
  <si>
    <t>Execution group</t>
  </si>
  <si>
    <t>Detail</t>
  </si>
  <si>
    <t>Only string length features</t>
  </si>
  <si>
    <t>All usable features (independent PCA per feature group)</t>
  </si>
  <si>
    <t>Only features from NLP creation</t>
  </si>
  <si>
    <t>Those created from NLP &amp; JDI and ODI similarities</t>
  </si>
  <si>
    <t>All usable features without PCA</t>
  </si>
  <si>
    <t>Execution list</t>
  </si>
  <si>
    <t>Execution ID</t>
  </si>
  <si>
    <t>Features to include</t>
  </si>
  <si>
    <t>PCA</t>
  </si>
  <si>
    <t>Model architecture</t>
  </si>
  <si>
    <t>Execution ID real</t>
  </si>
  <si>
    <t>Number of search iterations</t>
  </si>
  <si>
    <t>Train time</t>
  </si>
  <si>
    <t>Metric 1</t>
  </si>
  <si>
    <t>Metric 1 train</t>
  </si>
  <si>
    <t>Metric 1 test</t>
  </si>
  <si>
    <t>Metric 2</t>
  </si>
  <si>
    <t>Metric 2 train</t>
  </si>
  <si>
    <t>Metric 2 test</t>
  </si>
  <si>
    <t>String length features</t>
  </si>
  <si>
    <t>No</t>
  </si>
  <si>
    <t>Elasticnet</t>
  </si>
  <si>
    <t>20260427_181736</t>
  </si>
  <si>
    <t>KNN</t>
  </si>
  <si>
    <t>Decision tree</t>
  </si>
  <si>
    <t>20260428_100116</t>
  </si>
  <si>
    <t>Random forrest</t>
  </si>
  <si>
    <t>20260428_220454</t>
  </si>
  <si>
    <t>Support vector machine</t>
  </si>
  <si>
    <t>XG Boost</t>
  </si>
  <si>
    <t>20260427_215558</t>
  </si>
  <si>
    <t>All usable features</t>
  </si>
  <si>
    <t>Yes, 1 dim per feature group</t>
  </si>
  <si>
    <t>20260427_181817</t>
  </si>
  <si>
    <t>Yes, 5 dim per feature group</t>
  </si>
  <si>
    <t>20260427_181844</t>
  </si>
  <si>
    <t>Yes, 1 dim per every 5 dims in the feature group</t>
  </si>
  <si>
    <t>20260427_181932</t>
  </si>
  <si>
    <t>20260428_100255</t>
  </si>
  <si>
    <t>20260428_100705</t>
  </si>
  <si>
    <t>20260428_102358</t>
  </si>
  <si>
    <t>20260428_223839</t>
  </si>
  <si>
    <t>20260429_002455</t>
  </si>
  <si>
    <t>20260429_063939</t>
  </si>
  <si>
    <t>20260427_222714</t>
  </si>
  <si>
    <t>20260427_224837</t>
  </si>
  <si>
    <t>20260427_233525</t>
  </si>
  <si>
    <t>20260420_182012</t>
  </si>
  <si>
    <t>Only NLP from feature creation</t>
  </si>
  <si>
    <t>20260427_182011</t>
  </si>
  <si>
    <t>20260427_182729</t>
  </si>
  <si>
    <t>20260427_182755</t>
  </si>
  <si>
    <t>20260427_182824</t>
  </si>
  <si>
    <t>20260428_105033</t>
  </si>
  <si>
    <t>20260428_112324</t>
  </si>
  <si>
    <t>20260428_112554</t>
  </si>
  <si>
    <t>20260428_113355</t>
  </si>
  <si>
    <t>20260428_000146</t>
  </si>
  <si>
    <t>20260428_004431</t>
  </si>
  <si>
    <t>20260428_005205</t>
  </si>
  <si>
    <t>20260428_010422</t>
  </si>
  <si>
    <t>20260427_182853</t>
  </si>
  <si>
    <t>20260427_183709</t>
  </si>
  <si>
    <t>20260427_183734</t>
  </si>
  <si>
    <t>20260427_183801</t>
  </si>
  <si>
    <t>20260428_115348</t>
  </si>
  <si>
    <t>20260428_125044</t>
  </si>
  <si>
    <t>20260428_125324</t>
  </si>
  <si>
    <t>20260428_130216</t>
  </si>
  <si>
    <t>20260428_012215</t>
  </si>
  <si>
    <t>20260428_021531</t>
  </si>
  <si>
    <t>20260428_022316</t>
  </si>
  <si>
    <t>20260428_023650</t>
  </si>
  <si>
    <t>20260427_183830</t>
  </si>
  <si>
    <t>20260428_132445</t>
  </si>
  <si>
    <t>20260428_025642</t>
  </si>
  <si>
    <t>Feature dictionary</t>
  </si>
  <si>
    <t>Feature group</t>
  </si>
  <si>
    <t>Feature</t>
  </si>
  <si>
    <t>Usable for model 1</t>
  </si>
  <si>
    <t>Glassdoor</t>
  </si>
  <si>
    <t>review_id</t>
  </si>
  <si>
    <t>summary</t>
  </si>
  <si>
    <t>date</t>
  </si>
  <si>
    <t>job_title</t>
  </si>
  <si>
    <t>overall_rating</t>
  </si>
  <si>
    <t>pros</t>
  </si>
  <si>
    <t>cons</t>
  </si>
  <si>
    <t>author_location</t>
  </si>
  <si>
    <t>company</t>
  </si>
  <si>
    <t>overall_rating_cat</t>
  </si>
  <si>
    <t>Fill</t>
  </si>
  <si>
    <t>Company</t>
  </si>
  <si>
    <t>author_location_filledhq</t>
  </si>
  <si>
    <t>author_location_filledhq_state</t>
  </si>
  <si>
    <t>Acronym</t>
  </si>
  <si>
    <t>State name</t>
  </si>
  <si>
    <t>Ticker</t>
  </si>
  <si>
    <t>Sector</t>
  </si>
  <si>
    <t>Location</t>
  </si>
  <si>
    <t>Headquarters Location</t>
  </si>
  <si>
    <t>Headquarters state</t>
  </si>
  <si>
    <t>Misc</t>
  </si>
  <si>
    <t>Unnamed: 0</t>
  </si>
  <si>
    <t>wl_balance</t>
  </si>
  <si>
    <t>culture_values</t>
  </si>
  <si>
    <t>diversity_inclusion</t>
  </si>
  <si>
    <t>career_opportunities</t>
  </si>
  <si>
    <t>compensation_benefits</t>
  </si>
  <si>
    <t>senior_management</t>
  </si>
  <si>
    <t>String lengths</t>
  </si>
  <si>
    <t>summary_charlen</t>
  </si>
  <si>
    <t>Yes</t>
  </si>
  <si>
    <t>summary_wordlen</t>
  </si>
  <si>
    <t>pros_charlen</t>
  </si>
  <si>
    <t>pros_wordlen</t>
  </si>
  <si>
    <t>cons_charlen</t>
  </si>
  <si>
    <t>cons_wordlen</t>
  </si>
  <si>
    <t>Linguistic dimensions</t>
  </si>
  <si>
    <t>summary_ld_PDT</t>
  </si>
  <si>
    <t>summary_ld_IN</t>
  </si>
  <si>
    <t>summary_ld_``</t>
  </si>
  <si>
    <t>summary_ld_JJS</t>
  </si>
  <si>
    <t>summary_ld_RBS</t>
  </si>
  <si>
    <t>summary_ld_NNP</t>
  </si>
  <si>
    <t>summary_ld_DT</t>
  </si>
  <si>
    <t>summary_ld_EX</t>
  </si>
  <si>
    <t>summary_ld_NNS</t>
  </si>
  <si>
    <t>summary_ld_CC</t>
  </si>
  <si>
    <t>summary_ld_VBD</t>
  </si>
  <si>
    <t>summary_ld_.</t>
  </si>
  <si>
    <t>summary_ld_(</t>
  </si>
  <si>
    <t>summary_ld_UH</t>
  </si>
  <si>
    <t>summary_ld_VBN</t>
  </si>
  <si>
    <t>summary_ld_RP</t>
  </si>
  <si>
    <t>summary_ld_JJR</t>
  </si>
  <si>
    <t>summary_ld_WDT</t>
  </si>
  <si>
    <t>summary_ld_,</t>
  </si>
  <si>
    <t>summary_ld_VBZ</t>
  </si>
  <si>
    <t>summary_ld_MD</t>
  </si>
  <si>
    <t>summary_ld_PRP</t>
  </si>
  <si>
    <t>summary_ld_PRP$</t>
  </si>
  <si>
    <t>summary_ld_$</t>
  </si>
  <si>
    <t>summary_ld_WP</t>
  </si>
  <si>
    <t>summary_ld_VBG</t>
  </si>
  <si>
    <t>summary_ld_NN</t>
  </si>
  <si>
    <t>summary_ld_CD</t>
  </si>
  <si>
    <t>summary_ld_)</t>
  </si>
  <si>
    <t>summary_ld_RBR</t>
  </si>
  <si>
    <t>summary_ld_VBP</t>
  </si>
  <si>
    <t>summary_ld_WRB</t>
  </si>
  <si>
    <t>summary_ld_NNPS</t>
  </si>
  <si>
    <t>summary_ld_TO</t>
  </si>
  <si>
    <t>summary_ld_RB</t>
  </si>
  <si>
    <t>summary_ld_VB</t>
  </si>
  <si>
    <t>summary_ld_:</t>
  </si>
  <si>
    <t>summary_ld_JJ</t>
  </si>
  <si>
    <t>pros_ld_PDT</t>
  </si>
  <si>
    <t>pros_ld_IN</t>
  </si>
  <si>
    <t>pros_ld_``</t>
  </si>
  <si>
    <t>pros_ld_JJS</t>
  </si>
  <si>
    <t>pros_ld_RBS</t>
  </si>
  <si>
    <t>pros_ld_NNP</t>
  </si>
  <si>
    <t>pros_ld_DT</t>
  </si>
  <si>
    <t>pros_ld_EX</t>
  </si>
  <si>
    <t>pros_ld_NNS</t>
  </si>
  <si>
    <t>pros_ld_CC</t>
  </si>
  <si>
    <t>pros_ld_VBD</t>
  </si>
  <si>
    <t>pros_ld_POS</t>
  </si>
  <si>
    <t>pros_ld_.</t>
  </si>
  <si>
    <t>pros_ld_(</t>
  </si>
  <si>
    <t>pros_ld_UH</t>
  </si>
  <si>
    <t>pros_ld_VBN</t>
  </si>
  <si>
    <t>pros_ld_''</t>
  </si>
  <si>
    <t>pros_ld_RP</t>
  </si>
  <si>
    <t>pros_ld_JJR</t>
  </si>
  <si>
    <t>pros_ld_WDT</t>
  </si>
  <si>
    <t>pros_ld_FW</t>
  </si>
  <si>
    <t>pros_ld_,</t>
  </si>
  <si>
    <t>pros_ld_VBZ</t>
  </si>
  <si>
    <t>pros_ld_MD</t>
  </si>
  <si>
    <t>pros_ld_PRP</t>
  </si>
  <si>
    <t>pros_ld_PRP$</t>
  </si>
  <si>
    <t>pros_ld_$</t>
  </si>
  <si>
    <t>pros_ld_WP</t>
  </si>
  <si>
    <t>pros_ld_VBG</t>
  </si>
  <si>
    <t>pros_ld_NN</t>
  </si>
  <si>
    <t>pros_ld_CD</t>
  </si>
  <si>
    <t>pros_ld_)</t>
  </si>
  <si>
    <t>pros_ld_SYM</t>
  </si>
  <si>
    <t>pros_ld_RBR</t>
  </si>
  <si>
    <t>pros_ld_VBP</t>
  </si>
  <si>
    <t>pros_ld_WRB</t>
  </si>
  <si>
    <t>pros_ld_NNPS</t>
  </si>
  <si>
    <t>pros_ld_TO</t>
  </si>
  <si>
    <t>pros_ld_RB</t>
  </si>
  <si>
    <t>pros_ld_VB</t>
  </si>
  <si>
    <t>pros_ld_:</t>
  </si>
  <si>
    <t>pros_ld_JJ</t>
  </si>
  <si>
    <t>cons_ld_PDT</t>
  </si>
  <si>
    <t>cons_ld_IN</t>
  </si>
  <si>
    <t>cons_ld_``</t>
  </si>
  <si>
    <t>cons_ld_JJS</t>
  </si>
  <si>
    <t>cons_ld_RBS</t>
  </si>
  <si>
    <t>cons_ld_DT</t>
  </si>
  <si>
    <t>cons_ld_NNP</t>
  </si>
  <si>
    <t>cons_ld_EX</t>
  </si>
  <si>
    <t>cons_ld_NNS</t>
  </si>
  <si>
    <t>cons_ld_CC</t>
  </si>
  <si>
    <t>cons_ld_VBD</t>
  </si>
  <si>
    <t>cons_ld_POS</t>
  </si>
  <si>
    <t>cons_ld_.</t>
  </si>
  <si>
    <t>cons_ld_(</t>
  </si>
  <si>
    <t>cons_ld_''</t>
  </si>
  <si>
    <t>cons_ld_VBN</t>
  </si>
  <si>
    <t>cons_ld_UH</t>
  </si>
  <si>
    <t>cons_ld_RP</t>
  </si>
  <si>
    <t>cons_ld_JJR</t>
  </si>
  <si>
    <t>cons_ld_WDT</t>
  </si>
  <si>
    <t>cons_ld_FW</t>
  </si>
  <si>
    <t>cons_ld_,</t>
  </si>
  <si>
    <t>cons_ld_VBZ</t>
  </si>
  <si>
    <t>cons_ld_MD</t>
  </si>
  <si>
    <t>cons_ld_PRP</t>
  </si>
  <si>
    <t>cons_ld_PRP$</t>
  </si>
  <si>
    <t>cons_ld_$</t>
  </si>
  <si>
    <t>cons_ld_WP</t>
  </si>
  <si>
    <t>cons_ld_VBG</t>
  </si>
  <si>
    <t>cons_ld_NN</t>
  </si>
  <si>
    <t>cons_ld_CD</t>
  </si>
  <si>
    <t>cons_ld_)</t>
  </si>
  <si>
    <t>cons_ld_SYM</t>
  </si>
  <si>
    <t>cons_ld_RBR</t>
  </si>
  <si>
    <t>cons_ld_VBP</t>
  </si>
  <si>
    <t>cons_ld_WRB</t>
  </si>
  <si>
    <t>cons_ld_NNPS</t>
  </si>
  <si>
    <t>cons_ld_TO</t>
  </si>
  <si>
    <t>cons_ld_RB</t>
  </si>
  <si>
    <t>cons_ld_VB</t>
  </si>
  <si>
    <t>cons_ld_:</t>
  </si>
  <si>
    <t>cons_ld_JJ</t>
  </si>
  <si>
    <t>Emolex</t>
  </si>
  <si>
    <t>pros_emolex_fear</t>
  </si>
  <si>
    <t>pros_emolex_anger</t>
  </si>
  <si>
    <t>pros_emolex_anticip</t>
  </si>
  <si>
    <t>pros_emolex_trust</t>
  </si>
  <si>
    <t>pros_emolex_surprise</t>
  </si>
  <si>
    <t>pros_emolex_positive</t>
  </si>
  <si>
    <t>pros_emolex_negative</t>
  </si>
  <si>
    <t>pros_emolex_sadness</t>
  </si>
  <si>
    <t>pros_emolex_disgust</t>
  </si>
  <si>
    <t>pros_emolex_joy</t>
  </si>
  <si>
    <t>cons_emolex_fear</t>
  </si>
  <si>
    <t>cons_emolex_anger</t>
  </si>
  <si>
    <t>cons_emolex_anticip</t>
  </si>
  <si>
    <t>cons_emolex_trust</t>
  </si>
  <si>
    <t>cons_emolex_surprise</t>
  </si>
  <si>
    <t>cons_emolex_positive</t>
  </si>
  <si>
    <t>cons_emolex_negative</t>
  </si>
  <si>
    <t>cons_emolex_sadness</t>
  </si>
  <si>
    <t>cons_emolex_disgust</t>
  </si>
  <si>
    <t>cons_emolex_joy</t>
  </si>
  <si>
    <t>NLTK SIA</t>
  </si>
  <si>
    <t>pros_nltk_sia</t>
  </si>
  <si>
    <t>cons_nltk_sia</t>
  </si>
  <si>
    <t>ODI related vocab</t>
  </si>
  <si>
    <t>ODI_related_vocab_pros</t>
  </si>
  <si>
    <t>ODI_related_vocab_cons</t>
  </si>
  <si>
    <t>Empath</t>
  </si>
  <si>
    <t>pros_empath_help</t>
  </si>
  <si>
    <t>pros_empath_office</t>
  </si>
  <si>
    <t>pros_empath_money</t>
  </si>
  <si>
    <t>pros_empath_domestic_work</t>
  </si>
  <si>
    <t>pros_empath_sleep</t>
  </si>
  <si>
    <t>pros_empath_occupation</t>
  </si>
  <si>
    <t>pros_empath_family</t>
  </si>
  <si>
    <t>pros_empath_vacation</t>
  </si>
  <si>
    <t>pros_empath_health</t>
  </si>
  <si>
    <t>pros_empath_swearing_terms</t>
  </si>
  <si>
    <t>pros_empath_leisure</t>
  </si>
  <si>
    <t>pros_empath_suffering</t>
  </si>
  <si>
    <t>pros_empath_wealthy</t>
  </si>
  <si>
    <t>pros_empath_exercise</t>
  </si>
  <si>
    <t>pros_empath_home</t>
  </si>
  <si>
    <t>pros_empath_rage</t>
  </si>
  <si>
    <t>pros_empath_fun</t>
  </si>
  <si>
    <t>pros_empath_negative_emotion</t>
  </si>
  <si>
    <t>pros_empath_payment</t>
  </si>
  <si>
    <t>pros_empath_achievement</t>
  </si>
  <si>
    <t>cons_empath_help</t>
  </si>
  <si>
    <t>cons_empath_office</t>
  </si>
  <si>
    <t>cons_empath_money</t>
  </si>
  <si>
    <t>cons_empath_domestic_work</t>
  </si>
  <si>
    <t>cons_empath_sleep</t>
  </si>
  <si>
    <t>cons_empath_occupation</t>
  </si>
  <si>
    <t>cons_empath_family</t>
  </si>
  <si>
    <t>cons_empath_vacation</t>
  </si>
  <si>
    <t>cons_empath_health</t>
  </si>
  <si>
    <t>cons_empath_swearing_terms</t>
  </si>
  <si>
    <t>cons_empath_leisure</t>
  </si>
  <si>
    <t>cons_empath_suffering</t>
  </si>
  <si>
    <t>cons_empath_wealthy</t>
  </si>
  <si>
    <t>cons_empath_exercise</t>
  </si>
  <si>
    <t>cons_empath_home</t>
  </si>
  <si>
    <t>cons_empath_rage</t>
  </si>
  <si>
    <t>cons_empath_fun</t>
  </si>
  <si>
    <t>cons_empath_negative_emotion</t>
  </si>
  <si>
    <t>cons_empath_payment</t>
  </si>
  <si>
    <t>cons_empath_achievement</t>
  </si>
  <si>
    <t>ODI similarity</t>
  </si>
  <si>
    <t>pros_sim_ODI_Depressed mood</t>
  </si>
  <si>
    <t>cons_sim_ODI_Depressed mood</t>
  </si>
  <si>
    <t>pros_sim_ODI_Sleep alterations</t>
  </si>
  <si>
    <t>cons_sim_ODI_Sleep alterations</t>
  </si>
  <si>
    <t>pros_sim_ODI_Fatigue</t>
  </si>
  <si>
    <t>cons_sim_ODI_Fatigue</t>
  </si>
  <si>
    <t>pros_sim_ODI_Worthlessness</t>
  </si>
  <si>
    <t>cons_sim_ODI_Worthlessness</t>
  </si>
  <si>
    <t>pros_sim_ODI_Anhedonia</t>
  </si>
  <si>
    <t>cons_sim_ODI_Anhedonia</t>
  </si>
  <si>
    <t>pros_sim_ODI_Appetite alterations</t>
  </si>
  <si>
    <t>cons_sim_ODI_Appetite alterations</t>
  </si>
  <si>
    <t>pros_sim_ODI_Cognitive impairment</t>
  </si>
  <si>
    <t>cons_sim_ODI_Cognitive impairment</t>
  </si>
  <si>
    <t>pros_sim_ODI_Psycomotor alterations</t>
  </si>
  <si>
    <t>cons_sim_ODI_Psycomotor alterations</t>
  </si>
  <si>
    <t>pros_sim_ODI_Suicidal ideation</t>
  </si>
  <si>
    <t>cons_sim_ODI_Suicidal ideation</t>
  </si>
  <si>
    <t>JDI similarity</t>
  </si>
  <si>
    <t>pros_sim_JDI_Work itself</t>
  </si>
  <si>
    <t>cons_sim_JDI_Work itself</t>
  </si>
  <si>
    <t>pros_sim_JDI_Pay</t>
  </si>
  <si>
    <t>cons_sim_JDI_Pay</t>
  </si>
  <si>
    <t>pros_sim_JDI_Promotion</t>
  </si>
  <si>
    <t>cons_sim_JDI_Promotion</t>
  </si>
  <si>
    <t>pros_sim_JDI_Supervision</t>
  </si>
  <si>
    <t>cons_sim_JDI_Supervision</t>
  </si>
  <si>
    <t>pros_sim_JDI_Coworkers</t>
  </si>
  <si>
    <t>cons_sim_JDI_Coworkers</t>
  </si>
  <si>
    <t>Location related</t>
  </si>
  <si>
    <t>GDP per capita</t>
  </si>
  <si>
    <t>Population</t>
  </si>
  <si>
    <t>Precipitation</t>
  </si>
  <si>
    <t>AverageTemperatureF</t>
  </si>
  <si>
    <t>AverageTemperatureAvgHighF</t>
  </si>
  <si>
    <t>AverageTemperatureAvgLowF</t>
  </si>
  <si>
    <t>Republican/lean Rep.</t>
  </si>
  <si>
    <t>No lean</t>
  </si>
  <si>
    <t>Democrat/lean Dem.</t>
  </si>
  <si>
    <t>Crime index</t>
  </si>
  <si>
    <t>Price per square foot ($)</t>
  </si>
  <si>
    <t>PercentHighSchoolOrHigher</t>
  </si>
  <si>
    <t>PercentBachelorsOrHigher</t>
  </si>
  <si>
    <t>State Tax Rate</t>
  </si>
  <si>
    <t>Company related</t>
  </si>
  <si>
    <t>Market Capitalization</t>
  </si>
  <si>
    <t>NumberofEmployees</t>
  </si>
  <si>
    <t>Market Cap per Employee</t>
  </si>
  <si>
    <t>Founded</t>
  </si>
  <si>
    <t>month</t>
  </si>
  <si>
    <t>year</t>
  </si>
  <si>
    <t>Stock</t>
  </si>
  <si>
    <t>stock_percchange_month</t>
  </si>
  <si>
    <t>stock_percchange_year</t>
  </si>
  <si>
    <t>sp500_percchange_month</t>
  </si>
  <si>
    <t>sp500_percchange_year</t>
  </si>
  <si>
    <t>summary_ld_FW</t>
  </si>
  <si>
    <t>summary_ld_POS</t>
  </si>
  <si>
    <t>summary_ld_''</t>
  </si>
  <si>
    <t>pros_ld_#</t>
  </si>
  <si>
    <t>cons_ld_WP$</t>
  </si>
  <si>
    <t>cons_ld_#</t>
  </si>
  <si>
    <t>cons_ld_LS</t>
  </si>
  <si>
    <t>Days from</t>
  </si>
  <si>
    <t>days from review to t0</t>
  </si>
  <si>
    <t>days from foundation to t0</t>
  </si>
  <si>
    <t>days from foundation to review</t>
  </si>
  <si>
    <t>State targenc</t>
  </si>
  <si>
    <t>State name_targenc_median</t>
  </si>
  <si>
    <t>State name_targenc_mean</t>
  </si>
  <si>
    <t>Sector targenc</t>
  </si>
  <si>
    <t>Sector_targenc_median</t>
  </si>
  <si>
    <t>Sector_targenc_mean</t>
  </si>
  <si>
    <t>State OHE</t>
  </si>
  <si>
    <t>State name_Alabama_ohe</t>
  </si>
  <si>
    <t>State name_Alaska_ohe</t>
  </si>
  <si>
    <t>State name_Arizona_ohe</t>
  </si>
  <si>
    <t>State name_Arkansas_ohe</t>
  </si>
  <si>
    <t>State name_California_ohe</t>
  </si>
  <si>
    <t>State name_Colorado_ohe</t>
  </si>
  <si>
    <t>State name_Connecticut_ohe</t>
  </si>
  <si>
    <t>State name_Delaware_ohe</t>
  </si>
  <si>
    <t>State name_Florida_ohe</t>
  </si>
  <si>
    <t>State name_Georgia_ohe</t>
  </si>
  <si>
    <t>State name_Hawaii_ohe</t>
  </si>
  <si>
    <t>State name_Idaho_ohe</t>
  </si>
  <si>
    <t>State name_Illinois_ohe</t>
  </si>
  <si>
    <t>State name_Indiana_ohe</t>
  </si>
  <si>
    <t>State name_Iowa_ohe</t>
  </si>
  <si>
    <t>State name_Kansas_ohe</t>
  </si>
  <si>
    <t>State name_Kentucky_ohe</t>
  </si>
  <si>
    <t>State name_Louisiana_ohe</t>
  </si>
  <si>
    <t>State name_Maine_ohe</t>
  </si>
  <si>
    <t>State name_Maryland_ohe</t>
  </si>
  <si>
    <t>State name_Massachusetts_ohe</t>
  </si>
  <si>
    <t>State name_Michigan_ohe</t>
  </si>
  <si>
    <t>State name_Minnesota_ohe</t>
  </si>
  <si>
    <t>State name_Mississippi_ohe</t>
  </si>
  <si>
    <t>State name_Missouri_ohe</t>
  </si>
  <si>
    <t>State name_Nebraska_ohe</t>
  </si>
  <si>
    <t>State name_Nevada_ohe</t>
  </si>
  <si>
    <t>State name_New Jersey_ohe</t>
  </si>
  <si>
    <t>State name_New York_ohe</t>
  </si>
  <si>
    <t>State name_North Carolina_ohe</t>
  </si>
  <si>
    <t>State name_North Dakota_ohe</t>
  </si>
  <si>
    <t>State name_Ohio_ohe</t>
  </si>
  <si>
    <t>State name_Oklahoma_ohe</t>
  </si>
  <si>
    <t>State name_Oregon_ohe</t>
  </si>
  <si>
    <t>State name_Pennsylvania_ohe</t>
  </si>
  <si>
    <t>State name_Rhode Island_ohe</t>
  </si>
  <si>
    <t>State name_South Carolina_ohe</t>
  </si>
  <si>
    <t>State name_Tennessee_ohe</t>
  </si>
  <si>
    <t>State name_Texas_ohe</t>
  </si>
  <si>
    <t>State name_Utah_ohe</t>
  </si>
  <si>
    <t>State name_Virginia_ohe</t>
  </si>
  <si>
    <t>State name_Washington_ohe</t>
  </si>
  <si>
    <t>State name_West Virginia_ohe</t>
  </si>
  <si>
    <t>State name_Wisconsin_ohe</t>
  </si>
  <si>
    <t>State name_Wyoming_ohe</t>
  </si>
  <si>
    <t>Sector OHE</t>
  </si>
  <si>
    <t>Sector_Distribution Services_ohe</t>
  </si>
  <si>
    <t>Sector_Electronic Technology_ohe</t>
  </si>
  <si>
    <t>Sector_Health Technology_ohe</t>
  </si>
  <si>
    <t>Sector_Retail Trade_ohe</t>
  </si>
  <si>
    <t>Sector_Transportation_ohe</t>
  </si>
  <si>
    <t>Dashboard</t>
  </si>
  <si>
    <t>General</t>
  </si>
  <si>
    <t>Execution name</t>
  </si>
  <si>
    <t>20240512_070043</t>
  </si>
  <si>
    <t>Model type</t>
  </si>
  <si>
    <t>Number of folds</t>
  </si>
  <si>
    <t>Predictions deepdive</t>
  </si>
  <si>
    <t>Train real</t>
  </si>
  <si>
    <t>Test predicted</t>
  </si>
  <si>
    <t>Hyperparameter deepdive</t>
  </si>
  <si>
    <t>Hyperparameter</t>
  </si>
  <si>
    <t>n_estimators</t>
  </si>
  <si>
    <t>General inputs</t>
  </si>
  <si>
    <t>xxx</t>
  </si>
  <si>
    <t>Check</t>
  </si>
  <si>
    <t>elasticnet</t>
  </si>
  <si>
    <t>0:00:17.401253</t>
  </si>
  <si>
    <t>MAPE</t>
  </si>
  <si>
    <t>MSE</t>
  </si>
  <si>
    <t>0:00:01.405923</t>
  </si>
  <si>
    <t>0:00:21.709849</t>
  </si>
  <si>
    <t>0:00:13.639408</t>
  </si>
  <si>
    <t>0:06:52.260709</t>
  </si>
  <si>
    <t>0:00:00.873514</t>
  </si>
  <si>
    <t>0:00:02.276957</t>
  </si>
  <si>
    <t>0:00:04.035521</t>
  </si>
  <si>
    <t>0:07:50.813873</t>
  </si>
  <si>
    <t>0:00:00.835714</t>
  </si>
  <si>
    <t>0:00:02.509612</t>
  </si>
  <si>
    <t>0:00:04.654697</t>
  </si>
  <si>
    <t>0:18:56.420782</t>
  </si>
  <si>
    <t>xgboost</t>
  </si>
  <si>
    <t>0:30:51.608411</t>
  </si>
  <si>
    <t>0:15:58.122559</t>
  </si>
  <si>
    <t>0:46:22.477607</t>
  </si>
  <si>
    <t>0:25:54.997431</t>
  </si>
  <si>
    <t>0:42:20.614810</t>
  </si>
  <si>
    <t>0:07:09.743930</t>
  </si>
  <si>
    <t>0:11:51.596028</t>
  </si>
  <si>
    <t>0:17:27.777915</t>
  </si>
  <si>
    <t>0:52:51.357916</t>
  </si>
  <si>
    <t>0:07:20.944371</t>
  </si>
  <si>
    <t>0:13:08.996127</t>
  </si>
  <si>
    <t>0:19:27.074065</t>
  </si>
  <si>
    <t>1:13:32.713063</t>
  </si>
  <si>
    <t>decision_tree</t>
  </si>
  <si>
    <t>0:01:14.577478</t>
  </si>
  <si>
    <t>0:03:44.430937</t>
  </si>
  <si>
    <t>0:16:28.775699</t>
  </si>
  <si>
    <t>0:26:09.490564</t>
  </si>
  <si>
    <t>0:32:27.548476</t>
  </si>
  <si>
    <t>0:02:05.900675</t>
  </si>
  <si>
    <t>0:07:37.066353</t>
  </si>
  <si>
    <t>0:19:28.243976</t>
  </si>
  <si>
    <t>0:56:31.603085</t>
  </si>
  <si>
    <t>0:02:15.912627</t>
  </si>
  <si>
    <t>0:08:26.994706</t>
  </si>
  <si>
    <t>0:22:03.835057</t>
  </si>
  <si>
    <t>1:23:07.757102</t>
  </si>
  <si>
    <t>0:38:30.159807</t>
  </si>
  <si>
    <t>random_forest</t>
  </si>
  <si>
    <t>0:33:16.034946</t>
  </si>
  <si>
    <t>1:45:38.750272</t>
  </si>
  <si>
    <t>6:14:07.333198</t>
  </si>
  <si>
    <t>8:45:57.088049</t>
  </si>
  <si>
    <t>Train prediction inputs</t>
  </si>
  <si>
    <t>Real_20240511_133758</t>
  </si>
  <si>
    <t>Predicted_20240511_133758</t>
  </si>
  <si>
    <t>Real_20240511_165954</t>
  </si>
  <si>
    <t>Predicted_20240511_165954</t>
  </si>
  <si>
    <t>Real_20240511_174018</t>
  </si>
  <si>
    <t>Predicted_20240511_174018</t>
  </si>
  <si>
    <t>Real_20240512_070043</t>
  </si>
  <si>
    <t>Predicted_20240512_070043</t>
  </si>
  <si>
    <t>Real_20240519_212952</t>
  </si>
  <si>
    <t>Predicted_20240519_212952</t>
  </si>
  <si>
    <t>Real_20240519_214228</t>
  </si>
  <si>
    <t>Predicted_20240519_214228</t>
  </si>
  <si>
    <t>Real_20240525_195654</t>
  </si>
  <si>
    <t>Predicted_20240525_195654</t>
  </si>
  <si>
    <t>Real_20240525_214508</t>
  </si>
  <si>
    <t>Predicted_20240525_214508</t>
  </si>
  <si>
    <t>Real_20240526_062912</t>
  </si>
  <si>
    <t>Predicted_20240526_062912</t>
  </si>
  <si>
    <t>Real_20240526_190924</t>
  </si>
  <si>
    <t>Predicted_20240526_190924</t>
  </si>
  <si>
    <t>Real_20241020_205600</t>
  </si>
  <si>
    <t>Predicted_20241020_205600</t>
  </si>
  <si>
    <t>Real_20240604_084257</t>
  </si>
  <si>
    <t>Predicted_20240604_084257</t>
  </si>
  <si>
    <t>Real_20240615_175916</t>
  </si>
  <si>
    <t>Predicted_20240615_175916</t>
  </si>
  <si>
    <t>Real_20241019_194000</t>
  </si>
  <si>
    <t>Predicted_20241019_194000</t>
  </si>
  <si>
    <t>Real_20241022_071500</t>
  </si>
  <si>
    <t>Predicted_20241022_071500</t>
  </si>
  <si>
    <t>Test prediction inputs</t>
  </si>
  <si>
    <t>Execution deepdive inputs</t>
  </si>
  <si>
    <t>mean_fit_time</t>
  </si>
  <si>
    <t>std_fit_time</t>
  </si>
  <si>
    <t>mean_score_time</t>
  </si>
  <si>
    <t>std_score_time</t>
  </si>
  <si>
    <t>mean_test_score</t>
  </si>
  <si>
    <t>std_test_score</t>
  </si>
  <si>
    <t>rank_test_score</t>
  </si>
  <si>
    <t>split0_test_score</t>
  </si>
  <si>
    <t>split1_test_score</t>
  </si>
  <si>
    <t>split2_test_score</t>
  </si>
  <si>
    <t>split3_test_score</t>
  </si>
  <si>
    <t>split4_test_score</t>
  </si>
  <si>
    <t>param_0_name</t>
  </si>
  <si>
    <t>param_0</t>
  </si>
  <si>
    <t>param_1_name</t>
  </si>
  <si>
    <t>param_1</t>
  </si>
  <si>
    <t>param_2_name</t>
  </si>
  <si>
    <t>param_2</t>
  </si>
  <si>
    <t>param_3_name</t>
  </si>
  <si>
    <t>param_3</t>
  </si>
  <si>
    <t>param_4_name</t>
  </si>
  <si>
    <t>param_4</t>
  </si>
  <si>
    <t>param_5_name</t>
  </si>
  <si>
    <t>param_5</t>
  </si>
  <si>
    <t>param_6_name</t>
  </si>
  <si>
    <t>param_6</t>
  </si>
  <si>
    <t>param_7_name</t>
  </si>
  <si>
    <t>param_7</t>
  </si>
  <si>
    <t>20240511_133758</t>
  </si>
  <si>
    <t>max_iter</t>
  </si>
  <si>
    <t>l1_ratio</t>
  </si>
  <si>
    <t>alpha</t>
  </si>
  <si>
    <t>20240511_165954</t>
  </si>
  <si>
    <t>weights</t>
  </si>
  <si>
    <t>distance</t>
  </si>
  <si>
    <t>p</t>
  </si>
  <si>
    <t>n_neighbors</t>
  </si>
  <si>
    <t>uniform</t>
  </si>
  <si>
    <t>20240511_174018</t>
  </si>
  <si>
    <t>min_samples_split</t>
  </si>
  <si>
    <t>max_depth</t>
  </si>
  <si>
    <t>subsample</t>
  </si>
  <si>
    <t>reg_lambda</t>
  </si>
  <si>
    <t>reg_alpha</t>
  </si>
  <si>
    <t>learning_rate</t>
  </si>
  <si>
    <t>gamma</t>
  </si>
  <si>
    <t>colsample_bytree</t>
  </si>
  <si>
    <t>20240519_212952</t>
  </si>
  <si>
    <t>20240519_214228</t>
  </si>
  <si>
    <t>criterion</t>
  </si>
  <si>
    <t>friedman_mse</t>
  </si>
  <si>
    <t>absolute_error</t>
  </si>
  <si>
    <t>squared_error</t>
  </si>
  <si>
    <t>poisson</t>
  </si>
  <si>
    <t>20240525_195654</t>
  </si>
  <si>
    <t>20240525_214508</t>
  </si>
  <si>
    <t>20240526_062912</t>
  </si>
  <si>
    <t>20240526_190924</t>
  </si>
  <si>
    <t>20241020_2056000</t>
  </si>
  <si>
    <t>2024_10_19_194000</t>
  </si>
  <si>
    <t>20241022_071500</t>
  </si>
  <si>
    <t>Dropdowns</t>
  </si>
  <si>
    <t>Train values</t>
  </si>
  <si>
    <t>Test values</t>
  </si>
  <si>
    <t>Train bubbles</t>
  </si>
  <si>
    <t>Test bubbles</t>
  </si>
  <si>
    <t>Variables for index match</t>
  </si>
  <si>
    <t>Bucket</t>
  </si>
  <si>
    <t>Real</t>
  </si>
  <si>
    <t>Predicted bucket</t>
  </si>
  <si>
    <t>Count</t>
  </si>
  <si>
    <t>Hyperparameters</t>
  </si>
  <si>
    <t>=COUNTIFS(Dropdowns!$F$9#, Dashboard!$C25, Dropdowns!$H$9:$H$307, Dashboard!D$24) / COUNTA(Dropdowns!$F$9#)</t>
  </si>
  <si>
    <t>20260510_200916</t>
  </si>
  <si>
    <t>0:00:10</t>
  </si>
  <si>
    <t>20260510_200944</t>
  </si>
  <si>
    <t>0:03:14</t>
  </si>
  <si>
    <t>20260510_201349</t>
  </si>
  <si>
    <t>0:00:19</t>
  </si>
  <si>
    <t>20260511_161959</t>
  </si>
  <si>
    <t>0:50:58</t>
  </si>
  <si>
    <t>20260517_195042</t>
  </si>
  <si>
    <t>0:02:51</t>
  </si>
  <si>
    <t>20260517_194228</t>
  </si>
  <si>
    <t>0:05:17</t>
  </si>
  <si>
    <t>20260517_201027</t>
  </si>
  <si>
    <t>0:00:02</t>
  </si>
  <si>
    <t>20260517_201050</t>
  </si>
  <si>
    <t>0:00:04</t>
  </si>
  <si>
    <t>20260517_201115</t>
  </si>
  <si>
    <t>0:00:03</t>
  </si>
  <si>
    <t>20260517_201139</t>
  </si>
  <si>
    <t>0:07:55</t>
  </si>
  <si>
    <t>20260517_202121</t>
  </si>
  <si>
    <t>0:51:09</t>
  </si>
  <si>
    <t>20260517_211354</t>
  </si>
  <si>
    <t>0:43:09</t>
  </si>
  <si>
    <t>20260517_220031</t>
  </si>
  <si>
    <t>0:00:44</t>
  </si>
  <si>
    <t>20260517_220136</t>
  </si>
  <si>
    <t>0:02:33</t>
  </si>
  <si>
    <t>20260517_220429</t>
  </si>
  <si>
    <t>0:01:47</t>
  </si>
  <si>
    <t>20260517_220637</t>
  </si>
  <si>
    <t>0:57:39</t>
  </si>
  <si>
    <t>20260517_230505</t>
  </si>
  <si>
    <t>1:57:29</t>
  </si>
  <si>
    <t>20260518_010401</t>
  </si>
  <si>
    <t>1:42:01</t>
  </si>
  <si>
    <t>20260518_024652</t>
  </si>
  <si>
    <t>0:14:53</t>
  </si>
  <si>
    <t>20260518_030252</t>
  </si>
  <si>
    <t>0:25:51</t>
  </si>
  <si>
    <t>20260518_033010</t>
  </si>
  <si>
    <t>0:21:20</t>
  </si>
  <si>
    <t>20260518_035246</t>
  </si>
  <si>
    <t>0:04:58</t>
  </si>
  <si>
    <t>20260518_035805</t>
  </si>
  <si>
    <t>0:11:11</t>
  </si>
  <si>
    <t>20260518_040938</t>
  </si>
  <si>
    <t>0:08:43</t>
  </si>
  <si>
    <t>20260518_041843</t>
  </si>
  <si>
    <t>0:08:45</t>
  </si>
  <si>
    <t>20260505_175409</t>
  </si>
  <si>
    <t>0:01:58</t>
  </si>
  <si>
    <t>20260505_175625</t>
  </si>
  <si>
    <t>0:00:01</t>
  </si>
  <si>
    <t>20260505_175643</t>
  </si>
  <si>
    <t>20260505_175702</t>
  </si>
  <si>
    <t>20260505_175720</t>
  </si>
  <si>
    <t>0:49:04</t>
  </si>
  <si>
    <t>20260505_185051</t>
  </si>
  <si>
    <t>0:00:33</t>
  </si>
  <si>
    <t>20260505_185210</t>
  </si>
  <si>
    <t>0:22:07</t>
  </si>
  <si>
    <t>20260505_191602</t>
  </si>
  <si>
    <t>0:26:05</t>
  </si>
  <si>
    <t>20260505_200950</t>
  </si>
  <si>
    <t>0:00:20</t>
  </si>
  <si>
    <t>20260505_201028</t>
  </si>
  <si>
    <t>0:00:08</t>
  </si>
  <si>
    <t>20260505_201054</t>
  </si>
  <si>
    <t>0:00:27</t>
  </si>
  <si>
    <t>20260505_201139</t>
  </si>
  <si>
    <t>0:00:21</t>
  </si>
  <si>
    <t>20260506_111118</t>
  </si>
  <si>
    <t>0:23:03</t>
  </si>
  <si>
    <t>20260506_113543</t>
  </si>
  <si>
    <t>0:32:60</t>
  </si>
  <si>
    <t>20260506_120912</t>
  </si>
  <si>
    <t>0:59:57</t>
  </si>
  <si>
    <t>20260506_130954</t>
  </si>
  <si>
    <t>0:40:49</t>
  </si>
  <si>
    <t>20260511_162030</t>
  </si>
  <si>
    <t>7:56:25</t>
  </si>
  <si>
    <t>20260512_002412</t>
  </si>
  <si>
    <t>2:15:48</t>
  </si>
  <si>
    <t>20260512_024301</t>
  </si>
  <si>
    <t>3:23:16</t>
  </si>
  <si>
    <t>20260512_061056</t>
  </si>
  <si>
    <t>3:32:14</t>
  </si>
  <si>
    <t>20260512_094719</t>
  </si>
  <si>
    <t>0:15:33</t>
  </si>
  <si>
    <t>20260512_100310</t>
  </si>
  <si>
    <t>0:03:55</t>
  </si>
  <si>
    <t>20260512_100722</t>
  </si>
  <si>
    <t>0:07:52</t>
  </si>
  <si>
    <t>20260512_101531</t>
  </si>
  <si>
    <t>0:07:09</t>
  </si>
  <si>
    <t>20260518_043032</t>
  </si>
  <si>
    <t>0:02:27</t>
  </si>
  <si>
    <t>20260518_043319</t>
  </si>
  <si>
    <t>20260518_043340</t>
  </si>
  <si>
    <t>20260518_043404</t>
  </si>
  <si>
    <t>20260518_043427</t>
  </si>
  <si>
    <t>2:00:44</t>
  </si>
  <si>
    <t>20260518_064623</t>
  </si>
  <si>
    <t>0:01:37</t>
  </si>
  <si>
    <t>20260518_064838</t>
  </si>
  <si>
    <t>0:43:12</t>
  </si>
  <si>
    <t>20260518_073524</t>
  </si>
  <si>
    <t>1:35:33</t>
  </si>
  <si>
    <t>20260518_093109</t>
  </si>
  <si>
    <t>0:01:15</t>
  </si>
  <si>
    <t>20260518_093243</t>
  </si>
  <si>
    <t>0:00:37</t>
  </si>
  <si>
    <t>20260518_093340</t>
  </si>
  <si>
    <t>0:02:02</t>
  </si>
  <si>
    <t>20260518_093601</t>
  </si>
  <si>
    <t>0:01:32</t>
  </si>
  <si>
    <t>20260518_093753</t>
  </si>
  <si>
    <t>0:45:17</t>
  </si>
  <si>
    <t>20260518_102438</t>
  </si>
  <si>
    <t>1:02:07</t>
  </si>
  <si>
    <t>20260518_112718</t>
  </si>
  <si>
    <t>1:55:24</t>
  </si>
  <si>
    <t>20260518_132331</t>
  </si>
  <si>
    <t>1:19:22</t>
  </si>
  <si>
    <t>20260518_144338</t>
  </si>
  <si>
    <t>0:49:55</t>
  </si>
  <si>
    <t>20260518_153546</t>
  </si>
  <si>
    <t>0:14:10</t>
  </si>
  <si>
    <t>20260518_155101</t>
  </si>
  <si>
    <t>0:22:47</t>
  </si>
  <si>
    <t>20260518_161504</t>
  </si>
  <si>
    <t>0:24:11</t>
  </si>
  <si>
    <t>20260518_164035</t>
  </si>
  <si>
    <t>0:16:33</t>
  </si>
  <si>
    <t>20260518_165729</t>
  </si>
  <si>
    <t>0:04:16</t>
  </si>
  <si>
    <t>20260518_170205</t>
  </si>
  <si>
    <t>0:08:58</t>
  </si>
  <si>
    <t>20260518_171123</t>
  </si>
  <si>
    <t>0:07:59</t>
  </si>
  <si>
    <t>20260512_154119</t>
  </si>
  <si>
    <t>0:02:11</t>
  </si>
  <si>
    <t>20260512_154347</t>
  </si>
  <si>
    <t>1:56:23</t>
  </si>
  <si>
    <t>20260512_175117</t>
  </si>
  <si>
    <t>0:01:25</t>
  </si>
  <si>
    <t>20260512_175258</t>
  </si>
  <si>
    <t>0:49:53</t>
  </si>
  <si>
    <t>20260512_184508</t>
  </si>
  <si>
    <t>7:37:24</t>
  </si>
  <si>
    <t>20260513_022910</t>
  </si>
  <si>
    <t>0:00:13</t>
  </si>
  <si>
    <t>6-1</t>
  </si>
  <si>
    <t>LightGBM</t>
  </si>
  <si>
    <t>20260514_161728</t>
  </si>
  <si>
    <t>0:04:52</t>
  </si>
  <si>
    <t>6-2</t>
  </si>
  <si>
    <t>20260514_162241</t>
  </si>
  <si>
    <t>0:04:59</t>
  </si>
  <si>
    <t>6-3</t>
  </si>
  <si>
    <t>20260514_162802</t>
  </si>
  <si>
    <t>0:09:59</t>
  </si>
  <si>
    <t>6-4</t>
  </si>
  <si>
    <t>20260514_163827</t>
  </si>
  <si>
    <t>0:08:12</t>
  </si>
  <si>
    <t>6-5</t>
  </si>
  <si>
    <t>20260514_164704</t>
  </si>
  <si>
    <t>0:15:12</t>
  </si>
  <si>
    <t>6-6</t>
  </si>
  <si>
    <t>20260514_170242</t>
  </si>
  <si>
    <t>0:04:30</t>
  </si>
  <si>
    <t>6-7</t>
  </si>
  <si>
    <t>20260514_170735</t>
  </si>
  <si>
    <t>0:08:18</t>
  </si>
  <si>
    <t>6-8</t>
  </si>
  <si>
    <t>20260514_171617</t>
  </si>
  <si>
    <t>0:07:28</t>
  </si>
  <si>
    <t>6-9</t>
  </si>
  <si>
    <t>20260514_172410</t>
  </si>
  <si>
    <t>0:15:06</t>
  </si>
  <si>
    <t>6-10</t>
  </si>
  <si>
    <t>20260514_173942</t>
  </si>
  <si>
    <t>0:04:27</t>
  </si>
  <si>
    <t>6-11</t>
  </si>
  <si>
    <t>20260514_174432</t>
  </si>
  <si>
    <t>0:08:15</t>
  </si>
  <si>
    <t>6-12</t>
  </si>
  <si>
    <t>20260514_175311</t>
  </si>
  <si>
    <t>0:07:31</t>
  </si>
  <si>
    <t>6-13</t>
  </si>
  <si>
    <t>20260514_180106</t>
  </si>
  <si>
    <t>0:17:23</t>
  </si>
  <si>
    <t>6e-1</t>
  </si>
  <si>
    <t>LightGBM (Estandarizado)</t>
  </si>
  <si>
    <t>20260518_172229</t>
  </si>
  <si>
    <t>0:04:57</t>
  </si>
  <si>
    <t>6e-2</t>
  </si>
  <si>
    <t>20260518_172748</t>
  </si>
  <si>
    <t>0:05:00</t>
  </si>
  <si>
    <t>6e-3</t>
  </si>
  <si>
    <t>20260518_173310</t>
  </si>
  <si>
    <t>6e-4</t>
  </si>
  <si>
    <t>20260518_174334</t>
  </si>
  <si>
    <t>0:08:11</t>
  </si>
  <si>
    <t>6e-5</t>
  </si>
  <si>
    <t>20260518_175211</t>
  </si>
  <si>
    <t>0:15:28</t>
  </si>
  <si>
    <t>6e-6</t>
  </si>
  <si>
    <t>20260518_180804</t>
  </si>
  <si>
    <t>0:04:29</t>
  </si>
  <si>
    <t>6e-7</t>
  </si>
  <si>
    <t>20260518_181257</t>
  </si>
  <si>
    <t>0:08:16</t>
  </si>
  <si>
    <t>6e-8</t>
  </si>
  <si>
    <t>20260518_182138</t>
  </si>
  <si>
    <t>0:07:30</t>
  </si>
  <si>
    <t>6e-9</t>
  </si>
  <si>
    <t>20260518_182932</t>
  </si>
  <si>
    <t>6e-10</t>
  </si>
  <si>
    <t>20260518_184511</t>
  </si>
  <si>
    <t>0:04:24</t>
  </si>
  <si>
    <t>6e-11</t>
  </si>
  <si>
    <t>20260518_184958</t>
  </si>
  <si>
    <t>0:08:14</t>
  </si>
  <si>
    <t>6e-12</t>
  </si>
  <si>
    <t>20260518_185836</t>
  </si>
  <si>
    <t>6e-13</t>
  </si>
  <si>
    <t>20260518_190632</t>
  </si>
  <si>
    <t>0:17:30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</si>
</sst>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/>
  </cellStyleXfs>
  <cellXfs count="48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2" fillId="2" borderId="0" xfId="0" applyFont="1" applyFill="1"/>
    <xf numFmtId="0" fontId="0" fillId="3" borderId="1" xfId="0" quotePrefix="1" applyFill="1" applyBorder="1"/>
    <xf numFmtId="0" fontId="1" fillId="2" borderId="5" xfId="0" applyFont="1" applyFill="1" applyBorder="1"/>
    <xf numFmtId="0" fontId="0" fillId="3" borderId="6" xfId="0" quotePrefix="1" applyFill="1" applyBorder="1"/>
    <xf numFmtId="0" fontId="0" fillId="3" borderId="2" xfId="0" quotePrefix="1" applyFill="1" applyBorder="1"/>
    <xf numFmtId="0" fontId="0" fillId="4" borderId="0" xfId="0" applyFill="1"/>
    <xf numFmtId="0" fontId="0" fillId="4" borderId="7" xfId="0" applyFill="1" applyBorder="1"/>
    <xf numFmtId="0" fontId="0" fillId="4" borderId="8" xfId="0" applyFill="1" applyBorder="1"/>
    <xf numFmtId="0" fontId="1" fillId="5" borderId="0" xfId="0" applyFont="1" applyFill="1"/>
    <xf numFmtId="0" fontId="2" fillId="5" borderId="0" xfId="0" applyFont="1" applyFill="1"/>
    <xf numFmtId="0" fontId="1" fillId="0" borderId="0" xfId="0" applyFont="1"/>
    <xf numFmtId="9" fontId="0" fillId="3" borderId="2" xfId="1" applyFont="1" applyFill="1" applyBorder="1"/>
    <xf numFmtId="9" fontId="0" fillId="0" borderId="0" xfId="1" applyFont="1"/>
    <xf numFmtId="0" fontId="1" fillId="6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Continuous"/>
    </xf>
    <xf numFmtId="0" fontId="4" fillId="0" borderId="0" xfId="0" applyFont="1"/>
    <xf numFmtId="0" fontId="0" fillId="0" borderId="0" xfId="0" applyAlignment="1">
      <alignment horizontal="centerContinuous"/>
    </xf>
    <xf numFmtId="0" fontId="1" fillId="2" borderId="0" xfId="0" applyFont="1" applyFill="1" applyAlignment="1">
      <alignment horizontal="centerContinuous"/>
    </xf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9" fontId="0" fillId="0" borderId="13" xfId="1" applyFont="1" applyBorder="1"/>
    <xf numFmtId="9" fontId="0" fillId="0" borderId="14" xfId="1" applyFont="1" applyBorder="1"/>
    <xf numFmtId="0" fontId="1" fillId="2" borderId="15" xfId="0" applyFont="1" applyFill="1" applyBorder="1"/>
    <xf numFmtId="9" fontId="0" fillId="0" borderId="16" xfId="1" applyFont="1" applyBorder="1"/>
    <xf numFmtId="9" fontId="0" fillId="0" borderId="17" xfId="1" applyFont="1" applyBorder="1"/>
    <xf numFmtId="0" fontId="0" fillId="0" borderId="0" xfId="0" quotePrefix="1"/>
    <xf numFmtId="0" fontId="0" fillId="2" borderId="0" xfId="0" applyFill="1"/>
    <xf numFmtId="0" fontId="0" fillId="5" borderId="0" xfId="0" applyFill="1"/>
    <xf numFmtId="9" fontId="0" fillId="3" borderId="1" xfId="1" quotePrefix="1" applyFont="1" applyFill="1" applyBorder="1"/>
    <xf numFmtId="9" fontId="0" fillId="3" borderId="6" xfId="1" quotePrefix="1" applyFont="1" applyFill="1" applyBorder="1"/>
    <xf numFmtId="0" fontId="0" fillId="8" borderId="4" xfId="0" quotePrefix="1" applyFill="1" applyBorder="1"/>
    <xf numFmtId="0" fontId="0" fillId="9" borderId="0" xfId="0" applyFill="1"/>
    <xf numFmtId="0" fontId="0" fillId="3" borderId="3" xfId="0" quotePrefix="1" applyFill="1" applyBorder="1"/>
    <xf numFmtId="9" fontId="0" fillId="3" borderId="3" xfId="1" quotePrefix="1" applyFont="1" applyFill="1" applyBorder="1"/>
    <xf numFmtId="9" fontId="0" fillId="3" borderId="18" xfId="1" quotePrefix="1" applyFont="1" applyFill="1" applyBorder="1"/>
    <xf numFmtId="0" fontId="0" fillId="10" borderId="1" xfId="0" quotePrefix="1" applyFill="1" applyBorder="1"/>
    <xf numFmtId="9" fontId="0" fillId="10" borderId="1" xfId="1" quotePrefix="1" applyFont="1" applyFill="1" applyBorder="1"/>
  </cellXfs>
  <cellStyles count="2">
    <cellStyle name="Normal" xfId="0" builtinId="0"/>
    <cellStyle name="Per 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Train dataset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Dropdowns!$F$9:$F$285283</c:f>
              <c:numCache>
                <c:formatCode>General</c:formatCode>
                <c:ptCount val="285275"/>
                <c:pt idx="0">
                  <c:v>3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5</c:v>
                </c:pt>
                <c:pt idx="21">
                  <c:v>1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4</c:v>
                </c:pt>
                <c:pt idx="30">
                  <c:v>1</c:v>
                </c:pt>
                <c:pt idx="31">
                  <c:v>5</c:v>
                </c:pt>
                <c:pt idx="32">
                  <c:v>3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3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4</c:v>
                </c:pt>
                <c:pt idx="49">
                  <c:v>4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5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4</c:v>
                </c:pt>
                <c:pt idx="67">
                  <c:v>5</c:v>
                </c:pt>
                <c:pt idx="68">
                  <c:v>3</c:v>
                </c:pt>
                <c:pt idx="69">
                  <c:v>5</c:v>
                </c:pt>
                <c:pt idx="70">
                  <c:v>3</c:v>
                </c:pt>
                <c:pt idx="71">
                  <c:v>1</c:v>
                </c:pt>
                <c:pt idx="72">
                  <c:v>5</c:v>
                </c:pt>
                <c:pt idx="73">
                  <c:v>5</c:v>
                </c:pt>
                <c:pt idx="74">
                  <c:v>4</c:v>
                </c:pt>
                <c:pt idx="75">
                  <c:v>5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1</c:v>
                </c:pt>
                <c:pt idx="84">
                  <c:v>5</c:v>
                </c:pt>
                <c:pt idx="85">
                  <c:v>4</c:v>
                </c:pt>
                <c:pt idx="86">
                  <c:v>3</c:v>
                </c:pt>
                <c:pt idx="87">
                  <c:v>5</c:v>
                </c:pt>
                <c:pt idx="88">
                  <c:v>3</c:v>
                </c:pt>
                <c:pt idx="89">
                  <c:v>2</c:v>
                </c:pt>
                <c:pt idx="90">
                  <c:v>3</c:v>
                </c:pt>
                <c:pt idx="91">
                  <c:v>5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2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4</c:v>
                </c:pt>
                <c:pt idx="105">
                  <c:v>1</c:v>
                </c:pt>
                <c:pt idx="106">
                  <c:v>3</c:v>
                </c:pt>
                <c:pt idx="107">
                  <c:v>4</c:v>
                </c:pt>
                <c:pt idx="108">
                  <c:v>3</c:v>
                </c:pt>
                <c:pt idx="109">
                  <c:v>5</c:v>
                </c:pt>
                <c:pt idx="110">
                  <c:v>5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4</c:v>
                </c:pt>
                <c:pt idx="118">
                  <c:v>5</c:v>
                </c:pt>
                <c:pt idx="119">
                  <c:v>3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5</c:v>
                </c:pt>
                <c:pt idx="124">
                  <c:v>1</c:v>
                </c:pt>
                <c:pt idx="125">
                  <c:v>5</c:v>
                </c:pt>
                <c:pt idx="126">
                  <c:v>5</c:v>
                </c:pt>
                <c:pt idx="127">
                  <c:v>4</c:v>
                </c:pt>
                <c:pt idx="128">
                  <c:v>5</c:v>
                </c:pt>
                <c:pt idx="129">
                  <c:v>5</c:v>
                </c:pt>
                <c:pt idx="130">
                  <c:v>3</c:v>
                </c:pt>
                <c:pt idx="131">
                  <c:v>5</c:v>
                </c:pt>
                <c:pt idx="132">
                  <c:v>1</c:v>
                </c:pt>
                <c:pt idx="133">
                  <c:v>5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3</c:v>
                </c:pt>
                <c:pt idx="138">
                  <c:v>1</c:v>
                </c:pt>
                <c:pt idx="139">
                  <c:v>3</c:v>
                </c:pt>
                <c:pt idx="140">
                  <c:v>1</c:v>
                </c:pt>
                <c:pt idx="141">
                  <c:v>5</c:v>
                </c:pt>
                <c:pt idx="142">
                  <c:v>4</c:v>
                </c:pt>
                <c:pt idx="143">
                  <c:v>3</c:v>
                </c:pt>
                <c:pt idx="144">
                  <c:v>5</c:v>
                </c:pt>
                <c:pt idx="145">
                  <c:v>4</c:v>
                </c:pt>
                <c:pt idx="146">
                  <c:v>3</c:v>
                </c:pt>
                <c:pt idx="147">
                  <c:v>5</c:v>
                </c:pt>
                <c:pt idx="148">
                  <c:v>5</c:v>
                </c:pt>
                <c:pt idx="149">
                  <c:v>4</c:v>
                </c:pt>
                <c:pt idx="150">
                  <c:v>4</c:v>
                </c:pt>
                <c:pt idx="151">
                  <c:v>3</c:v>
                </c:pt>
                <c:pt idx="152">
                  <c:v>4</c:v>
                </c:pt>
                <c:pt idx="153">
                  <c:v>1</c:v>
                </c:pt>
                <c:pt idx="154">
                  <c:v>3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1</c:v>
                </c:pt>
                <c:pt idx="160">
                  <c:v>5</c:v>
                </c:pt>
                <c:pt idx="161">
                  <c:v>3</c:v>
                </c:pt>
                <c:pt idx="162">
                  <c:v>1</c:v>
                </c:pt>
                <c:pt idx="163">
                  <c:v>5</c:v>
                </c:pt>
                <c:pt idx="164">
                  <c:v>3</c:v>
                </c:pt>
                <c:pt idx="165">
                  <c:v>3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5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2</c:v>
                </c:pt>
                <c:pt idx="174">
                  <c:v>4</c:v>
                </c:pt>
                <c:pt idx="175">
                  <c:v>5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2</c:v>
                </c:pt>
                <c:pt idx="180">
                  <c:v>5</c:v>
                </c:pt>
                <c:pt idx="181">
                  <c:v>4</c:v>
                </c:pt>
                <c:pt idx="182">
                  <c:v>3</c:v>
                </c:pt>
                <c:pt idx="183">
                  <c:v>3</c:v>
                </c:pt>
                <c:pt idx="184">
                  <c:v>4</c:v>
                </c:pt>
                <c:pt idx="185">
                  <c:v>3</c:v>
                </c:pt>
                <c:pt idx="186">
                  <c:v>4</c:v>
                </c:pt>
                <c:pt idx="187">
                  <c:v>5</c:v>
                </c:pt>
                <c:pt idx="188">
                  <c:v>1</c:v>
                </c:pt>
                <c:pt idx="189">
                  <c:v>5</c:v>
                </c:pt>
                <c:pt idx="190">
                  <c:v>1</c:v>
                </c:pt>
                <c:pt idx="191">
                  <c:v>3</c:v>
                </c:pt>
                <c:pt idx="192">
                  <c:v>5</c:v>
                </c:pt>
                <c:pt idx="193">
                  <c:v>3</c:v>
                </c:pt>
                <c:pt idx="194">
                  <c:v>5</c:v>
                </c:pt>
                <c:pt idx="195">
                  <c:v>4</c:v>
                </c:pt>
                <c:pt idx="196">
                  <c:v>4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4</c:v>
                </c:pt>
                <c:pt idx="202">
                  <c:v>2</c:v>
                </c:pt>
                <c:pt idx="203">
                  <c:v>1</c:v>
                </c:pt>
                <c:pt idx="204">
                  <c:v>2</c:v>
                </c:pt>
                <c:pt idx="205">
                  <c:v>2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5</c:v>
                </c:pt>
                <c:pt idx="210">
                  <c:v>2</c:v>
                </c:pt>
                <c:pt idx="211">
                  <c:v>3</c:v>
                </c:pt>
                <c:pt idx="212">
                  <c:v>5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5</c:v>
                </c:pt>
                <c:pt idx="217">
                  <c:v>5</c:v>
                </c:pt>
                <c:pt idx="218">
                  <c:v>4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4</c:v>
                </c:pt>
                <c:pt idx="223">
                  <c:v>2</c:v>
                </c:pt>
                <c:pt idx="224">
                  <c:v>5</c:v>
                </c:pt>
                <c:pt idx="225">
                  <c:v>4</c:v>
                </c:pt>
                <c:pt idx="226">
                  <c:v>1</c:v>
                </c:pt>
                <c:pt idx="227">
                  <c:v>4</c:v>
                </c:pt>
                <c:pt idx="228">
                  <c:v>4</c:v>
                </c:pt>
                <c:pt idx="229">
                  <c:v>5</c:v>
                </c:pt>
                <c:pt idx="230">
                  <c:v>4</c:v>
                </c:pt>
                <c:pt idx="231">
                  <c:v>3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3</c:v>
                </c:pt>
                <c:pt idx="236">
                  <c:v>4</c:v>
                </c:pt>
                <c:pt idx="237">
                  <c:v>3</c:v>
                </c:pt>
                <c:pt idx="238">
                  <c:v>4</c:v>
                </c:pt>
                <c:pt idx="239">
                  <c:v>4</c:v>
                </c:pt>
                <c:pt idx="240">
                  <c:v>2</c:v>
                </c:pt>
                <c:pt idx="241">
                  <c:v>4</c:v>
                </c:pt>
                <c:pt idx="242">
                  <c:v>5</c:v>
                </c:pt>
                <c:pt idx="243">
                  <c:v>3</c:v>
                </c:pt>
                <c:pt idx="244">
                  <c:v>4</c:v>
                </c:pt>
                <c:pt idx="245">
                  <c:v>4</c:v>
                </c:pt>
                <c:pt idx="246">
                  <c:v>4</c:v>
                </c:pt>
                <c:pt idx="247">
                  <c:v>4</c:v>
                </c:pt>
                <c:pt idx="248">
                  <c:v>2</c:v>
                </c:pt>
                <c:pt idx="249">
                  <c:v>5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5</c:v>
                </c:pt>
                <c:pt idx="254">
                  <c:v>5</c:v>
                </c:pt>
                <c:pt idx="255">
                  <c:v>3</c:v>
                </c:pt>
                <c:pt idx="256">
                  <c:v>2</c:v>
                </c:pt>
                <c:pt idx="257">
                  <c:v>3</c:v>
                </c:pt>
                <c:pt idx="258">
                  <c:v>3</c:v>
                </c:pt>
                <c:pt idx="259">
                  <c:v>4</c:v>
                </c:pt>
                <c:pt idx="260">
                  <c:v>2</c:v>
                </c:pt>
                <c:pt idx="261">
                  <c:v>4</c:v>
                </c:pt>
                <c:pt idx="262">
                  <c:v>2</c:v>
                </c:pt>
                <c:pt idx="263">
                  <c:v>1</c:v>
                </c:pt>
                <c:pt idx="264">
                  <c:v>3</c:v>
                </c:pt>
                <c:pt idx="265">
                  <c:v>4</c:v>
                </c:pt>
                <c:pt idx="266">
                  <c:v>3</c:v>
                </c:pt>
                <c:pt idx="267">
                  <c:v>5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5</c:v>
                </c:pt>
                <c:pt idx="279">
                  <c:v>4</c:v>
                </c:pt>
                <c:pt idx="280">
                  <c:v>5</c:v>
                </c:pt>
                <c:pt idx="281">
                  <c:v>5</c:v>
                </c:pt>
                <c:pt idx="282">
                  <c:v>4</c:v>
                </c:pt>
                <c:pt idx="283">
                  <c:v>2</c:v>
                </c:pt>
                <c:pt idx="284">
                  <c:v>4</c:v>
                </c:pt>
                <c:pt idx="285">
                  <c:v>5</c:v>
                </c:pt>
                <c:pt idx="286">
                  <c:v>1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5</c:v>
                </c:pt>
                <c:pt idx="291">
                  <c:v>1</c:v>
                </c:pt>
                <c:pt idx="292">
                  <c:v>4</c:v>
                </c:pt>
                <c:pt idx="293">
                  <c:v>3</c:v>
                </c:pt>
                <c:pt idx="294">
                  <c:v>3</c:v>
                </c:pt>
                <c:pt idx="295">
                  <c:v>4</c:v>
                </c:pt>
                <c:pt idx="296">
                  <c:v>5</c:v>
                </c:pt>
                <c:pt idx="297">
                  <c:v>4</c:v>
                </c:pt>
                <c:pt idx="298">
                  <c:v>5</c:v>
                </c:pt>
              </c:numCache>
            </c:numRef>
          </c:xVal>
          <c:yVal>
            <c:numRef>
              <c:f>Dropdowns!$G$9:$G$285283</c:f>
              <c:numCache>
                <c:formatCode>General</c:formatCode>
                <c:ptCount val="285275"/>
                <c:pt idx="0">
                  <c:v>3.3647306000000001</c:v>
                </c:pt>
                <c:pt idx="1">
                  <c:v>4.3741764999999999</c:v>
                </c:pt>
                <c:pt idx="2">
                  <c:v>2.8082880000000001</c:v>
                </c:pt>
                <c:pt idx="3">
                  <c:v>4.2254452999999996</c:v>
                </c:pt>
                <c:pt idx="4">
                  <c:v>4.0832623999999997</c:v>
                </c:pt>
                <c:pt idx="5">
                  <c:v>4.1902245999999996</c:v>
                </c:pt>
                <c:pt idx="6">
                  <c:v>2.1649487000000001</c:v>
                </c:pt>
                <c:pt idx="7">
                  <c:v>4.3592829999999996</c:v>
                </c:pt>
                <c:pt idx="8">
                  <c:v>4.7625630000000001</c:v>
                </c:pt>
                <c:pt idx="9">
                  <c:v>4.4991890000000003</c:v>
                </c:pt>
                <c:pt idx="10">
                  <c:v>3.6603520000000001</c:v>
                </c:pt>
                <c:pt idx="11">
                  <c:v>2.7960148</c:v>
                </c:pt>
                <c:pt idx="12">
                  <c:v>1.3468715</c:v>
                </c:pt>
                <c:pt idx="13">
                  <c:v>3.4593731999999999</c:v>
                </c:pt>
                <c:pt idx="14">
                  <c:v>3.4699285</c:v>
                </c:pt>
                <c:pt idx="15">
                  <c:v>4.1329092999999997</c:v>
                </c:pt>
                <c:pt idx="16">
                  <c:v>4.5013866</c:v>
                </c:pt>
                <c:pt idx="17">
                  <c:v>4.0105466999999999</c:v>
                </c:pt>
                <c:pt idx="18">
                  <c:v>3.7893829999999999</c:v>
                </c:pt>
                <c:pt idx="19">
                  <c:v>2.9605904000000001</c:v>
                </c:pt>
                <c:pt idx="20">
                  <c:v>4.3689203000000001</c:v>
                </c:pt>
                <c:pt idx="21">
                  <c:v>3.0835533000000002</c:v>
                </c:pt>
                <c:pt idx="22">
                  <c:v>4.3013386999999996</c:v>
                </c:pt>
                <c:pt idx="23">
                  <c:v>2.3461927999999999</c:v>
                </c:pt>
                <c:pt idx="24">
                  <c:v>3.9366976999999999</c:v>
                </c:pt>
                <c:pt idx="25">
                  <c:v>4.2503310000000001</c:v>
                </c:pt>
                <c:pt idx="26">
                  <c:v>4.0923020000000001</c:v>
                </c:pt>
                <c:pt idx="27">
                  <c:v>3.9137602</c:v>
                </c:pt>
                <c:pt idx="28">
                  <c:v>3.9616525</c:v>
                </c:pt>
                <c:pt idx="29">
                  <c:v>3.6707825999999999</c:v>
                </c:pt>
                <c:pt idx="30">
                  <c:v>2.0759623</c:v>
                </c:pt>
                <c:pt idx="31">
                  <c:v>4.198779</c:v>
                </c:pt>
                <c:pt idx="32">
                  <c:v>2.6105744999999998</c:v>
                </c:pt>
                <c:pt idx="33">
                  <c:v>4.4788103000000001</c:v>
                </c:pt>
                <c:pt idx="34">
                  <c:v>3.9551332000000001</c:v>
                </c:pt>
                <c:pt idx="35">
                  <c:v>4.2761263999999999</c:v>
                </c:pt>
                <c:pt idx="36">
                  <c:v>3.5613039999999998</c:v>
                </c:pt>
                <c:pt idx="37">
                  <c:v>4.3495407000000004</c:v>
                </c:pt>
                <c:pt idx="38">
                  <c:v>3.4374060000000002</c:v>
                </c:pt>
                <c:pt idx="39">
                  <c:v>3.3067739999999999</c:v>
                </c:pt>
                <c:pt idx="40">
                  <c:v>3.3005694999999999</c:v>
                </c:pt>
                <c:pt idx="41">
                  <c:v>4.3593286999999998</c:v>
                </c:pt>
                <c:pt idx="42">
                  <c:v>3.8607108999999999</c:v>
                </c:pt>
                <c:pt idx="43">
                  <c:v>4.4140506000000004</c:v>
                </c:pt>
                <c:pt idx="44">
                  <c:v>3.6680666999999998</c:v>
                </c:pt>
                <c:pt idx="45">
                  <c:v>3.360744</c:v>
                </c:pt>
                <c:pt idx="46">
                  <c:v>3.8373789999999999</c:v>
                </c:pt>
                <c:pt idx="47">
                  <c:v>4.1116624000000002</c:v>
                </c:pt>
                <c:pt idx="48">
                  <c:v>3.1299060000000001</c:v>
                </c:pt>
                <c:pt idx="49">
                  <c:v>3.7154036000000001</c:v>
                </c:pt>
                <c:pt idx="50">
                  <c:v>1.8955230999999999</c:v>
                </c:pt>
                <c:pt idx="51">
                  <c:v>3.7571778</c:v>
                </c:pt>
                <c:pt idx="52">
                  <c:v>2.8875039</c:v>
                </c:pt>
                <c:pt idx="53">
                  <c:v>3.4940736000000001</c:v>
                </c:pt>
                <c:pt idx="54">
                  <c:v>4.0678362999999997</c:v>
                </c:pt>
                <c:pt idx="55">
                  <c:v>3.5926049</c:v>
                </c:pt>
                <c:pt idx="56">
                  <c:v>2.9171586</c:v>
                </c:pt>
                <c:pt idx="57">
                  <c:v>4.2719360000000002</c:v>
                </c:pt>
                <c:pt idx="58">
                  <c:v>3.1304094999999998</c:v>
                </c:pt>
                <c:pt idx="59">
                  <c:v>3.7658596000000002</c:v>
                </c:pt>
                <c:pt idx="60">
                  <c:v>3.7044760000000001</c:v>
                </c:pt>
                <c:pt idx="61">
                  <c:v>4.8524219999999998</c:v>
                </c:pt>
                <c:pt idx="62">
                  <c:v>5.0089980000000001</c:v>
                </c:pt>
                <c:pt idx="63">
                  <c:v>4.2785789999999997</c:v>
                </c:pt>
                <c:pt idx="64">
                  <c:v>4.2308215999999996</c:v>
                </c:pt>
                <c:pt idx="65">
                  <c:v>3.2799659999999999</c:v>
                </c:pt>
                <c:pt idx="66">
                  <c:v>4.0262460000000004</c:v>
                </c:pt>
                <c:pt idx="67">
                  <c:v>3.973071</c:v>
                </c:pt>
                <c:pt idx="68">
                  <c:v>4.3279949999999996</c:v>
                </c:pt>
                <c:pt idx="69">
                  <c:v>3.2680726</c:v>
                </c:pt>
                <c:pt idx="70">
                  <c:v>3.6974830000000001</c:v>
                </c:pt>
                <c:pt idx="71">
                  <c:v>3.1871179999999999</c:v>
                </c:pt>
                <c:pt idx="72">
                  <c:v>4.670585</c:v>
                </c:pt>
                <c:pt idx="73">
                  <c:v>4.0194279999999996</c:v>
                </c:pt>
                <c:pt idx="74">
                  <c:v>2.7082932</c:v>
                </c:pt>
                <c:pt idx="75">
                  <c:v>4.4671640000000004</c:v>
                </c:pt>
                <c:pt idx="76">
                  <c:v>3.9342467999999999</c:v>
                </c:pt>
                <c:pt idx="77">
                  <c:v>4.5273684999999997</c:v>
                </c:pt>
                <c:pt idx="78">
                  <c:v>4.3908624999999999</c:v>
                </c:pt>
                <c:pt idx="79">
                  <c:v>4.8169139999999997</c:v>
                </c:pt>
                <c:pt idx="80">
                  <c:v>2.5728203999999999</c:v>
                </c:pt>
                <c:pt idx="81">
                  <c:v>3.8020770000000002</c:v>
                </c:pt>
                <c:pt idx="82">
                  <c:v>3.340014</c:v>
                </c:pt>
                <c:pt idx="83">
                  <c:v>3.8540795000000001</c:v>
                </c:pt>
                <c:pt idx="84">
                  <c:v>3.8222725</c:v>
                </c:pt>
                <c:pt idx="85">
                  <c:v>3.7937829999999999</c:v>
                </c:pt>
                <c:pt idx="86">
                  <c:v>4.1988807000000001</c:v>
                </c:pt>
                <c:pt idx="87">
                  <c:v>4.0624399999999996</c:v>
                </c:pt>
                <c:pt idx="88">
                  <c:v>2.4931985999999999</c:v>
                </c:pt>
                <c:pt idx="89">
                  <c:v>2.7432501</c:v>
                </c:pt>
                <c:pt idx="90">
                  <c:v>4.0073204000000002</c:v>
                </c:pt>
                <c:pt idx="91">
                  <c:v>3.9652989999999999</c:v>
                </c:pt>
                <c:pt idx="92">
                  <c:v>3.3668447000000001</c:v>
                </c:pt>
                <c:pt idx="93">
                  <c:v>3.2420081999999999</c:v>
                </c:pt>
                <c:pt idx="94">
                  <c:v>3.7374475</c:v>
                </c:pt>
                <c:pt idx="95">
                  <c:v>3.7502947</c:v>
                </c:pt>
                <c:pt idx="96">
                  <c:v>3.8439667000000002</c:v>
                </c:pt>
                <c:pt idx="97">
                  <c:v>2.002424</c:v>
                </c:pt>
                <c:pt idx="98">
                  <c:v>3.3439844000000001</c:v>
                </c:pt>
                <c:pt idx="99">
                  <c:v>4.3708315000000004</c:v>
                </c:pt>
                <c:pt idx="100">
                  <c:v>3.6456947</c:v>
                </c:pt>
                <c:pt idx="101">
                  <c:v>4.3456970000000004</c:v>
                </c:pt>
                <c:pt idx="102">
                  <c:v>4.1390219999999998</c:v>
                </c:pt>
                <c:pt idx="103">
                  <c:v>4.1137670000000002</c:v>
                </c:pt>
                <c:pt idx="104">
                  <c:v>4.9179835000000001</c:v>
                </c:pt>
                <c:pt idx="105">
                  <c:v>2.0254672</c:v>
                </c:pt>
                <c:pt idx="106">
                  <c:v>2.9674939999999999</c:v>
                </c:pt>
                <c:pt idx="107">
                  <c:v>4.2992334000000003</c:v>
                </c:pt>
                <c:pt idx="108">
                  <c:v>2.8513690999999999</c:v>
                </c:pt>
                <c:pt idx="109">
                  <c:v>4.1671804999999997</c:v>
                </c:pt>
                <c:pt idx="110">
                  <c:v>4.6146320000000003</c:v>
                </c:pt>
                <c:pt idx="111">
                  <c:v>4.0461850000000004</c:v>
                </c:pt>
                <c:pt idx="112">
                  <c:v>4.8125809999999998</c:v>
                </c:pt>
                <c:pt idx="113">
                  <c:v>3.2494122999999999</c:v>
                </c:pt>
                <c:pt idx="114">
                  <c:v>3.1835673</c:v>
                </c:pt>
                <c:pt idx="115">
                  <c:v>4.0831065000000004</c:v>
                </c:pt>
                <c:pt idx="116">
                  <c:v>4.1619429999999999</c:v>
                </c:pt>
                <c:pt idx="117">
                  <c:v>3.9782047</c:v>
                </c:pt>
                <c:pt idx="118">
                  <c:v>4.124485</c:v>
                </c:pt>
                <c:pt idx="119">
                  <c:v>2.1452296</c:v>
                </c:pt>
                <c:pt idx="120">
                  <c:v>4.5551352999999999</c:v>
                </c:pt>
                <c:pt idx="121">
                  <c:v>1.9246745999999999</c:v>
                </c:pt>
                <c:pt idx="122">
                  <c:v>3.3842043999999998</c:v>
                </c:pt>
                <c:pt idx="123">
                  <c:v>3.8346863</c:v>
                </c:pt>
                <c:pt idx="124">
                  <c:v>1.473546</c:v>
                </c:pt>
                <c:pt idx="125">
                  <c:v>3.9635777000000001</c:v>
                </c:pt>
                <c:pt idx="126">
                  <c:v>4.0935119999999996</c:v>
                </c:pt>
                <c:pt idx="127">
                  <c:v>3.4838200000000001</c:v>
                </c:pt>
                <c:pt idx="128">
                  <c:v>3.394539</c:v>
                </c:pt>
                <c:pt idx="129">
                  <c:v>4.1623954999999997</c:v>
                </c:pt>
                <c:pt idx="130">
                  <c:v>3.8313000000000001</c:v>
                </c:pt>
                <c:pt idx="131">
                  <c:v>4.7049649999999996</c:v>
                </c:pt>
                <c:pt idx="132">
                  <c:v>3.7262590000000002</c:v>
                </c:pt>
                <c:pt idx="133">
                  <c:v>3.9965269999999999</c:v>
                </c:pt>
                <c:pt idx="134">
                  <c:v>3.7660054999999999</c:v>
                </c:pt>
                <c:pt idx="135">
                  <c:v>3.2540714999999998</c:v>
                </c:pt>
                <c:pt idx="136">
                  <c:v>3.6931155000000002</c:v>
                </c:pt>
                <c:pt idx="137">
                  <c:v>3.8846326000000002</c:v>
                </c:pt>
                <c:pt idx="138">
                  <c:v>1.8275272</c:v>
                </c:pt>
                <c:pt idx="139">
                  <c:v>3.9475235999999998</c:v>
                </c:pt>
                <c:pt idx="140">
                  <c:v>2.0184855000000002</c:v>
                </c:pt>
                <c:pt idx="141">
                  <c:v>4.2705669999999998</c:v>
                </c:pt>
                <c:pt idx="142">
                  <c:v>3.8888351999999999</c:v>
                </c:pt>
                <c:pt idx="143">
                  <c:v>1.7524172</c:v>
                </c:pt>
                <c:pt idx="144">
                  <c:v>4.0616263999999997</c:v>
                </c:pt>
                <c:pt idx="145">
                  <c:v>3.7914835999999998</c:v>
                </c:pt>
                <c:pt idx="146">
                  <c:v>2.5145578</c:v>
                </c:pt>
                <c:pt idx="147">
                  <c:v>4.6571736000000001</c:v>
                </c:pt>
                <c:pt idx="148">
                  <c:v>3.6253370999999999</c:v>
                </c:pt>
                <c:pt idx="149">
                  <c:v>4.2346763999999997</c:v>
                </c:pt>
                <c:pt idx="150">
                  <c:v>3.7994297000000001</c:v>
                </c:pt>
                <c:pt idx="151">
                  <c:v>2.8792667000000001</c:v>
                </c:pt>
                <c:pt idx="152">
                  <c:v>3.8950076</c:v>
                </c:pt>
                <c:pt idx="153">
                  <c:v>1.8811998000000001</c:v>
                </c:pt>
                <c:pt idx="154">
                  <c:v>4.3671939999999996</c:v>
                </c:pt>
                <c:pt idx="155">
                  <c:v>4.1991496000000001</c:v>
                </c:pt>
                <c:pt idx="156">
                  <c:v>4.2046595</c:v>
                </c:pt>
                <c:pt idx="157">
                  <c:v>4.2947205999999998</c:v>
                </c:pt>
                <c:pt idx="158">
                  <c:v>3.845834</c:v>
                </c:pt>
                <c:pt idx="159">
                  <c:v>1.8785034</c:v>
                </c:pt>
                <c:pt idx="160">
                  <c:v>4.2050843000000002</c:v>
                </c:pt>
                <c:pt idx="161">
                  <c:v>3.0847281999999998</c:v>
                </c:pt>
                <c:pt idx="162">
                  <c:v>4.1331480000000003</c:v>
                </c:pt>
                <c:pt idx="163">
                  <c:v>3.9320216000000001</c:v>
                </c:pt>
                <c:pt idx="164">
                  <c:v>3.9397115999999999</c:v>
                </c:pt>
                <c:pt idx="165">
                  <c:v>3.609381</c:v>
                </c:pt>
                <c:pt idx="166">
                  <c:v>3.3380641999999998</c:v>
                </c:pt>
                <c:pt idx="167">
                  <c:v>3.5137732000000002</c:v>
                </c:pt>
                <c:pt idx="168">
                  <c:v>3.9578259999999998</c:v>
                </c:pt>
                <c:pt idx="169">
                  <c:v>4.3310884999999999</c:v>
                </c:pt>
                <c:pt idx="170">
                  <c:v>3.8903889999999999</c:v>
                </c:pt>
                <c:pt idx="171">
                  <c:v>4.2741670000000003</c:v>
                </c:pt>
                <c:pt idx="172">
                  <c:v>2.8113983</c:v>
                </c:pt>
                <c:pt idx="173">
                  <c:v>4.0090475000000003</c:v>
                </c:pt>
                <c:pt idx="174">
                  <c:v>3.5556559999999999</c:v>
                </c:pt>
                <c:pt idx="175">
                  <c:v>3.9877033000000002</c:v>
                </c:pt>
                <c:pt idx="176">
                  <c:v>4.5961843</c:v>
                </c:pt>
                <c:pt idx="177">
                  <c:v>3.6658146</c:v>
                </c:pt>
                <c:pt idx="178">
                  <c:v>4.6345077000000003</c:v>
                </c:pt>
                <c:pt idx="179">
                  <c:v>1.8280605999999999</c:v>
                </c:pt>
                <c:pt idx="180">
                  <c:v>2.8631799999999998</c:v>
                </c:pt>
                <c:pt idx="181">
                  <c:v>4.4457253999999997</c:v>
                </c:pt>
                <c:pt idx="182">
                  <c:v>3.5215898000000001</c:v>
                </c:pt>
                <c:pt idx="183">
                  <c:v>2.9331225999999999</c:v>
                </c:pt>
                <c:pt idx="184">
                  <c:v>4.3345190000000002</c:v>
                </c:pt>
                <c:pt idx="185">
                  <c:v>4.3921159999999997</c:v>
                </c:pt>
                <c:pt idx="186">
                  <c:v>3.5389607000000001</c:v>
                </c:pt>
                <c:pt idx="187">
                  <c:v>3.2122860000000002</c:v>
                </c:pt>
                <c:pt idx="188">
                  <c:v>2.3941648</c:v>
                </c:pt>
                <c:pt idx="189">
                  <c:v>4.4331019999999999</c:v>
                </c:pt>
                <c:pt idx="190">
                  <c:v>2.2734108000000002</c:v>
                </c:pt>
                <c:pt idx="191">
                  <c:v>4.2625704000000004</c:v>
                </c:pt>
                <c:pt idx="192">
                  <c:v>3.0500910000000001</c:v>
                </c:pt>
                <c:pt idx="193">
                  <c:v>2.2085881000000001</c:v>
                </c:pt>
                <c:pt idx="194">
                  <c:v>4.0567083000000004</c:v>
                </c:pt>
                <c:pt idx="195">
                  <c:v>3.3833988000000002</c:v>
                </c:pt>
                <c:pt idx="196">
                  <c:v>3.1348612</c:v>
                </c:pt>
                <c:pt idx="197">
                  <c:v>3.978523</c:v>
                </c:pt>
                <c:pt idx="198">
                  <c:v>1.9194077</c:v>
                </c:pt>
                <c:pt idx="199">
                  <c:v>3.1309783000000002</c:v>
                </c:pt>
                <c:pt idx="200">
                  <c:v>2.0645007999999998</c:v>
                </c:pt>
                <c:pt idx="201">
                  <c:v>4.0148960000000002</c:v>
                </c:pt>
                <c:pt idx="202">
                  <c:v>3.0503830000000001</c:v>
                </c:pt>
                <c:pt idx="203">
                  <c:v>1.2765031</c:v>
                </c:pt>
                <c:pt idx="204">
                  <c:v>3.7909513000000001</c:v>
                </c:pt>
                <c:pt idx="205">
                  <c:v>3.6706943999999999</c:v>
                </c:pt>
                <c:pt idx="206">
                  <c:v>3.7931140000000001</c:v>
                </c:pt>
                <c:pt idx="207">
                  <c:v>3.4298267</c:v>
                </c:pt>
                <c:pt idx="208">
                  <c:v>3.9891991999999998</c:v>
                </c:pt>
                <c:pt idx="209">
                  <c:v>4.071574</c:v>
                </c:pt>
                <c:pt idx="210">
                  <c:v>3.6305227000000002</c:v>
                </c:pt>
                <c:pt idx="211">
                  <c:v>4.0297359999999998</c:v>
                </c:pt>
                <c:pt idx="212">
                  <c:v>3.6228201000000002</c:v>
                </c:pt>
                <c:pt idx="213">
                  <c:v>4.225873</c:v>
                </c:pt>
                <c:pt idx="214">
                  <c:v>2.3956213000000002</c:v>
                </c:pt>
                <c:pt idx="215">
                  <c:v>3.1893596999999998</c:v>
                </c:pt>
                <c:pt idx="216">
                  <c:v>4.1034220000000001</c:v>
                </c:pt>
                <c:pt idx="217">
                  <c:v>3.0536439999999998</c:v>
                </c:pt>
                <c:pt idx="218">
                  <c:v>3.6064216999999998</c:v>
                </c:pt>
                <c:pt idx="219">
                  <c:v>4.2721724999999999</c:v>
                </c:pt>
                <c:pt idx="220">
                  <c:v>4.3138914000000002</c:v>
                </c:pt>
                <c:pt idx="221">
                  <c:v>3.9880049999999998</c:v>
                </c:pt>
                <c:pt idx="222">
                  <c:v>4.0962787000000001</c:v>
                </c:pt>
                <c:pt idx="223">
                  <c:v>2.4020393000000002</c:v>
                </c:pt>
                <c:pt idx="224">
                  <c:v>3.4330113</c:v>
                </c:pt>
                <c:pt idx="225">
                  <c:v>3.0272472000000001</c:v>
                </c:pt>
                <c:pt idx="226">
                  <c:v>3.1269841</c:v>
                </c:pt>
                <c:pt idx="227">
                  <c:v>3.3729429999999998</c:v>
                </c:pt>
                <c:pt idx="228">
                  <c:v>3.6373725000000001</c:v>
                </c:pt>
                <c:pt idx="229">
                  <c:v>3.4731429</c:v>
                </c:pt>
                <c:pt idx="230">
                  <c:v>4.3209080000000002</c:v>
                </c:pt>
                <c:pt idx="231">
                  <c:v>3.8620644</c:v>
                </c:pt>
                <c:pt idx="232">
                  <c:v>4.0318737000000002</c:v>
                </c:pt>
                <c:pt idx="233">
                  <c:v>4.1882714999999999</c:v>
                </c:pt>
                <c:pt idx="234">
                  <c:v>4.4065814000000003</c:v>
                </c:pt>
                <c:pt idx="235">
                  <c:v>3.9848495000000002</c:v>
                </c:pt>
                <c:pt idx="236">
                  <c:v>3.8258573999999999</c:v>
                </c:pt>
                <c:pt idx="237">
                  <c:v>3.1216865</c:v>
                </c:pt>
                <c:pt idx="238">
                  <c:v>3.6343383999999999</c:v>
                </c:pt>
                <c:pt idx="239">
                  <c:v>4.3732420000000003</c:v>
                </c:pt>
                <c:pt idx="240">
                  <c:v>1.7171216</c:v>
                </c:pt>
                <c:pt idx="241">
                  <c:v>4.8582234</c:v>
                </c:pt>
                <c:pt idx="242">
                  <c:v>4.3223729999999998</c:v>
                </c:pt>
                <c:pt idx="243">
                  <c:v>4.0447005999999996</c:v>
                </c:pt>
                <c:pt idx="244">
                  <c:v>3.9824625999999999</c:v>
                </c:pt>
                <c:pt idx="245">
                  <c:v>3.6727935999999999</c:v>
                </c:pt>
                <c:pt idx="246">
                  <c:v>3.2932383999999999</c:v>
                </c:pt>
                <c:pt idx="247">
                  <c:v>4.2970420000000003</c:v>
                </c:pt>
                <c:pt idx="248">
                  <c:v>3.6867390000000002</c:v>
                </c:pt>
                <c:pt idx="249">
                  <c:v>4.0259137000000003</c:v>
                </c:pt>
                <c:pt idx="250">
                  <c:v>4.3177576000000002</c:v>
                </c:pt>
                <c:pt idx="251">
                  <c:v>4.2163000000000004</c:v>
                </c:pt>
                <c:pt idx="252">
                  <c:v>3.8095143</c:v>
                </c:pt>
                <c:pt idx="253">
                  <c:v>4.2016989999999996</c:v>
                </c:pt>
                <c:pt idx="254">
                  <c:v>4.1422305000000001</c:v>
                </c:pt>
                <c:pt idx="255">
                  <c:v>4.455444</c:v>
                </c:pt>
                <c:pt idx="256">
                  <c:v>2.1468381999999999</c:v>
                </c:pt>
                <c:pt idx="257">
                  <c:v>3.4787129999999999</c:v>
                </c:pt>
                <c:pt idx="258">
                  <c:v>3.6066465000000001</c:v>
                </c:pt>
                <c:pt idx="259">
                  <c:v>3.8396509000000001</c:v>
                </c:pt>
                <c:pt idx="260">
                  <c:v>3.982583</c:v>
                </c:pt>
                <c:pt idx="261">
                  <c:v>3.55816</c:v>
                </c:pt>
                <c:pt idx="262">
                  <c:v>3.3114297000000001</c:v>
                </c:pt>
                <c:pt idx="263">
                  <c:v>3.9619412000000001</c:v>
                </c:pt>
                <c:pt idx="264">
                  <c:v>4.5074433999999997</c:v>
                </c:pt>
                <c:pt idx="265">
                  <c:v>3.4903692999999998</c:v>
                </c:pt>
                <c:pt idx="266">
                  <c:v>3.2732043000000002</c:v>
                </c:pt>
                <c:pt idx="267">
                  <c:v>3.8046574999999998</c:v>
                </c:pt>
                <c:pt idx="268">
                  <c:v>3.5986087000000002</c:v>
                </c:pt>
                <c:pt idx="269">
                  <c:v>3.7227589999999999</c:v>
                </c:pt>
                <c:pt idx="270">
                  <c:v>4.4971237000000004</c:v>
                </c:pt>
                <c:pt idx="271">
                  <c:v>4.1955020000000003</c:v>
                </c:pt>
                <c:pt idx="272">
                  <c:v>3.8521678000000001</c:v>
                </c:pt>
                <c:pt idx="273">
                  <c:v>4.6551714000000004</c:v>
                </c:pt>
                <c:pt idx="274">
                  <c:v>5.080686</c:v>
                </c:pt>
                <c:pt idx="275">
                  <c:v>3.8046047999999999</c:v>
                </c:pt>
                <c:pt idx="276">
                  <c:v>3.4957685000000001</c:v>
                </c:pt>
                <c:pt idx="277">
                  <c:v>3.5683569999999998</c:v>
                </c:pt>
                <c:pt idx="278">
                  <c:v>4.0525479999999998</c:v>
                </c:pt>
                <c:pt idx="279">
                  <c:v>4.2954299999999996</c:v>
                </c:pt>
                <c:pt idx="280">
                  <c:v>4.0522289999999996</c:v>
                </c:pt>
                <c:pt idx="281">
                  <c:v>3.8865694999999998</c:v>
                </c:pt>
                <c:pt idx="282">
                  <c:v>4.9960389999999997</c:v>
                </c:pt>
                <c:pt idx="283">
                  <c:v>2.661718</c:v>
                </c:pt>
                <c:pt idx="284">
                  <c:v>4.6563077000000002</c:v>
                </c:pt>
                <c:pt idx="285">
                  <c:v>3.5278450000000001</c:v>
                </c:pt>
                <c:pt idx="286">
                  <c:v>3.0282377999999999</c:v>
                </c:pt>
                <c:pt idx="287">
                  <c:v>3.8140624000000001</c:v>
                </c:pt>
                <c:pt idx="288">
                  <c:v>3.8113869999999999</c:v>
                </c:pt>
                <c:pt idx="289">
                  <c:v>3.168104</c:v>
                </c:pt>
                <c:pt idx="290">
                  <c:v>4.7209399999999997</c:v>
                </c:pt>
                <c:pt idx="291">
                  <c:v>2.5427232000000002</c:v>
                </c:pt>
                <c:pt idx="292">
                  <c:v>4.0839113999999999</c:v>
                </c:pt>
                <c:pt idx="293">
                  <c:v>3.4531323999999999</c:v>
                </c:pt>
                <c:pt idx="294">
                  <c:v>3.4396076</c:v>
                </c:pt>
                <c:pt idx="295">
                  <c:v>4.2434187000000003</c:v>
                </c:pt>
                <c:pt idx="296">
                  <c:v>4.8783035000000003</c:v>
                </c:pt>
                <c:pt idx="297">
                  <c:v>4.1522226</c:v>
                </c:pt>
                <c:pt idx="298">
                  <c:v>3.4574449999999999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8-054B-830B-2C137213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123056"/>
        <c:axId val="990120656"/>
      </c:scatterChart>
      <c:valAx>
        <c:axId val="99012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0656"/>
        <c:crosses val="autoZero"/>
        <c:crossBetween val="midCat"/>
      </c:valAx>
      <c:valAx>
        <c:axId val="9901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2305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Test dataset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Dropdowns!$J$9:$J$71327</c:f>
              <c:numCache>
                <c:formatCode>General</c:formatCode>
                <c:ptCount val="7131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2</c:v>
                </c:pt>
                <c:pt idx="20">
                  <c:v>3</c:v>
                </c:pt>
                <c:pt idx="21">
                  <c:v>5</c:v>
                </c:pt>
                <c:pt idx="22">
                  <c:v>5</c:v>
                </c:pt>
                <c:pt idx="23">
                  <c:v>3</c:v>
                </c:pt>
                <c:pt idx="24">
                  <c:v>5</c:v>
                </c:pt>
                <c:pt idx="25">
                  <c:v>5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5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4</c:v>
                </c:pt>
                <c:pt idx="35">
                  <c:v>5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2</c:v>
                </c:pt>
                <c:pt idx="41">
                  <c:v>1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5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1</c:v>
                </c:pt>
                <c:pt idx="66">
                  <c:v>5</c:v>
                </c:pt>
                <c:pt idx="67">
                  <c:v>4</c:v>
                </c:pt>
                <c:pt idx="68">
                  <c:v>5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5</c:v>
                </c:pt>
                <c:pt idx="74">
                  <c:v>4</c:v>
                </c:pt>
                <c:pt idx="75">
                  <c:v>3</c:v>
                </c:pt>
                <c:pt idx="76">
                  <c:v>5</c:v>
                </c:pt>
                <c:pt idx="77">
                  <c:v>5</c:v>
                </c:pt>
                <c:pt idx="78">
                  <c:v>2</c:v>
                </c:pt>
                <c:pt idx="79">
                  <c:v>4</c:v>
                </c:pt>
                <c:pt idx="80">
                  <c:v>5</c:v>
                </c:pt>
                <c:pt idx="81">
                  <c:v>1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2</c:v>
                </c:pt>
                <c:pt idx="86">
                  <c:v>2</c:v>
                </c:pt>
                <c:pt idx="87">
                  <c:v>4</c:v>
                </c:pt>
                <c:pt idx="88">
                  <c:v>4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1</c:v>
                </c:pt>
                <c:pt idx="95">
                  <c:v>5</c:v>
                </c:pt>
                <c:pt idx="96">
                  <c:v>4</c:v>
                </c:pt>
                <c:pt idx="97">
                  <c:v>5</c:v>
                </c:pt>
                <c:pt idx="98">
                  <c:v>5</c:v>
                </c:pt>
                <c:pt idx="99">
                  <c:v>3</c:v>
                </c:pt>
                <c:pt idx="100">
                  <c:v>5</c:v>
                </c:pt>
                <c:pt idx="101">
                  <c:v>4</c:v>
                </c:pt>
                <c:pt idx="102">
                  <c:v>3</c:v>
                </c:pt>
                <c:pt idx="103">
                  <c:v>4</c:v>
                </c:pt>
                <c:pt idx="104">
                  <c:v>1</c:v>
                </c:pt>
                <c:pt idx="105">
                  <c:v>5</c:v>
                </c:pt>
                <c:pt idx="106">
                  <c:v>3</c:v>
                </c:pt>
                <c:pt idx="107">
                  <c:v>5</c:v>
                </c:pt>
                <c:pt idx="108">
                  <c:v>3</c:v>
                </c:pt>
                <c:pt idx="109">
                  <c:v>5</c:v>
                </c:pt>
                <c:pt idx="110">
                  <c:v>5</c:v>
                </c:pt>
                <c:pt idx="111">
                  <c:v>3</c:v>
                </c:pt>
                <c:pt idx="112">
                  <c:v>4</c:v>
                </c:pt>
                <c:pt idx="113">
                  <c:v>1</c:v>
                </c:pt>
                <c:pt idx="114">
                  <c:v>5</c:v>
                </c:pt>
                <c:pt idx="115">
                  <c:v>3</c:v>
                </c:pt>
                <c:pt idx="116">
                  <c:v>5</c:v>
                </c:pt>
                <c:pt idx="117">
                  <c:v>5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5</c:v>
                </c:pt>
                <c:pt idx="125">
                  <c:v>4</c:v>
                </c:pt>
                <c:pt idx="126">
                  <c:v>4</c:v>
                </c:pt>
                <c:pt idx="127">
                  <c:v>2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3</c:v>
                </c:pt>
                <c:pt idx="134">
                  <c:v>5</c:v>
                </c:pt>
                <c:pt idx="135">
                  <c:v>3</c:v>
                </c:pt>
                <c:pt idx="136">
                  <c:v>4</c:v>
                </c:pt>
                <c:pt idx="137">
                  <c:v>5</c:v>
                </c:pt>
                <c:pt idx="138">
                  <c:v>1</c:v>
                </c:pt>
                <c:pt idx="139">
                  <c:v>5</c:v>
                </c:pt>
                <c:pt idx="140">
                  <c:v>3</c:v>
                </c:pt>
                <c:pt idx="141">
                  <c:v>1</c:v>
                </c:pt>
                <c:pt idx="142">
                  <c:v>3</c:v>
                </c:pt>
                <c:pt idx="143">
                  <c:v>4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1</c:v>
                </c:pt>
                <c:pt idx="148">
                  <c:v>3</c:v>
                </c:pt>
                <c:pt idx="149">
                  <c:v>5</c:v>
                </c:pt>
                <c:pt idx="150">
                  <c:v>5</c:v>
                </c:pt>
                <c:pt idx="151">
                  <c:v>2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1</c:v>
                </c:pt>
                <c:pt idx="156">
                  <c:v>4</c:v>
                </c:pt>
                <c:pt idx="157">
                  <c:v>2</c:v>
                </c:pt>
                <c:pt idx="158">
                  <c:v>5</c:v>
                </c:pt>
                <c:pt idx="159">
                  <c:v>4</c:v>
                </c:pt>
                <c:pt idx="160">
                  <c:v>5</c:v>
                </c:pt>
                <c:pt idx="161">
                  <c:v>4</c:v>
                </c:pt>
                <c:pt idx="162">
                  <c:v>3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1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5</c:v>
                </c:pt>
                <c:pt idx="171">
                  <c:v>4</c:v>
                </c:pt>
                <c:pt idx="172">
                  <c:v>1</c:v>
                </c:pt>
                <c:pt idx="173">
                  <c:v>4</c:v>
                </c:pt>
                <c:pt idx="174">
                  <c:v>3</c:v>
                </c:pt>
                <c:pt idx="175">
                  <c:v>4</c:v>
                </c:pt>
                <c:pt idx="176">
                  <c:v>5</c:v>
                </c:pt>
                <c:pt idx="177">
                  <c:v>4</c:v>
                </c:pt>
                <c:pt idx="178">
                  <c:v>5</c:v>
                </c:pt>
                <c:pt idx="179">
                  <c:v>5</c:v>
                </c:pt>
                <c:pt idx="180">
                  <c:v>3</c:v>
                </c:pt>
                <c:pt idx="181">
                  <c:v>1</c:v>
                </c:pt>
                <c:pt idx="182">
                  <c:v>1</c:v>
                </c:pt>
                <c:pt idx="183">
                  <c:v>3</c:v>
                </c:pt>
                <c:pt idx="184">
                  <c:v>5</c:v>
                </c:pt>
                <c:pt idx="185">
                  <c:v>1</c:v>
                </c:pt>
                <c:pt idx="186">
                  <c:v>4</c:v>
                </c:pt>
                <c:pt idx="187">
                  <c:v>4</c:v>
                </c:pt>
                <c:pt idx="188">
                  <c:v>1</c:v>
                </c:pt>
                <c:pt idx="189">
                  <c:v>5</c:v>
                </c:pt>
                <c:pt idx="190">
                  <c:v>5</c:v>
                </c:pt>
                <c:pt idx="191">
                  <c:v>4</c:v>
                </c:pt>
                <c:pt idx="192">
                  <c:v>4</c:v>
                </c:pt>
                <c:pt idx="193">
                  <c:v>2</c:v>
                </c:pt>
                <c:pt idx="194">
                  <c:v>3</c:v>
                </c:pt>
                <c:pt idx="195">
                  <c:v>1</c:v>
                </c:pt>
                <c:pt idx="196">
                  <c:v>5</c:v>
                </c:pt>
                <c:pt idx="197">
                  <c:v>1</c:v>
                </c:pt>
                <c:pt idx="198">
                  <c:v>1</c:v>
                </c:pt>
                <c:pt idx="199">
                  <c:v>4</c:v>
                </c:pt>
                <c:pt idx="200">
                  <c:v>4</c:v>
                </c:pt>
                <c:pt idx="201">
                  <c:v>5</c:v>
                </c:pt>
                <c:pt idx="202">
                  <c:v>2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5</c:v>
                </c:pt>
                <c:pt idx="207">
                  <c:v>3</c:v>
                </c:pt>
                <c:pt idx="208">
                  <c:v>5</c:v>
                </c:pt>
                <c:pt idx="209">
                  <c:v>1</c:v>
                </c:pt>
                <c:pt idx="210">
                  <c:v>3</c:v>
                </c:pt>
                <c:pt idx="211">
                  <c:v>4</c:v>
                </c:pt>
                <c:pt idx="212">
                  <c:v>5</c:v>
                </c:pt>
                <c:pt idx="213">
                  <c:v>4</c:v>
                </c:pt>
                <c:pt idx="214">
                  <c:v>4</c:v>
                </c:pt>
                <c:pt idx="215">
                  <c:v>3</c:v>
                </c:pt>
                <c:pt idx="216">
                  <c:v>2</c:v>
                </c:pt>
                <c:pt idx="217">
                  <c:v>5</c:v>
                </c:pt>
                <c:pt idx="218">
                  <c:v>2</c:v>
                </c:pt>
                <c:pt idx="219">
                  <c:v>1</c:v>
                </c:pt>
                <c:pt idx="220">
                  <c:v>4</c:v>
                </c:pt>
                <c:pt idx="221">
                  <c:v>1</c:v>
                </c:pt>
                <c:pt idx="222">
                  <c:v>5</c:v>
                </c:pt>
                <c:pt idx="223">
                  <c:v>2</c:v>
                </c:pt>
                <c:pt idx="224">
                  <c:v>4</c:v>
                </c:pt>
                <c:pt idx="225">
                  <c:v>1</c:v>
                </c:pt>
                <c:pt idx="226">
                  <c:v>5</c:v>
                </c:pt>
                <c:pt idx="227">
                  <c:v>5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3</c:v>
                </c:pt>
                <c:pt idx="232">
                  <c:v>1</c:v>
                </c:pt>
                <c:pt idx="233">
                  <c:v>4</c:v>
                </c:pt>
                <c:pt idx="234">
                  <c:v>2</c:v>
                </c:pt>
                <c:pt idx="235">
                  <c:v>2</c:v>
                </c:pt>
                <c:pt idx="236">
                  <c:v>5</c:v>
                </c:pt>
                <c:pt idx="237">
                  <c:v>1</c:v>
                </c:pt>
                <c:pt idx="238">
                  <c:v>3</c:v>
                </c:pt>
                <c:pt idx="239">
                  <c:v>4</c:v>
                </c:pt>
                <c:pt idx="240">
                  <c:v>4</c:v>
                </c:pt>
                <c:pt idx="241">
                  <c:v>5</c:v>
                </c:pt>
                <c:pt idx="242">
                  <c:v>1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4</c:v>
                </c:pt>
                <c:pt idx="247">
                  <c:v>4</c:v>
                </c:pt>
                <c:pt idx="248">
                  <c:v>5</c:v>
                </c:pt>
                <c:pt idx="249">
                  <c:v>3</c:v>
                </c:pt>
                <c:pt idx="250">
                  <c:v>4</c:v>
                </c:pt>
                <c:pt idx="251">
                  <c:v>4</c:v>
                </c:pt>
                <c:pt idx="252">
                  <c:v>5</c:v>
                </c:pt>
                <c:pt idx="253">
                  <c:v>5</c:v>
                </c:pt>
                <c:pt idx="254">
                  <c:v>4</c:v>
                </c:pt>
                <c:pt idx="255">
                  <c:v>4</c:v>
                </c:pt>
                <c:pt idx="256">
                  <c:v>3</c:v>
                </c:pt>
                <c:pt idx="257">
                  <c:v>5</c:v>
                </c:pt>
                <c:pt idx="258">
                  <c:v>4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4</c:v>
                </c:pt>
                <c:pt idx="265">
                  <c:v>5</c:v>
                </c:pt>
                <c:pt idx="266">
                  <c:v>1</c:v>
                </c:pt>
                <c:pt idx="267">
                  <c:v>4</c:v>
                </c:pt>
                <c:pt idx="268">
                  <c:v>5</c:v>
                </c:pt>
                <c:pt idx="269">
                  <c:v>1</c:v>
                </c:pt>
                <c:pt idx="270">
                  <c:v>2</c:v>
                </c:pt>
                <c:pt idx="271">
                  <c:v>5</c:v>
                </c:pt>
                <c:pt idx="272">
                  <c:v>4</c:v>
                </c:pt>
                <c:pt idx="273">
                  <c:v>2</c:v>
                </c:pt>
                <c:pt idx="274">
                  <c:v>3</c:v>
                </c:pt>
                <c:pt idx="275">
                  <c:v>4</c:v>
                </c:pt>
                <c:pt idx="276">
                  <c:v>5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5</c:v>
                </c:pt>
                <c:pt idx="281">
                  <c:v>3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2</c:v>
                </c:pt>
                <c:pt idx="286">
                  <c:v>4</c:v>
                </c:pt>
                <c:pt idx="287">
                  <c:v>3</c:v>
                </c:pt>
                <c:pt idx="288">
                  <c:v>5</c:v>
                </c:pt>
                <c:pt idx="289">
                  <c:v>3</c:v>
                </c:pt>
                <c:pt idx="290">
                  <c:v>2</c:v>
                </c:pt>
                <c:pt idx="291">
                  <c:v>3</c:v>
                </c:pt>
                <c:pt idx="292">
                  <c:v>5</c:v>
                </c:pt>
                <c:pt idx="293">
                  <c:v>5</c:v>
                </c:pt>
                <c:pt idx="294">
                  <c:v>2</c:v>
                </c:pt>
                <c:pt idx="295">
                  <c:v>5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</c:numCache>
            </c:numRef>
          </c:xVal>
          <c:yVal>
            <c:numRef>
              <c:f>Dropdowns!$K$9:$K$71327</c:f>
              <c:numCache>
                <c:formatCode>General</c:formatCode>
                <c:ptCount val="71319"/>
                <c:pt idx="0">
                  <c:v>3.891651</c:v>
                </c:pt>
                <c:pt idx="1">
                  <c:v>3.5741133999999999</c:v>
                </c:pt>
                <c:pt idx="2">
                  <c:v>3.0231737999999999</c:v>
                </c:pt>
                <c:pt idx="3">
                  <c:v>2.3481337999999998</c:v>
                </c:pt>
                <c:pt idx="4">
                  <c:v>3.8366832999999998</c:v>
                </c:pt>
                <c:pt idx="5">
                  <c:v>3.0082260000000001</c:v>
                </c:pt>
                <c:pt idx="6">
                  <c:v>3.31209</c:v>
                </c:pt>
                <c:pt idx="7">
                  <c:v>3.6984987</c:v>
                </c:pt>
                <c:pt idx="8">
                  <c:v>4.3758983999999996</c:v>
                </c:pt>
                <c:pt idx="9">
                  <c:v>2.8832323999999998</c:v>
                </c:pt>
                <c:pt idx="10">
                  <c:v>2.8674903</c:v>
                </c:pt>
                <c:pt idx="11">
                  <c:v>3.2492070000000002</c:v>
                </c:pt>
                <c:pt idx="12">
                  <c:v>3.7178311000000002</c:v>
                </c:pt>
                <c:pt idx="13">
                  <c:v>3.9525185</c:v>
                </c:pt>
                <c:pt idx="14">
                  <c:v>2.6497820000000001</c:v>
                </c:pt>
                <c:pt idx="15">
                  <c:v>4.0109262000000001</c:v>
                </c:pt>
                <c:pt idx="16">
                  <c:v>4.3523639999999997</c:v>
                </c:pt>
                <c:pt idx="17">
                  <c:v>3.6180512999999999</c:v>
                </c:pt>
                <c:pt idx="18">
                  <c:v>4.6309132999999996</c:v>
                </c:pt>
                <c:pt idx="19">
                  <c:v>4.2330240000000003</c:v>
                </c:pt>
                <c:pt idx="20">
                  <c:v>4.2827859999999998</c:v>
                </c:pt>
                <c:pt idx="21">
                  <c:v>4.8448099999999998</c:v>
                </c:pt>
                <c:pt idx="22">
                  <c:v>3.4814607999999998</c:v>
                </c:pt>
                <c:pt idx="23">
                  <c:v>3.6113076</c:v>
                </c:pt>
                <c:pt idx="24">
                  <c:v>3.199948</c:v>
                </c:pt>
                <c:pt idx="25">
                  <c:v>4.2574854000000002</c:v>
                </c:pt>
                <c:pt idx="26">
                  <c:v>3.39893</c:v>
                </c:pt>
                <c:pt idx="27">
                  <c:v>4.6705759999999996</c:v>
                </c:pt>
                <c:pt idx="28">
                  <c:v>3.6410792000000001</c:v>
                </c:pt>
                <c:pt idx="29">
                  <c:v>4.1586239999999997</c:v>
                </c:pt>
                <c:pt idx="30">
                  <c:v>2.5881603000000002</c:v>
                </c:pt>
                <c:pt idx="31">
                  <c:v>3.7982762000000001</c:v>
                </c:pt>
                <c:pt idx="32">
                  <c:v>4.0406360000000001</c:v>
                </c:pt>
                <c:pt idx="33">
                  <c:v>1.6375170999999999</c:v>
                </c:pt>
                <c:pt idx="34">
                  <c:v>3.7378811999999999</c:v>
                </c:pt>
                <c:pt idx="35">
                  <c:v>3.8854966000000002</c:v>
                </c:pt>
                <c:pt idx="36">
                  <c:v>2.8467896000000001</c:v>
                </c:pt>
                <c:pt idx="37">
                  <c:v>4.2981299999999996</c:v>
                </c:pt>
                <c:pt idx="38">
                  <c:v>4.7886579999999999</c:v>
                </c:pt>
                <c:pt idx="39">
                  <c:v>3.4427303999999999</c:v>
                </c:pt>
                <c:pt idx="40">
                  <c:v>2.3377992999999999</c:v>
                </c:pt>
                <c:pt idx="41">
                  <c:v>3.7195770000000001</c:v>
                </c:pt>
                <c:pt idx="42">
                  <c:v>4.3725233000000001</c:v>
                </c:pt>
                <c:pt idx="43">
                  <c:v>3.5673870000000001</c:v>
                </c:pt>
                <c:pt idx="44">
                  <c:v>3.2467012</c:v>
                </c:pt>
                <c:pt idx="45">
                  <c:v>3.8728821</c:v>
                </c:pt>
                <c:pt idx="46">
                  <c:v>4.3730900000000004</c:v>
                </c:pt>
                <c:pt idx="47">
                  <c:v>4.5514964999999998</c:v>
                </c:pt>
                <c:pt idx="48">
                  <c:v>2.6994848</c:v>
                </c:pt>
                <c:pt idx="49">
                  <c:v>3.4135027</c:v>
                </c:pt>
                <c:pt idx="50">
                  <c:v>3.9842233999999999</c:v>
                </c:pt>
                <c:pt idx="51">
                  <c:v>2.6987505000000001</c:v>
                </c:pt>
                <c:pt idx="52">
                  <c:v>4.1591433999999996</c:v>
                </c:pt>
                <c:pt idx="53">
                  <c:v>3.9228784999999999</c:v>
                </c:pt>
                <c:pt idx="54">
                  <c:v>3.8315589999999999</c:v>
                </c:pt>
                <c:pt idx="55">
                  <c:v>3.9835246</c:v>
                </c:pt>
                <c:pt idx="56">
                  <c:v>3.9401538</c:v>
                </c:pt>
                <c:pt idx="57">
                  <c:v>3.5787930000000001</c:v>
                </c:pt>
                <c:pt idx="58">
                  <c:v>3.8005295000000001</c:v>
                </c:pt>
                <c:pt idx="59">
                  <c:v>3.6122339000000001</c:v>
                </c:pt>
                <c:pt idx="60">
                  <c:v>3.5127117999999999</c:v>
                </c:pt>
                <c:pt idx="61">
                  <c:v>3.4629514000000001</c:v>
                </c:pt>
                <c:pt idx="62">
                  <c:v>3.6614616</c:v>
                </c:pt>
                <c:pt idx="63">
                  <c:v>3.6699345000000001</c:v>
                </c:pt>
                <c:pt idx="64">
                  <c:v>3.8153975</c:v>
                </c:pt>
                <c:pt idx="65">
                  <c:v>3.7657935999999999</c:v>
                </c:pt>
                <c:pt idx="66">
                  <c:v>4.5243250000000002</c:v>
                </c:pt>
                <c:pt idx="67">
                  <c:v>3.5680013000000002</c:v>
                </c:pt>
                <c:pt idx="68">
                  <c:v>3.3094098999999999</c:v>
                </c:pt>
                <c:pt idx="69">
                  <c:v>3.4471280000000002</c:v>
                </c:pt>
                <c:pt idx="70">
                  <c:v>3.9542272000000001</c:v>
                </c:pt>
                <c:pt idx="71">
                  <c:v>3.8192615999999999</c:v>
                </c:pt>
                <c:pt idx="72">
                  <c:v>3.6285436</c:v>
                </c:pt>
                <c:pt idx="73">
                  <c:v>3.1427947999999999</c:v>
                </c:pt>
                <c:pt idx="74">
                  <c:v>2.9472925999999999</c:v>
                </c:pt>
                <c:pt idx="75">
                  <c:v>4.0521096999999999</c:v>
                </c:pt>
                <c:pt idx="76">
                  <c:v>4.4167484999999997</c:v>
                </c:pt>
                <c:pt idx="77">
                  <c:v>3.908865</c:v>
                </c:pt>
                <c:pt idx="78">
                  <c:v>3.8457490000000001</c:v>
                </c:pt>
                <c:pt idx="79">
                  <c:v>4.2497787000000002</c:v>
                </c:pt>
                <c:pt idx="80">
                  <c:v>4.2480529999999996</c:v>
                </c:pt>
                <c:pt idx="81">
                  <c:v>1.6948719999999999</c:v>
                </c:pt>
                <c:pt idx="82">
                  <c:v>3.0971215000000001</c:v>
                </c:pt>
                <c:pt idx="83">
                  <c:v>3.6150090000000001</c:v>
                </c:pt>
                <c:pt idx="84">
                  <c:v>4.0254107000000001</c:v>
                </c:pt>
                <c:pt idx="85">
                  <c:v>2.814943</c:v>
                </c:pt>
                <c:pt idx="86">
                  <c:v>3.8188970000000002</c:v>
                </c:pt>
                <c:pt idx="87">
                  <c:v>3.6357936999999998</c:v>
                </c:pt>
                <c:pt idx="88">
                  <c:v>4.2285560000000002</c:v>
                </c:pt>
                <c:pt idx="89">
                  <c:v>4.4594209999999999</c:v>
                </c:pt>
                <c:pt idx="90">
                  <c:v>3.5538516000000002</c:v>
                </c:pt>
                <c:pt idx="91">
                  <c:v>4.0011644000000004</c:v>
                </c:pt>
                <c:pt idx="92">
                  <c:v>4.2850260000000002</c:v>
                </c:pt>
                <c:pt idx="93">
                  <c:v>4.5620494000000003</c:v>
                </c:pt>
                <c:pt idx="94">
                  <c:v>4.4329356999999998</c:v>
                </c:pt>
                <c:pt idx="95">
                  <c:v>4.0525646000000002</c:v>
                </c:pt>
                <c:pt idx="96">
                  <c:v>3.3734383999999999</c:v>
                </c:pt>
                <c:pt idx="97">
                  <c:v>4.4361343</c:v>
                </c:pt>
                <c:pt idx="98">
                  <c:v>4.2988353000000004</c:v>
                </c:pt>
                <c:pt idx="99">
                  <c:v>3.2839323999999999</c:v>
                </c:pt>
                <c:pt idx="100">
                  <c:v>4.2179165000000003</c:v>
                </c:pt>
                <c:pt idx="101">
                  <c:v>4.0628704999999998</c:v>
                </c:pt>
                <c:pt idx="102">
                  <c:v>2.8358620000000001</c:v>
                </c:pt>
                <c:pt idx="103">
                  <c:v>3.5220989999999999</c:v>
                </c:pt>
                <c:pt idx="104">
                  <c:v>2.8945536999999999</c:v>
                </c:pt>
                <c:pt idx="105">
                  <c:v>4.5659637000000002</c:v>
                </c:pt>
                <c:pt idx="106">
                  <c:v>3.8275478000000001</c:v>
                </c:pt>
                <c:pt idx="107">
                  <c:v>4.1289600000000002</c:v>
                </c:pt>
                <c:pt idx="108">
                  <c:v>4.0733104000000004</c:v>
                </c:pt>
                <c:pt idx="109">
                  <c:v>5.2151036</c:v>
                </c:pt>
                <c:pt idx="110">
                  <c:v>4.6579986</c:v>
                </c:pt>
                <c:pt idx="111">
                  <c:v>2.7842207000000001</c:v>
                </c:pt>
                <c:pt idx="112">
                  <c:v>3.7123840000000001</c:v>
                </c:pt>
                <c:pt idx="113">
                  <c:v>1.7033083</c:v>
                </c:pt>
                <c:pt idx="114">
                  <c:v>2.8902269999999999</c:v>
                </c:pt>
                <c:pt idx="115">
                  <c:v>3.4916399</c:v>
                </c:pt>
                <c:pt idx="116">
                  <c:v>4.3963169999999998</c:v>
                </c:pt>
                <c:pt idx="117">
                  <c:v>4.1213664999999997</c:v>
                </c:pt>
                <c:pt idx="118">
                  <c:v>3.478596</c:v>
                </c:pt>
                <c:pt idx="119">
                  <c:v>1.8313398000000001</c:v>
                </c:pt>
                <c:pt idx="120">
                  <c:v>3.4663818000000002</c:v>
                </c:pt>
                <c:pt idx="121">
                  <c:v>4.3231716000000002</c:v>
                </c:pt>
                <c:pt idx="122">
                  <c:v>3.9539971</c:v>
                </c:pt>
                <c:pt idx="123">
                  <c:v>2.1479332000000002</c:v>
                </c:pt>
                <c:pt idx="124">
                  <c:v>4.0246224000000002</c:v>
                </c:pt>
                <c:pt idx="125">
                  <c:v>4.2138004000000002</c:v>
                </c:pt>
                <c:pt idx="126">
                  <c:v>3.8721155999999999</c:v>
                </c:pt>
                <c:pt idx="127">
                  <c:v>2.7394050000000001</c:v>
                </c:pt>
                <c:pt idx="128">
                  <c:v>3.8466459999999998</c:v>
                </c:pt>
                <c:pt idx="129">
                  <c:v>4.5357529999999997</c:v>
                </c:pt>
                <c:pt idx="130">
                  <c:v>3.3620584</c:v>
                </c:pt>
                <c:pt idx="131">
                  <c:v>4.0736420000000004</c:v>
                </c:pt>
                <c:pt idx="132">
                  <c:v>4.0456519999999996</c:v>
                </c:pt>
                <c:pt idx="133">
                  <c:v>3.1954389999999999</c:v>
                </c:pt>
                <c:pt idx="134">
                  <c:v>4.7109027000000001</c:v>
                </c:pt>
                <c:pt idx="135">
                  <c:v>4.2651370000000002</c:v>
                </c:pt>
                <c:pt idx="136">
                  <c:v>3.4213266</c:v>
                </c:pt>
                <c:pt idx="137">
                  <c:v>3.9506451999999999</c:v>
                </c:pt>
                <c:pt idx="138">
                  <c:v>1.5663153999999999</c:v>
                </c:pt>
                <c:pt idx="139">
                  <c:v>4.5250287</c:v>
                </c:pt>
                <c:pt idx="140">
                  <c:v>3.3387418000000002</c:v>
                </c:pt>
                <c:pt idx="141">
                  <c:v>2.3980746000000002</c:v>
                </c:pt>
                <c:pt idx="142">
                  <c:v>3.7900420000000001</c:v>
                </c:pt>
                <c:pt idx="143">
                  <c:v>4.7465577000000003</c:v>
                </c:pt>
                <c:pt idx="144">
                  <c:v>2.3241947000000001</c:v>
                </c:pt>
                <c:pt idx="145">
                  <c:v>4.1248364000000004</c:v>
                </c:pt>
                <c:pt idx="146">
                  <c:v>3.9134804999999999</c:v>
                </c:pt>
                <c:pt idx="147">
                  <c:v>3.8957006999999999</c:v>
                </c:pt>
                <c:pt idx="148">
                  <c:v>3.4713664</c:v>
                </c:pt>
                <c:pt idx="149">
                  <c:v>4.3296194000000003</c:v>
                </c:pt>
                <c:pt idx="150">
                  <c:v>4.2461589999999996</c:v>
                </c:pt>
                <c:pt idx="151">
                  <c:v>3.9505792</c:v>
                </c:pt>
                <c:pt idx="152">
                  <c:v>4.2785682999999999</c:v>
                </c:pt>
                <c:pt idx="153">
                  <c:v>4.1669299999999998</c:v>
                </c:pt>
                <c:pt idx="154">
                  <c:v>3.9168531999999998</c:v>
                </c:pt>
                <c:pt idx="155">
                  <c:v>4.4579250000000004</c:v>
                </c:pt>
                <c:pt idx="156">
                  <c:v>4.0111319999999999</c:v>
                </c:pt>
                <c:pt idx="157">
                  <c:v>3.9000279999999998</c:v>
                </c:pt>
                <c:pt idx="158">
                  <c:v>4.2288876000000002</c:v>
                </c:pt>
                <c:pt idx="159">
                  <c:v>4.8760256999999996</c:v>
                </c:pt>
                <c:pt idx="160">
                  <c:v>3.5140630000000002</c:v>
                </c:pt>
                <c:pt idx="161">
                  <c:v>3.7479789999999999</c:v>
                </c:pt>
                <c:pt idx="162">
                  <c:v>4.0062309999999997</c:v>
                </c:pt>
                <c:pt idx="163">
                  <c:v>3.8532817000000001</c:v>
                </c:pt>
                <c:pt idx="164">
                  <c:v>3.68893</c:v>
                </c:pt>
                <c:pt idx="165">
                  <c:v>4.2871639999999998</c:v>
                </c:pt>
                <c:pt idx="166">
                  <c:v>1.3213549</c:v>
                </c:pt>
                <c:pt idx="167">
                  <c:v>3.3836560000000002</c:v>
                </c:pt>
                <c:pt idx="168">
                  <c:v>4.0451373999999998</c:v>
                </c:pt>
                <c:pt idx="169">
                  <c:v>3.6400975999999998</c:v>
                </c:pt>
                <c:pt idx="170">
                  <c:v>3.0339684</c:v>
                </c:pt>
                <c:pt idx="171">
                  <c:v>4.1304654999999997</c:v>
                </c:pt>
                <c:pt idx="172">
                  <c:v>2.4960732000000001</c:v>
                </c:pt>
                <c:pt idx="173">
                  <c:v>3.9241114000000001</c:v>
                </c:pt>
                <c:pt idx="174">
                  <c:v>3.4193031999999999</c:v>
                </c:pt>
                <c:pt idx="175">
                  <c:v>3.366641</c:v>
                </c:pt>
                <c:pt idx="176">
                  <c:v>4.8107249999999997</c:v>
                </c:pt>
                <c:pt idx="177">
                  <c:v>3.5572062</c:v>
                </c:pt>
                <c:pt idx="178">
                  <c:v>4.5629</c:v>
                </c:pt>
                <c:pt idx="179">
                  <c:v>4.0594596999999997</c:v>
                </c:pt>
                <c:pt idx="180">
                  <c:v>3.9211037000000002</c:v>
                </c:pt>
                <c:pt idx="181">
                  <c:v>2.1565099999999999</c:v>
                </c:pt>
                <c:pt idx="182">
                  <c:v>2.6399089999999998</c:v>
                </c:pt>
                <c:pt idx="183">
                  <c:v>2.5317712000000001</c:v>
                </c:pt>
                <c:pt idx="184">
                  <c:v>4.0402139999999997</c:v>
                </c:pt>
                <c:pt idx="185">
                  <c:v>1.5785849999999999</c:v>
                </c:pt>
                <c:pt idx="186">
                  <c:v>3.9697409000000001</c:v>
                </c:pt>
                <c:pt idx="187">
                  <c:v>2.8870168</c:v>
                </c:pt>
                <c:pt idx="188">
                  <c:v>3.4972759999999998</c:v>
                </c:pt>
                <c:pt idx="189">
                  <c:v>4.3220223999999998</c:v>
                </c:pt>
                <c:pt idx="190">
                  <c:v>4.5364103</c:v>
                </c:pt>
                <c:pt idx="191">
                  <c:v>3.8918244999999998</c:v>
                </c:pt>
                <c:pt idx="192">
                  <c:v>4.2521560000000003</c:v>
                </c:pt>
                <c:pt idx="193">
                  <c:v>2.6707079999999999</c:v>
                </c:pt>
                <c:pt idx="194">
                  <c:v>3.5799932000000001</c:v>
                </c:pt>
                <c:pt idx="195">
                  <c:v>2.4973326</c:v>
                </c:pt>
                <c:pt idx="196">
                  <c:v>1.5542122</c:v>
                </c:pt>
                <c:pt idx="197">
                  <c:v>4.0616390000000004</c:v>
                </c:pt>
                <c:pt idx="198">
                  <c:v>2.0402</c:v>
                </c:pt>
                <c:pt idx="199">
                  <c:v>4.0600804999999998</c:v>
                </c:pt>
                <c:pt idx="200">
                  <c:v>2.0103054</c:v>
                </c:pt>
                <c:pt idx="201">
                  <c:v>4.2049279999999998</c:v>
                </c:pt>
                <c:pt idx="202">
                  <c:v>3.8762194999999999</c:v>
                </c:pt>
                <c:pt idx="203">
                  <c:v>4.7075032999999999</c:v>
                </c:pt>
                <c:pt idx="204">
                  <c:v>4.0710059999999997</c:v>
                </c:pt>
                <c:pt idx="205">
                  <c:v>4.6051289999999998</c:v>
                </c:pt>
                <c:pt idx="206">
                  <c:v>4.0269430000000002</c:v>
                </c:pt>
                <c:pt idx="207">
                  <c:v>3.3003979999999999</c:v>
                </c:pt>
                <c:pt idx="208">
                  <c:v>4.188383</c:v>
                </c:pt>
                <c:pt idx="209">
                  <c:v>1.6619832999999999</c:v>
                </c:pt>
                <c:pt idx="210">
                  <c:v>3.8747007999999998</c:v>
                </c:pt>
                <c:pt idx="211">
                  <c:v>3.9364316000000001</c:v>
                </c:pt>
                <c:pt idx="212">
                  <c:v>4.2644380000000002</c:v>
                </c:pt>
                <c:pt idx="213">
                  <c:v>3.8367083000000002</c:v>
                </c:pt>
                <c:pt idx="214">
                  <c:v>4.5718082999999998</c:v>
                </c:pt>
                <c:pt idx="215">
                  <c:v>4.3972892999999997</c:v>
                </c:pt>
                <c:pt idx="216">
                  <c:v>1.2904367000000001</c:v>
                </c:pt>
                <c:pt idx="217">
                  <c:v>4.5427074000000003</c:v>
                </c:pt>
                <c:pt idx="218">
                  <c:v>2.6398556000000002</c:v>
                </c:pt>
                <c:pt idx="219">
                  <c:v>1.2928991000000001</c:v>
                </c:pt>
                <c:pt idx="220">
                  <c:v>4.0517782999999996</c:v>
                </c:pt>
                <c:pt idx="221">
                  <c:v>2.8682055000000002</c:v>
                </c:pt>
                <c:pt idx="222">
                  <c:v>3.3514545</c:v>
                </c:pt>
                <c:pt idx="223">
                  <c:v>3.6463263000000001</c:v>
                </c:pt>
                <c:pt idx="224">
                  <c:v>4.4447856000000003</c:v>
                </c:pt>
                <c:pt idx="225">
                  <c:v>3.6418504999999999</c:v>
                </c:pt>
                <c:pt idx="226">
                  <c:v>4.0005755000000001</c:v>
                </c:pt>
                <c:pt idx="227">
                  <c:v>3.7060882999999998</c:v>
                </c:pt>
                <c:pt idx="228">
                  <c:v>3.7152047000000001</c:v>
                </c:pt>
                <c:pt idx="229">
                  <c:v>3.2977354999999999</c:v>
                </c:pt>
                <c:pt idx="230">
                  <c:v>4.0950046000000002</c:v>
                </c:pt>
                <c:pt idx="231">
                  <c:v>3.0546669999999998</c:v>
                </c:pt>
                <c:pt idx="232">
                  <c:v>4.1752669999999998</c:v>
                </c:pt>
                <c:pt idx="233">
                  <c:v>3.4548206000000001</c:v>
                </c:pt>
                <c:pt idx="234">
                  <c:v>3.787115</c:v>
                </c:pt>
                <c:pt idx="235">
                  <c:v>2.8300106999999999</c:v>
                </c:pt>
                <c:pt idx="236">
                  <c:v>4.4455070000000001</c:v>
                </c:pt>
                <c:pt idx="237">
                  <c:v>2.4301192999999999</c:v>
                </c:pt>
                <c:pt idx="238">
                  <c:v>3.5994842</c:v>
                </c:pt>
                <c:pt idx="239">
                  <c:v>3.6084228</c:v>
                </c:pt>
                <c:pt idx="240">
                  <c:v>4.0399094</c:v>
                </c:pt>
                <c:pt idx="241">
                  <c:v>4.6329136000000002</c:v>
                </c:pt>
                <c:pt idx="242">
                  <c:v>2.8013029999999999</c:v>
                </c:pt>
                <c:pt idx="243">
                  <c:v>3.5841590999999999</c:v>
                </c:pt>
                <c:pt idx="244">
                  <c:v>2.1010222000000001</c:v>
                </c:pt>
                <c:pt idx="245">
                  <c:v>3.5055350000000001</c:v>
                </c:pt>
                <c:pt idx="246">
                  <c:v>3.9781718000000001</c:v>
                </c:pt>
                <c:pt idx="247">
                  <c:v>2.9668450000000002</c:v>
                </c:pt>
                <c:pt idx="248">
                  <c:v>4.4510736</c:v>
                </c:pt>
                <c:pt idx="249">
                  <c:v>3.7539872999999999</c:v>
                </c:pt>
                <c:pt idx="250">
                  <c:v>2.7997565</c:v>
                </c:pt>
                <c:pt idx="251">
                  <c:v>3.7106626</c:v>
                </c:pt>
                <c:pt idx="252">
                  <c:v>4.7398559999999996</c:v>
                </c:pt>
                <c:pt idx="253">
                  <c:v>4.2080735999999996</c:v>
                </c:pt>
                <c:pt idx="254">
                  <c:v>4.7517709999999997</c:v>
                </c:pt>
                <c:pt idx="255">
                  <c:v>3.8024127000000001</c:v>
                </c:pt>
                <c:pt idx="256">
                  <c:v>2.9966938000000001</c:v>
                </c:pt>
                <c:pt idx="257">
                  <c:v>3.7765374</c:v>
                </c:pt>
                <c:pt idx="258">
                  <c:v>4.6372565999999997</c:v>
                </c:pt>
                <c:pt idx="259">
                  <c:v>3.3596249</c:v>
                </c:pt>
                <c:pt idx="260">
                  <c:v>3.5444217</c:v>
                </c:pt>
                <c:pt idx="261">
                  <c:v>3.2053535000000002</c:v>
                </c:pt>
                <c:pt idx="262">
                  <c:v>3.9772850000000002</c:v>
                </c:pt>
                <c:pt idx="263">
                  <c:v>3.9808764000000001</c:v>
                </c:pt>
                <c:pt idx="264">
                  <c:v>3.9682914999999999</c:v>
                </c:pt>
                <c:pt idx="265">
                  <c:v>4.1810764999999996</c:v>
                </c:pt>
                <c:pt idx="266">
                  <c:v>3.343683</c:v>
                </c:pt>
                <c:pt idx="267">
                  <c:v>3.6568149999999999</c:v>
                </c:pt>
                <c:pt idx="268">
                  <c:v>4.2823114000000002</c:v>
                </c:pt>
                <c:pt idx="269">
                  <c:v>4.3566336999999997</c:v>
                </c:pt>
                <c:pt idx="270">
                  <c:v>3.3205464</c:v>
                </c:pt>
                <c:pt idx="271">
                  <c:v>4.1799200000000001</c:v>
                </c:pt>
                <c:pt idx="272">
                  <c:v>3.6486209999999999</c:v>
                </c:pt>
                <c:pt idx="273">
                  <c:v>1.9861906</c:v>
                </c:pt>
                <c:pt idx="274">
                  <c:v>3.0746560000000001</c:v>
                </c:pt>
                <c:pt idx="275">
                  <c:v>4.0368839999999997</c:v>
                </c:pt>
                <c:pt idx="276">
                  <c:v>3.4681766000000001</c:v>
                </c:pt>
                <c:pt idx="277">
                  <c:v>3.3248221999999998</c:v>
                </c:pt>
                <c:pt idx="278">
                  <c:v>3.8267312000000002</c:v>
                </c:pt>
                <c:pt idx="279">
                  <c:v>3.9834320000000001</c:v>
                </c:pt>
                <c:pt idx="280">
                  <c:v>3.7573376000000001</c:v>
                </c:pt>
                <c:pt idx="281">
                  <c:v>3.6901473999999999</c:v>
                </c:pt>
                <c:pt idx="282">
                  <c:v>4.6193530000000003</c:v>
                </c:pt>
                <c:pt idx="283">
                  <c:v>3.5718212</c:v>
                </c:pt>
                <c:pt idx="284">
                  <c:v>4.5426187999999996</c:v>
                </c:pt>
                <c:pt idx="285">
                  <c:v>3.5047293000000002</c:v>
                </c:pt>
                <c:pt idx="286">
                  <c:v>2.9315007</c:v>
                </c:pt>
                <c:pt idx="287">
                  <c:v>3.8194568000000002</c:v>
                </c:pt>
                <c:pt idx="288">
                  <c:v>4.9578347000000003</c:v>
                </c:pt>
                <c:pt idx="289">
                  <c:v>3.6671398000000002</c:v>
                </c:pt>
                <c:pt idx="290">
                  <c:v>1.9537342</c:v>
                </c:pt>
                <c:pt idx="291">
                  <c:v>0.90654564000000004</c:v>
                </c:pt>
                <c:pt idx="292">
                  <c:v>4.0645328000000003</c:v>
                </c:pt>
                <c:pt idx="293">
                  <c:v>3.9963586000000002</c:v>
                </c:pt>
                <c:pt idx="294">
                  <c:v>1.8313657999999999</c:v>
                </c:pt>
                <c:pt idx="295">
                  <c:v>4.5191317</c:v>
                </c:pt>
                <c:pt idx="296">
                  <c:v>3.3579552000000001</c:v>
                </c:pt>
                <c:pt idx="297">
                  <c:v>3.5091771999999999</c:v>
                </c:pt>
                <c:pt idx="298">
                  <c:v>4.5515119999999998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1F-EE47-A386-1930CECD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785328"/>
        <c:axId val="1083900144"/>
      </c:scatterChart>
      <c:valAx>
        <c:axId val="6107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900144"/>
        <c:crosses val="autoZero"/>
        <c:crossBetween val="midCat"/>
      </c:valAx>
      <c:valAx>
        <c:axId val="108390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7853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Hyperparameter deepdive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Dropdowns!$X$9:$X$25000</c:f>
              <c:numCache>
                <c:formatCode>General</c:formatCode>
                <c:ptCount val="24992"/>
                <c:pt idx="0">
                  <c:v>300</c:v>
                </c:pt>
                <c:pt idx="1">
                  <c:v>100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300</c:v>
                </c:pt>
                <c:pt idx="6">
                  <c:v>200</c:v>
                </c:pt>
                <c:pt idx="7">
                  <c:v>300</c:v>
                </c:pt>
                <c:pt idx="8">
                  <c:v>200</c:v>
                </c:pt>
                <c:pt idx="9">
                  <c:v>400</c:v>
                </c:pt>
                <c:pt idx="10">
                  <c:v>400</c:v>
                </c:pt>
                <c:pt idx="11">
                  <c:v>200</c:v>
                </c:pt>
                <c:pt idx="12">
                  <c:v>300</c:v>
                </c:pt>
                <c:pt idx="13">
                  <c:v>300</c:v>
                </c:pt>
                <c:pt idx="14">
                  <c:v>100</c:v>
                </c:pt>
                <c:pt idx="15">
                  <c:v>200</c:v>
                </c:pt>
                <c:pt idx="16">
                  <c:v>400</c:v>
                </c:pt>
                <c:pt idx="17">
                  <c:v>300</c:v>
                </c:pt>
                <c:pt idx="18">
                  <c:v>200</c:v>
                </c:pt>
                <c:pt idx="19">
                  <c:v>100</c:v>
                </c:pt>
                <c:pt idx="20">
                  <c:v>300</c:v>
                </c:pt>
                <c:pt idx="21">
                  <c:v>300</c:v>
                </c:pt>
                <c:pt idx="22">
                  <c:v>200</c:v>
                </c:pt>
                <c:pt idx="23">
                  <c:v>100</c:v>
                </c:pt>
                <c:pt idx="24">
                  <c:v>200</c:v>
                </c:pt>
                <c:pt idx="25">
                  <c:v>100</c:v>
                </c:pt>
                <c:pt idx="26">
                  <c:v>400</c:v>
                </c:pt>
                <c:pt idx="27">
                  <c:v>400</c:v>
                </c:pt>
                <c:pt idx="28">
                  <c:v>100</c:v>
                </c:pt>
                <c:pt idx="29">
                  <c:v>100</c:v>
                </c:pt>
                <c:pt idx="30">
                  <c:v>200</c:v>
                </c:pt>
                <c:pt idx="31">
                  <c:v>300</c:v>
                </c:pt>
                <c:pt idx="32">
                  <c:v>300</c:v>
                </c:pt>
                <c:pt idx="33">
                  <c:v>100</c:v>
                </c:pt>
                <c:pt idx="34">
                  <c:v>200</c:v>
                </c:pt>
                <c:pt idx="35">
                  <c:v>300</c:v>
                </c:pt>
                <c:pt idx="36">
                  <c:v>300</c:v>
                </c:pt>
                <c:pt idx="37">
                  <c:v>200</c:v>
                </c:pt>
                <c:pt idx="38">
                  <c:v>400</c:v>
                </c:pt>
                <c:pt idx="39">
                  <c:v>300</c:v>
                </c:pt>
                <c:pt idx="40">
                  <c:v>400</c:v>
                </c:pt>
                <c:pt idx="41">
                  <c:v>200</c:v>
                </c:pt>
                <c:pt idx="42">
                  <c:v>300</c:v>
                </c:pt>
                <c:pt idx="43">
                  <c:v>100</c:v>
                </c:pt>
                <c:pt idx="44">
                  <c:v>400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300</c:v>
                </c:pt>
                <c:pt idx="49">
                  <c:v>100</c:v>
                </c:pt>
                <c:pt idx="50">
                  <c:v>300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100</c:v>
                </c:pt>
                <c:pt idx="55">
                  <c:v>200</c:v>
                </c:pt>
                <c:pt idx="56">
                  <c:v>400</c:v>
                </c:pt>
                <c:pt idx="57">
                  <c:v>300</c:v>
                </c:pt>
                <c:pt idx="58">
                  <c:v>200</c:v>
                </c:pt>
                <c:pt idx="59">
                  <c:v>100</c:v>
                </c:pt>
                <c:pt idx="60">
                  <c:v>200</c:v>
                </c:pt>
                <c:pt idx="61">
                  <c:v>400</c:v>
                </c:pt>
                <c:pt idx="62">
                  <c:v>200</c:v>
                </c:pt>
                <c:pt idx="63">
                  <c:v>400</c:v>
                </c:pt>
                <c:pt idx="64">
                  <c:v>200</c:v>
                </c:pt>
                <c:pt idx="65">
                  <c:v>400</c:v>
                </c:pt>
                <c:pt idx="66">
                  <c:v>300</c:v>
                </c:pt>
                <c:pt idx="67">
                  <c:v>100</c:v>
                </c:pt>
                <c:pt idx="68">
                  <c:v>200</c:v>
                </c:pt>
                <c:pt idx="69">
                  <c:v>100</c:v>
                </c:pt>
                <c:pt idx="70">
                  <c:v>400</c:v>
                </c:pt>
                <c:pt idx="71">
                  <c:v>400</c:v>
                </c:pt>
                <c:pt idx="72">
                  <c:v>200</c:v>
                </c:pt>
                <c:pt idx="73">
                  <c:v>400</c:v>
                </c:pt>
                <c:pt idx="74">
                  <c:v>300</c:v>
                </c:pt>
                <c:pt idx="75">
                  <c:v>300</c:v>
                </c:pt>
                <c:pt idx="76">
                  <c:v>200</c:v>
                </c:pt>
                <c:pt idx="77">
                  <c:v>200</c:v>
                </c:pt>
                <c:pt idx="78">
                  <c:v>300</c:v>
                </c:pt>
                <c:pt idx="79">
                  <c:v>400</c:v>
                </c:pt>
                <c:pt idx="80">
                  <c:v>200</c:v>
                </c:pt>
                <c:pt idx="81">
                  <c:v>400</c:v>
                </c:pt>
                <c:pt idx="82">
                  <c:v>300</c:v>
                </c:pt>
                <c:pt idx="83">
                  <c:v>400</c:v>
                </c:pt>
                <c:pt idx="84">
                  <c:v>200</c:v>
                </c:pt>
                <c:pt idx="85">
                  <c:v>100</c:v>
                </c:pt>
                <c:pt idx="86">
                  <c:v>100</c:v>
                </c:pt>
                <c:pt idx="87">
                  <c:v>400</c:v>
                </c:pt>
                <c:pt idx="88">
                  <c:v>100</c:v>
                </c:pt>
                <c:pt idx="89">
                  <c:v>300</c:v>
                </c:pt>
                <c:pt idx="90">
                  <c:v>100</c:v>
                </c:pt>
                <c:pt idx="91">
                  <c:v>100</c:v>
                </c:pt>
                <c:pt idx="92">
                  <c:v>400</c:v>
                </c:pt>
                <c:pt idx="93">
                  <c:v>300</c:v>
                </c:pt>
                <c:pt idx="94">
                  <c:v>200</c:v>
                </c:pt>
                <c:pt idx="95">
                  <c:v>100</c:v>
                </c:pt>
                <c:pt idx="96">
                  <c:v>300</c:v>
                </c:pt>
                <c:pt idx="97">
                  <c:v>400</c:v>
                </c:pt>
                <c:pt idx="98">
                  <c:v>100</c:v>
                </c:pt>
                <c:pt idx="99">
                  <c:v>100</c:v>
                </c:pt>
              </c:numCache>
            </c:numRef>
          </c:xVal>
          <c:yVal>
            <c:numRef>
              <c:f>Dropdowns!$Y$9:$Y$25000</c:f>
              <c:numCache>
                <c:formatCode>General</c:formatCode>
                <c:ptCount val="24992"/>
                <c:pt idx="0">
                  <c:v>-1.0313966960677929</c:v>
                </c:pt>
                <c:pt idx="1">
                  <c:v>-1.2586168055477389</c:v>
                </c:pt>
                <c:pt idx="2">
                  <c:v>-0.99976481589948707</c:v>
                </c:pt>
                <c:pt idx="3">
                  <c:v>-1.065861653909232</c:v>
                </c:pt>
                <c:pt idx="4">
                  <c:v>-1.0057899381631601</c:v>
                </c:pt>
                <c:pt idx="5">
                  <c:v>-1.017450442162354</c:v>
                </c:pt>
                <c:pt idx="6">
                  <c:v>-1.002150725371687</c:v>
                </c:pt>
                <c:pt idx="7">
                  <c:v>-1.0414175747622181</c:v>
                </c:pt>
                <c:pt idx="8">
                  <c:v>-1.0153908424132301</c:v>
                </c:pt>
                <c:pt idx="9">
                  <c:v>-1.1813165141114641</c:v>
                </c:pt>
                <c:pt idx="10">
                  <c:v>-1.0077114745781659</c:v>
                </c:pt>
                <c:pt idx="11">
                  <c:v>-1.0398339960902501</c:v>
                </c:pt>
                <c:pt idx="12">
                  <c:v>-1.0533165353712319</c:v>
                </c:pt>
                <c:pt idx="13">
                  <c:v>-1.0123428569012469</c:v>
                </c:pt>
                <c:pt idx="14">
                  <c:v>-1.0318353523951991</c:v>
                </c:pt>
                <c:pt idx="15">
                  <c:v>-1.0010504080211211</c:v>
                </c:pt>
                <c:pt idx="16">
                  <c:v>-1.2130898443146101</c:v>
                </c:pt>
                <c:pt idx="17">
                  <c:v>-1.013876246928662</c:v>
                </c:pt>
                <c:pt idx="18">
                  <c:v>-1.000674555963966</c:v>
                </c:pt>
                <c:pt idx="19">
                  <c:v>-1.0146462514325489</c:v>
                </c:pt>
                <c:pt idx="20">
                  <c:v>-1.266023781711519</c:v>
                </c:pt>
                <c:pt idx="21">
                  <c:v>-1.061386797327557</c:v>
                </c:pt>
                <c:pt idx="22">
                  <c:v>-1.3046750532913709</c:v>
                </c:pt>
                <c:pt idx="23">
                  <c:v>-1.0952619058654061</c:v>
                </c:pt>
                <c:pt idx="24">
                  <c:v>-1.030795061779856</c:v>
                </c:pt>
                <c:pt idx="25">
                  <c:v>-1.001343314072102</c:v>
                </c:pt>
                <c:pt idx="26">
                  <c:v>-1.00913264541256</c:v>
                </c:pt>
                <c:pt idx="27">
                  <c:v>-1.001146882643499</c:v>
                </c:pt>
                <c:pt idx="28">
                  <c:v>-1.0329197810026181</c:v>
                </c:pt>
                <c:pt idx="29">
                  <c:v>-1.090053412237346</c:v>
                </c:pt>
                <c:pt idx="30">
                  <c:v>-1.018421684770445</c:v>
                </c:pt>
                <c:pt idx="31">
                  <c:v>-1.0061356206351859</c:v>
                </c:pt>
                <c:pt idx="32">
                  <c:v>-1.0013160442201769</c:v>
                </c:pt>
                <c:pt idx="33">
                  <c:v>-1.0113714727310661</c:v>
                </c:pt>
                <c:pt idx="34">
                  <c:v>-1.020225014556372</c:v>
                </c:pt>
                <c:pt idx="35">
                  <c:v>-1.0015428123169181</c:v>
                </c:pt>
                <c:pt idx="36">
                  <c:v>-1.003861695892452</c:v>
                </c:pt>
                <c:pt idx="37">
                  <c:v>-1.0292992205847431</c:v>
                </c:pt>
                <c:pt idx="38">
                  <c:v>-1.0010458893902221</c:v>
                </c:pt>
                <c:pt idx="39">
                  <c:v>-1.001045344741782</c:v>
                </c:pt>
                <c:pt idx="40">
                  <c:v>-0.99925332641012798</c:v>
                </c:pt>
                <c:pt idx="41">
                  <c:v>-1.0129020950309711</c:v>
                </c:pt>
                <c:pt idx="42">
                  <c:v>-1.029472113589365</c:v>
                </c:pt>
                <c:pt idx="43">
                  <c:v>-1.079755143216937</c:v>
                </c:pt>
                <c:pt idx="44">
                  <c:v>-1.0265870374173851</c:v>
                </c:pt>
                <c:pt idx="45">
                  <c:v>-1.005210461127036</c:v>
                </c:pt>
                <c:pt idx="46">
                  <c:v>-1.11822619097636</c:v>
                </c:pt>
                <c:pt idx="47">
                  <c:v>-1.2784085666246541</c:v>
                </c:pt>
                <c:pt idx="48">
                  <c:v>-1.199902473623333</c:v>
                </c:pt>
                <c:pt idx="49">
                  <c:v>-1.048960476841996</c:v>
                </c:pt>
                <c:pt idx="50">
                  <c:v>-1.0294476562987609</c:v>
                </c:pt>
                <c:pt idx="51">
                  <c:v>-0.99983728935095739</c:v>
                </c:pt>
                <c:pt idx="52">
                  <c:v>-1.024790491476202</c:v>
                </c:pt>
                <c:pt idx="53">
                  <c:v>-1.568632877481098</c:v>
                </c:pt>
                <c:pt idx="54">
                  <c:v>-1.0112560768507519</c:v>
                </c:pt>
                <c:pt idx="55">
                  <c:v>-1.000564980786314</c:v>
                </c:pt>
                <c:pt idx="56">
                  <c:v>-1.067500579109592</c:v>
                </c:pt>
                <c:pt idx="57">
                  <c:v>-1.033789066712111</c:v>
                </c:pt>
                <c:pt idx="58">
                  <c:v>-1.079966398347546</c:v>
                </c:pt>
                <c:pt idx="59">
                  <c:v>-1.6950114638376039</c:v>
                </c:pt>
                <c:pt idx="60">
                  <c:v>-1.0189677154188641</c:v>
                </c:pt>
                <c:pt idx="61">
                  <c:v>-1.1725556637430501</c:v>
                </c:pt>
                <c:pt idx="62">
                  <c:v>-1.102533049380267</c:v>
                </c:pt>
                <c:pt idx="63">
                  <c:v>-1.0012151185203071</c:v>
                </c:pt>
                <c:pt idx="64">
                  <c:v>-1.1910083205526381</c:v>
                </c:pt>
                <c:pt idx="65">
                  <c:v>-1.0640411525654929</c:v>
                </c:pt>
                <c:pt idx="66">
                  <c:v>-1.039825754991462</c:v>
                </c:pt>
                <c:pt idx="67">
                  <c:v>-1.0648876064097641</c:v>
                </c:pt>
                <c:pt idx="68">
                  <c:v>-1.005798846781778</c:v>
                </c:pt>
                <c:pt idx="69">
                  <c:v>-1.1990469115606679</c:v>
                </c:pt>
                <c:pt idx="70">
                  <c:v>-1.150392899495517</c:v>
                </c:pt>
                <c:pt idx="71">
                  <c:v>-1.126605342391787</c:v>
                </c:pt>
                <c:pt idx="72">
                  <c:v>-1.0032459820193069</c:v>
                </c:pt>
                <c:pt idx="73">
                  <c:v>-1.0003518311372079</c:v>
                </c:pt>
                <c:pt idx="74">
                  <c:v>-1.0295091024795471</c:v>
                </c:pt>
                <c:pt idx="75">
                  <c:v>-1.0040037934963131</c:v>
                </c:pt>
                <c:pt idx="76">
                  <c:v>-1.027017533047087</c:v>
                </c:pt>
                <c:pt idx="77">
                  <c:v>-1.0011561708788901</c:v>
                </c:pt>
                <c:pt idx="78">
                  <c:v>-1.0694389257459109</c:v>
                </c:pt>
                <c:pt idx="79">
                  <c:v>-1.029098457724799</c:v>
                </c:pt>
                <c:pt idx="80">
                  <c:v>-1.04385641999196</c:v>
                </c:pt>
                <c:pt idx="81">
                  <c:v>-1.001189801398193</c:v>
                </c:pt>
                <c:pt idx="82">
                  <c:v>-1.18959698381274</c:v>
                </c:pt>
                <c:pt idx="83">
                  <c:v>-1.032563832956813</c:v>
                </c:pt>
                <c:pt idx="84">
                  <c:v>-1.0924108262401331</c:v>
                </c:pt>
                <c:pt idx="85">
                  <c:v>-1.0849461994804639</c:v>
                </c:pt>
                <c:pt idx="86">
                  <c:v>-1.3718207529582189</c:v>
                </c:pt>
                <c:pt idx="87">
                  <c:v>-1.0026097043266711</c:v>
                </c:pt>
                <c:pt idx="88">
                  <c:v>-1.2086933508475011</c:v>
                </c:pt>
                <c:pt idx="89">
                  <c:v>-1.0477778577981069</c:v>
                </c:pt>
                <c:pt idx="90">
                  <c:v>-1.1810593512643059</c:v>
                </c:pt>
                <c:pt idx="91">
                  <c:v>-1.0067035669771609</c:v>
                </c:pt>
                <c:pt idx="92">
                  <c:v>-1.0436057603995541</c:v>
                </c:pt>
                <c:pt idx="93">
                  <c:v>-1.0828316807028799</c:v>
                </c:pt>
                <c:pt idx="94">
                  <c:v>-1.066985488229764</c:v>
                </c:pt>
                <c:pt idx="95">
                  <c:v>-1.0042328169286561</c:v>
                </c:pt>
                <c:pt idx="96">
                  <c:v>-1.029400080204687</c:v>
                </c:pt>
                <c:pt idx="97">
                  <c:v>-1.040203795870384</c:v>
                </c:pt>
                <c:pt idx="98">
                  <c:v>-1.128174386574605</c:v>
                </c:pt>
                <c:pt idx="99">
                  <c:v>-1.1168829391981829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23-174E-9001-5E9C0F505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6989136"/>
        <c:axId val="1826988656"/>
      </c:scatterChart>
      <c:valAx>
        <c:axId val="182698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8656"/>
        <c:crosses val="autoZero"/>
        <c:crossBetween val="midCat"/>
      </c:valAx>
      <c:valAx>
        <c:axId val="18269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989136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 dataset</a:t>
            </a:r>
            <a:r>
              <a:rPr lang="en-US" baseline="0"/>
              <a:t> bucket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  <a:prstDash val="solid"/>
            </a:ln>
          </c:spPr>
          <c:invertIfNegative val="0"/>
          <c:xVal>
            <c:numRef>
              <c:f>Dropdowns!$N$9:$N$33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Dropdowns!$O$9:$O$33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Dropdowns!$P$9:$P$33</c:f>
              <c:numCache>
                <c:formatCode>General</c:formatCode>
                <c:ptCount val="25"/>
                <c:pt idx="0">
                  <c:v>3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5</c:v>
                </c:pt>
                <c:pt idx="12">
                  <c:v>21</c:v>
                </c:pt>
                <c:pt idx="13">
                  <c:v>29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22</c:v>
                </c:pt>
                <c:pt idx="18">
                  <c:v>70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15</c:v>
                </c:pt>
                <c:pt idx="23">
                  <c:v>65</c:v>
                </c:pt>
                <c:pt idx="24">
                  <c:v>12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1FFB-2644-A281-A137A1A81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80634847"/>
        <c:axId val="580636287"/>
      </c:bubbleChart>
      <c:valAx>
        <c:axId val="58063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6287"/>
        <c:crosses val="autoZero"/>
        <c:crossBetween val="midCat"/>
      </c:valAx>
      <c:valAx>
        <c:axId val="5806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 dataset</a:t>
            </a:r>
            <a:r>
              <a:rPr lang="en-US" baseline="0"/>
              <a:t> bucket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  <a:prstDash val="solid"/>
            </a:ln>
          </c:spPr>
          <c:invertIfNegative val="0"/>
          <c:xVal>
            <c:numRef>
              <c:f>Dropdowns!$R$9:$R$33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xVal>
          <c:yVal>
            <c:numRef>
              <c:f>Dropdowns!$S$9:$S$33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5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</c:numCache>
            </c:numRef>
          </c:yVal>
          <c:bubbleSize>
            <c:numRef>
              <c:f>Dropdowns!$T$9:$T$33</c:f>
              <c:numCache>
                <c:formatCode>General</c:formatCode>
                <c:ptCount val="25"/>
                <c:pt idx="0">
                  <c:v>2</c:v>
                </c:pt>
                <c:pt idx="1">
                  <c:v>11</c:v>
                </c:pt>
                <c:pt idx="2">
                  <c:v>6</c:v>
                </c:pt>
                <c:pt idx="3">
                  <c:v>10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10</c:v>
                </c:pt>
                <c:pt idx="8">
                  <c:v>13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36</c:v>
                </c:pt>
                <c:pt idx="14">
                  <c:v>2</c:v>
                </c:pt>
                <c:pt idx="15">
                  <c:v>0</c:v>
                </c:pt>
                <c:pt idx="16">
                  <c:v>3</c:v>
                </c:pt>
                <c:pt idx="17">
                  <c:v>20</c:v>
                </c:pt>
                <c:pt idx="18">
                  <c:v>61</c:v>
                </c:pt>
                <c:pt idx="19">
                  <c:v>9</c:v>
                </c:pt>
                <c:pt idx="20">
                  <c:v>0</c:v>
                </c:pt>
                <c:pt idx="21">
                  <c:v>1</c:v>
                </c:pt>
                <c:pt idx="22">
                  <c:v>10</c:v>
                </c:pt>
                <c:pt idx="23">
                  <c:v>52</c:v>
                </c:pt>
                <c:pt idx="24">
                  <c:v>20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C06-144D-B77C-FF42F932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580634847"/>
        <c:axId val="580636287"/>
      </c:bubbleChart>
      <c:valAx>
        <c:axId val="58063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Real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6287"/>
        <c:crosses val="autoZero"/>
        <c:crossBetween val="midCat"/>
      </c:valAx>
      <c:valAx>
        <c:axId val="58063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484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1581150</xdr:colOff>
      <xdr:row>45</xdr:row>
      <xdr:rowOff>95250</xdr:rowOff>
    </xdr:from>
    <xdr:to>
      <xdr:col>8</xdr:col>
      <xdr:colOff>57150</xdr:colOff>
      <xdr:row>60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485140</xdr:colOff>
      <xdr:row>45</xdr:row>
      <xdr:rowOff>107950</xdr:rowOff>
    </xdr:from>
    <xdr:to>
      <xdr:col>16</xdr:col>
      <xdr:colOff>180340</xdr:colOff>
      <xdr:row>60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167640</xdr:colOff>
      <xdr:row>67</xdr:row>
      <xdr:rowOff>74295</xdr:rowOff>
    </xdr:from>
    <xdr:to>
      <xdr:col>5</xdr:col>
      <xdr:colOff>487680</xdr:colOff>
      <xdr:row>82</xdr:row>
      <xdr:rowOff>74295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1577975</xdr:colOff>
      <xdr:row>30</xdr:row>
      <xdr:rowOff>22225</xdr:rowOff>
    </xdr:from>
    <xdr:to>
      <xdr:col>8</xdr:col>
      <xdr:colOff>53975</xdr:colOff>
      <xdr:row>45</xdr:row>
      <xdr:rowOff>3175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476250</xdr:colOff>
      <xdr:row>30</xdr:row>
      <xdr:rowOff>31750</xdr:rowOff>
    </xdr:from>
    <xdr:to>
      <xdr:col>16</xdr:col>
      <xdr:colOff>171450</xdr:colOff>
      <xdr:row>45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E340"/>
  <sheetViews>
    <sheetView showGridLines="0" workbookViewId="0"/>
  </sheetViews>
  <sheetFormatPr baseColWidth="10" defaultColWidth="8.83203125" defaultRowHeight="15" x14ac:dyDescent="0.2"/>
  <cols>
    <col min="1" max="1" width="3.5" customWidth="1"/>
    <col min="2" max="2" width="18.5" bestFit="1" customWidth="1"/>
    <col min="3" max="3" width="32.5" bestFit="1" customWidth="1"/>
    <col min="4" max="4" width="18.5" bestFit="1" customWidth="1"/>
  </cols>
  <sheetData>
    <row r="1" spans="1:5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</row>
    <row r="2" spans="1:57" s="1" customFormat="1" ht="22" customHeight="1" x14ac:dyDescent="0.3">
      <c r="B2" s="8" t="s">
        <v>80</v>
      </c>
    </row>
    <row r="3" spans="1:57" s="1" customFormat="1" x14ac:dyDescent="0.2"/>
    <row r="6" spans="1:57" x14ac:dyDescent="0.2">
      <c r="B6" s="1" t="s">
        <v>81</v>
      </c>
      <c r="C6" s="1" t="s">
        <v>82</v>
      </c>
      <c r="D6" s="1" t="s">
        <v>83</v>
      </c>
    </row>
    <row r="7" spans="1:57" ht="14.5" customHeight="1" x14ac:dyDescent="0.2">
      <c r="B7" s="2" t="s">
        <v>84</v>
      </c>
      <c r="C7" s="2" t="s">
        <v>85</v>
      </c>
      <c r="D7" s="3" t="s">
        <v>24</v>
      </c>
    </row>
    <row r="8" spans="1:57" x14ac:dyDescent="0.2">
      <c r="B8" s="4" t="s">
        <v>84</v>
      </c>
      <c r="C8" s="4" t="s">
        <v>86</v>
      </c>
      <c r="D8" s="5" t="s">
        <v>24</v>
      </c>
    </row>
    <row r="9" spans="1:57" x14ac:dyDescent="0.2">
      <c r="B9" s="4" t="s">
        <v>84</v>
      </c>
      <c r="C9" s="4" t="s">
        <v>87</v>
      </c>
      <c r="D9" s="5" t="s">
        <v>24</v>
      </c>
    </row>
    <row r="10" spans="1:57" x14ac:dyDescent="0.2">
      <c r="B10" s="4" t="s">
        <v>84</v>
      </c>
      <c r="C10" s="4" t="s">
        <v>88</v>
      </c>
      <c r="D10" s="5" t="s">
        <v>24</v>
      </c>
    </row>
    <row r="11" spans="1:57" x14ac:dyDescent="0.2">
      <c r="B11" s="4" t="s">
        <v>84</v>
      </c>
      <c r="C11" s="4" t="s">
        <v>89</v>
      </c>
      <c r="D11" s="5" t="s">
        <v>24</v>
      </c>
    </row>
    <row r="12" spans="1:57" x14ac:dyDescent="0.2">
      <c r="B12" s="4" t="s">
        <v>84</v>
      </c>
      <c r="C12" s="4" t="s">
        <v>90</v>
      </c>
      <c r="D12" s="5" t="s">
        <v>24</v>
      </c>
    </row>
    <row r="13" spans="1:57" x14ac:dyDescent="0.2">
      <c r="B13" s="4" t="s">
        <v>84</v>
      </c>
      <c r="C13" s="4" t="s">
        <v>91</v>
      </c>
      <c r="D13" s="5" t="s">
        <v>24</v>
      </c>
    </row>
    <row r="14" spans="1:57" x14ac:dyDescent="0.2">
      <c r="B14" s="4" t="s">
        <v>84</v>
      </c>
      <c r="C14" s="4" t="s">
        <v>92</v>
      </c>
      <c r="D14" s="5" t="s">
        <v>24</v>
      </c>
    </row>
    <row r="15" spans="1:57" x14ac:dyDescent="0.2">
      <c r="B15" s="4" t="s">
        <v>84</v>
      </c>
      <c r="C15" s="4" t="s">
        <v>93</v>
      </c>
      <c r="D15" s="5" t="s">
        <v>24</v>
      </c>
    </row>
    <row r="16" spans="1:57" x14ac:dyDescent="0.2">
      <c r="B16" s="4" t="s">
        <v>84</v>
      </c>
      <c r="C16" s="4" t="s">
        <v>94</v>
      </c>
      <c r="D16" s="5" t="s">
        <v>24</v>
      </c>
    </row>
    <row r="17" spans="2:4" x14ac:dyDescent="0.2">
      <c r="B17" s="4" t="s">
        <v>95</v>
      </c>
      <c r="C17" s="4" t="s">
        <v>96</v>
      </c>
      <c r="D17" s="5" t="s">
        <v>24</v>
      </c>
    </row>
    <row r="18" spans="2:4" x14ac:dyDescent="0.2">
      <c r="B18" s="4" t="s">
        <v>95</v>
      </c>
      <c r="C18" s="4" t="s">
        <v>97</v>
      </c>
      <c r="D18" s="5" t="s">
        <v>24</v>
      </c>
    </row>
    <row r="19" spans="2:4" x14ac:dyDescent="0.2">
      <c r="B19" s="4" t="s">
        <v>95</v>
      </c>
      <c r="C19" s="4" t="s">
        <v>98</v>
      </c>
      <c r="D19" s="5" t="s">
        <v>24</v>
      </c>
    </row>
    <row r="20" spans="2:4" x14ac:dyDescent="0.2">
      <c r="B20" s="4" t="s">
        <v>95</v>
      </c>
      <c r="C20" s="4" t="s">
        <v>99</v>
      </c>
      <c r="D20" s="5" t="s">
        <v>24</v>
      </c>
    </row>
    <row r="21" spans="2:4" x14ac:dyDescent="0.2">
      <c r="B21" s="4" t="s">
        <v>95</v>
      </c>
      <c r="C21" s="4" t="s">
        <v>100</v>
      </c>
      <c r="D21" s="5" t="s">
        <v>24</v>
      </c>
    </row>
    <row r="22" spans="2:4" x14ac:dyDescent="0.2">
      <c r="B22" s="4" t="s">
        <v>95</v>
      </c>
      <c r="C22" s="4" t="s">
        <v>101</v>
      </c>
      <c r="D22" s="5" t="s">
        <v>24</v>
      </c>
    </row>
    <row r="23" spans="2:4" x14ac:dyDescent="0.2">
      <c r="B23" s="4" t="s">
        <v>102</v>
      </c>
      <c r="C23" s="4" t="s">
        <v>102</v>
      </c>
      <c r="D23" s="5" t="s">
        <v>24</v>
      </c>
    </row>
    <row r="24" spans="2:4" x14ac:dyDescent="0.2">
      <c r="B24" s="4" t="s">
        <v>103</v>
      </c>
      <c r="C24" s="4" t="s">
        <v>104</v>
      </c>
      <c r="D24" s="5" t="s">
        <v>24</v>
      </c>
    </row>
    <row r="25" spans="2:4" x14ac:dyDescent="0.2">
      <c r="B25" s="4" t="s">
        <v>103</v>
      </c>
      <c r="C25" s="4" t="s">
        <v>105</v>
      </c>
      <c r="D25" s="5" t="s">
        <v>24</v>
      </c>
    </row>
    <row r="26" spans="2:4" x14ac:dyDescent="0.2">
      <c r="B26" s="4" t="s">
        <v>106</v>
      </c>
      <c r="C26" s="4" t="s">
        <v>107</v>
      </c>
      <c r="D26" s="5" t="s">
        <v>24</v>
      </c>
    </row>
    <row r="27" spans="2:4" x14ac:dyDescent="0.2">
      <c r="B27" s="4" t="s">
        <v>84</v>
      </c>
      <c r="C27" s="4" t="s">
        <v>108</v>
      </c>
      <c r="D27" s="5" t="s">
        <v>24</v>
      </c>
    </row>
    <row r="28" spans="2:4" x14ac:dyDescent="0.2">
      <c r="B28" s="4" t="s">
        <v>84</v>
      </c>
      <c r="C28" s="4" t="s">
        <v>109</v>
      </c>
      <c r="D28" s="5" t="s">
        <v>24</v>
      </c>
    </row>
    <row r="29" spans="2:4" x14ac:dyDescent="0.2">
      <c r="B29" s="4" t="s">
        <v>84</v>
      </c>
      <c r="C29" s="4" t="s">
        <v>110</v>
      </c>
      <c r="D29" s="5" t="s">
        <v>24</v>
      </c>
    </row>
    <row r="30" spans="2:4" x14ac:dyDescent="0.2">
      <c r="B30" s="4" t="s">
        <v>84</v>
      </c>
      <c r="C30" s="4" t="s">
        <v>111</v>
      </c>
      <c r="D30" s="5" t="s">
        <v>24</v>
      </c>
    </row>
    <row r="31" spans="2:4" x14ac:dyDescent="0.2">
      <c r="B31" s="4" t="s">
        <v>84</v>
      </c>
      <c r="C31" s="4" t="s">
        <v>112</v>
      </c>
      <c r="D31" s="5" t="s">
        <v>24</v>
      </c>
    </row>
    <row r="32" spans="2:4" x14ac:dyDescent="0.2">
      <c r="B32" s="4" t="s">
        <v>84</v>
      </c>
      <c r="C32" s="4" t="s">
        <v>113</v>
      </c>
      <c r="D32" s="5" t="s">
        <v>24</v>
      </c>
    </row>
    <row r="33" spans="2:4" x14ac:dyDescent="0.2">
      <c r="B33" s="4" t="s">
        <v>114</v>
      </c>
      <c r="C33" s="4" t="s">
        <v>115</v>
      </c>
      <c r="D33" s="5" t="s">
        <v>116</v>
      </c>
    </row>
    <row r="34" spans="2:4" x14ac:dyDescent="0.2">
      <c r="B34" s="4" t="s">
        <v>114</v>
      </c>
      <c r="C34" s="4" t="s">
        <v>117</v>
      </c>
      <c r="D34" s="5" t="s">
        <v>116</v>
      </c>
    </row>
    <row r="35" spans="2:4" x14ac:dyDescent="0.2">
      <c r="B35" s="4" t="s">
        <v>114</v>
      </c>
      <c r="C35" s="4" t="s">
        <v>118</v>
      </c>
      <c r="D35" s="5" t="s">
        <v>116</v>
      </c>
    </row>
    <row r="36" spans="2:4" x14ac:dyDescent="0.2">
      <c r="B36" s="4" t="s">
        <v>114</v>
      </c>
      <c r="C36" s="4" t="s">
        <v>119</v>
      </c>
      <c r="D36" s="5" t="s">
        <v>116</v>
      </c>
    </row>
    <row r="37" spans="2:4" x14ac:dyDescent="0.2">
      <c r="B37" s="4" t="s">
        <v>114</v>
      </c>
      <c r="C37" s="4" t="s">
        <v>120</v>
      </c>
      <c r="D37" s="5" t="s">
        <v>116</v>
      </c>
    </row>
    <row r="38" spans="2:4" x14ac:dyDescent="0.2">
      <c r="B38" s="4" t="s">
        <v>114</v>
      </c>
      <c r="C38" s="4" t="s">
        <v>121</v>
      </c>
      <c r="D38" s="5" t="s">
        <v>116</v>
      </c>
    </row>
    <row r="39" spans="2:4" x14ac:dyDescent="0.2">
      <c r="B39" s="4" t="s">
        <v>122</v>
      </c>
      <c r="C39" s="4" t="s">
        <v>123</v>
      </c>
      <c r="D39" s="5" t="s">
        <v>116</v>
      </c>
    </row>
    <row r="40" spans="2:4" x14ac:dyDescent="0.2">
      <c r="B40" s="4" t="s">
        <v>122</v>
      </c>
      <c r="C40" s="4" t="s">
        <v>124</v>
      </c>
      <c r="D40" s="5" t="s">
        <v>116</v>
      </c>
    </row>
    <row r="41" spans="2:4" x14ac:dyDescent="0.2">
      <c r="B41" s="4" t="s">
        <v>122</v>
      </c>
      <c r="C41" s="4" t="s">
        <v>125</v>
      </c>
      <c r="D41" s="5" t="s">
        <v>116</v>
      </c>
    </row>
    <row r="42" spans="2:4" x14ac:dyDescent="0.2">
      <c r="B42" s="4" t="s">
        <v>122</v>
      </c>
      <c r="C42" s="4" t="s">
        <v>126</v>
      </c>
      <c r="D42" s="5" t="s">
        <v>116</v>
      </c>
    </row>
    <row r="43" spans="2:4" x14ac:dyDescent="0.2">
      <c r="B43" s="4" t="s">
        <v>122</v>
      </c>
      <c r="C43" s="4" t="s">
        <v>127</v>
      </c>
      <c r="D43" s="5" t="s">
        <v>116</v>
      </c>
    </row>
    <row r="44" spans="2:4" x14ac:dyDescent="0.2">
      <c r="B44" s="4" t="s">
        <v>122</v>
      </c>
      <c r="C44" s="4" t="s">
        <v>128</v>
      </c>
      <c r="D44" s="5" t="s">
        <v>116</v>
      </c>
    </row>
    <row r="45" spans="2:4" x14ac:dyDescent="0.2">
      <c r="B45" s="4" t="s">
        <v>122</v>
      </c>
      <c r="C45" s="4" t="s">
        <v>129</v>
      </c>
      <c r="D45" s="5" t="s">
        <v>116</v>
      </c>
    </row>
    <row r="46" spans="2:4" x14ac:dyDescent="0.2">
      <c r="B46" s="4" t="s">
        <v>122</v>
      </c>
      <c r="C46" s="4" t="s">
        <v>130</v>
      </c>
      <c r="D46" s="5" t="s">
        <v>116</v>
      </c>
    </row>
    <row r="47" spans="2:4" x14ac:dyDescent="0.2">
      <c r="B47" s="4" t="s">
        <v>122</v>
      </c>
      <c r="C47" s="4" t="s">
        <v>131</v>
      </c>
      <c r="D47" s="5" t="s">
        <v>116</v>
      </c>
    </row>
    <row r="48" spans="2:4" x14ac:dyDescent="0.2">
      <c r="B48" s="4" t="s">
        <v>122</v>
      </c>
      <c r="C48" s="4" t="s">
        <v>132</v>
      </c>
      <c r="D48" s="5" t="s">
        <v>116</v>
      </c>
    </row>
    <row r="49" spans="2:4" x14ac:dyDescent="0.2">
      <c r="B49" s="4" t="s">
        <v>122</v>
      </c>
      <c r="C49" s="4" t="s">
        <v>133</v>
      </c>
      <c r="D49" s="5" t="s">
        <v>116</v>
      </c>
    </row>
    <row r="50" spans="2:4" x14ac:dyDescent="0.2">
      <c r="B50" s="4" t="s">
        <v>122</v>
      </c>
      <c r="C50" s="4" t="s">
        <v>134</v>
      </c>
      <c r="D50" s="5" t="s">
        <v>116</v>
      </c>
    </row>
    <row r="51" spans="2:4" x14ac:dyDescent="0.2">
      <c r="B51" s="4" t="s">
        <v>122</v>
      </c>
      <c r="C51" s="4" t="s">
        <v>135</v>
      </c>
      <c r="D51" s="5" t="s">
        <v>116</v>
      </c>
    </row>
    <row r="52" spans="2:4" x14ac:dyDescent="0.2">
      <c r="B52" s="4" t="s">
        <v>122</v>
      </c>
      <c r="C52" s="4" t="s">
        <v>136</v>
      </c>
      <c r="D52" s="5" t="s">
        <v>116</v>
      </c>
    </row>
    <row r="53" spans="2:4" x14ac:dyDescent="0.2">
      <c r="B53" s="4" t="s">
        <v>122</v>
      </c>
      <c r="C53" s="4" t="s">
        <v>137</v>
      </c>
      <c r="D53" s="5" t="s">
        <v>116</v>
      </c>
    </row>
    <row r="54" spans="2:4" x14ac:dyDescent="0.2">
      <c r="B54" s="4" t="s">
        <v>122</v>
      </c>
      <c r="C54" s="4" t="s">
        <v>138</v>
      </c>
      <c r="D54" s="5" t="s">
        <v>116</v>
      </c>
    </row>
    <row r="55" spans="2:4" x14ac:dyDescent="0.2">
      <c r="B55" s="4" t="s">
        <v>122</v>
      </c>
      <c r="C55" s="4" t="s">
        <v>139</v>
      </c>
      <c r="D55" s="5" t="s">
        <v>116</v>
      </c>
    </row>
    <row r="56" spans="2:4" x14ac:dyDescent="0.2">
      <c r="B56" s="4" t="s">
        <v>122</v>
      </c>
      <c r="C56" s="4" t="s">
        <v>140</v>
      </c>
      <c r="D56" s="5" t="s">
        <v>116</v>
      </c>
    </row>
    <row r="57" spans="2:4" x14ac:dyDescent="0.2">
      <c r="B57" s="4" t="s">
        <v>122</v>
      </c>
      <c r="C57" s="4" t="s">
        <v>141</v>
      </c>
      <c r="D57" s="5" t="s">
        <v>116</v>
      </c>
    </row>
    <row r="58" spans="2:4" x14ac:dyDescent="0.2">
      <c r="B58" s="4" t="s">
        <v>122</v>
      </c>
      <c r="C58" s="4" t="s">
        <v>142</v>
      </c>
      <c r="D58" s="5" t="s">
        <v>116</v>
      </c>
    </row>
    <row r="59" spans="2:4" x14ac:dyDescent="0.2">
      <c r="B59" s="4" t="s">
        <v>122</v>
      </c>
      <c r="C59" s="4" t="s">
        <v>143</v>
      </c>
      <c r="D59" s="5" t="s">
        <v>116</v>
      </c>
    </row>
    <row r="60" spans="2:4" x14ac:dyDescent="0.2">
      <c r="B60" s="4" t="s">
        <v>122</v>
      </c>
      <c r="C60" s="4" t="s">
        <v>144</v>
      </c>
      <c r="D60" s="5" t="s">
        <v>116</v>
      </c>
    </row>
    <row r="61" spans="2:4" x14ac:dyDescent="0.2">
      <c r="B61" s="4" t="s">
        <v>122</v>
      </c>
      <c r="C61" s="4" t="s">
        <v>145</v>
      </c>
      <c r="D61" s="5" t="s">
        <v>116</v>
      </c>
    </row>
    <row r="62" spans="2:4" x14ac:dyDescent="0.2">
      <c r="B62" s="4" t="s">
        <v>122</v>
      </c>
      <c r="C62" s="4" t="s">
        <v>146</v>
      </c>
      <c r="D62" s="5" t="s">
        <v>116</v>
      </c>
    </row>
    <row r="63" spans="2:4" x14ac:dyDescent="0.2">
      <c r="B63" s="4" t="s">
        <v>122</v>
      </c>
      <c r="C63" s="4" t="s">
        <v>147</v>
      </c>
      <c r="D63" s="5" t="s">
        <v>116</v>
      </c>
    </row>
    <row r="64" spans="2:4" x14ac:dyDescent="0.2">
      <c r="B64" s="4" t="s">
        <v>122</v>
      </c>
      <c r="C64" s="4" t="s">
        <v>148</v>
      </c>
      <c r="D64" s="5" t="s">
        <v>116</v>
      </c>
    </row>
    <row r="65" spans="2:4" x14ac:dyDescent="0.2">
      <c r="B65" s="4" t="s">
        <v>122</v>
      </c>
      <c r="C65" s="4" t="s">
        <v>149</v>
      </c>
      <c r="D65" s="5" t="s">
        <v>116</v>
      </c>
    </row>
    <row r="66" spans="2:4" x14ac:dyDescent="0.2">
      <c r="B66" s="4" t="s">
        <v>122</v>
      </c>
      <c r="C66" s="4" t="s">
        <v>150</v>
      </c>
      <c r="D66" s="5" t="s">
        <v>116</v>
      </c>
    </row>
    <row r="67" spans="2:4" x14ac:dyDescent="0.2">
      <c r="B67" s="4" t="s">
        <v>122</v>
      </c>
      <c r="C67" s="4" t="s">
        <v>151</v>
      </c>
      <c r="D67" s="5" t="s">
        <v>116</v>
      </c>
    </row>
    <row r="68" spans="2:4" x14ac:dyDescent="0.2">
      <c r="B68" s="4" t="s">
        <v>122</v>
      </c>
      <c r="C68" s="4" t="s">
        <v>152</v>
      </c>
      <c r="D68" s="5" t="s">
        <v>116</v>
      </c>
    </row>
    <row r="69" spans="2:4" x14ac:dyDescent="0.2">
      <c r="B69" s="4" t="s">
        <v>122</v>
      </c>
      <c r="C69" s="4" t="s">
        <v>153</v>
      </c>
      <c r="D69" s="5" t="s">
        <v>116</v>
      </c>
    </row>
    <row r="70" spans="2:4" x14ac:dyDescent="0.2">
      <c r="B70" s="4" t="s">
        <v>122</v>
      </c>
      <c r="C70" s="4" t="s">
        <v>154</v>
      </c>
      <c r="D70" s="5" t="s">
        <v>116</v>
      </c>
    </row>
    <row r="71" spans="2:4" x14ac:dyDescent="0.2">
      <c r="B71" s="4" t="s">
        <v>122</v>
      </c>
      <c r="C71" s="4" t="s">
        <v>155</v>
      </c>
      <c r="D71" s="5" t="s">
        <v>116</v>
      </c>
    </row>
    <row r="72" spans="2:4" x14ac:dyDescent="0.2">
      <c r="B72" s="4" t="s">
        <v>122</v>
      </c>
      <c r="C72" s="4" t="s">
        <v>156</v>
      </c>
      <c r="D72" s="5" t="s">
        <v>116</v>
      </c>
    </row>
    <row r="73" spans="2:4" x14ac:dyDescent="0.2">
      <c r="B73" s="4" t="s">
        <v>122</v>
      </c>
      <c r="C73" s="4" t="s">
        <v>157</v>
      </c>
      <c r="D73" s="5" t="s">
        <v>116</v>
      </c>
    </row>
    <row r="74" spans="2:4" x14ac:dyDescent="0.2">
      <c r="B74" s="4" t="s">
        <v>122</v>
      </c>
      <c r="C74" s="4" t="s">
        <v>158</v>
      </c>
      <c r="D74" s="5" t="s">
        <v>116</v>
      </c>
    </row>
    <row r="75" spans="2:4" x14ac:dyDescent="0.2">
      <c r="B75" s="4" t="s">
        <v>122</v>
      </c>
      <c r="C75" s="4" t="s">
        <v>159</v>
      </c>
      <c r="D75" s="5" t="s">
        <v>116</v>
      </c>
    </row>
    <row r="76" spans="2:4" x14ac:dyDescent="0.2">
      <c r="B76" s="4" t="s">
        <v>122</v>
      </c>
      <c r="C76" s="4" t="s">
        <v>160</v>
      </c>
      <c r="D76" s="5" t="s">
        <v>116</v>
      </c>
    </row>
    <row r="77" spans="2:4" x14ac:dyDescent="0.2">
      <c r="B77" s="4" t="s">
        <v>122</v>
      </c>
      <c r="C77" s="4" t="s">
        <v>161</v>
      </c>
      <c r="D77" s="5" t="s">
        <v>116</v>
      </c>
    </row>
    <row r="78" spans="2:4" x14ac:dyDescent="0.2">
      <c r="B78" s="4" t="s">
        <v>122</v>
      </c>
      <c r="C78" s="4" t="s">
        <v>162</v>
      </c>
      <c r="D78" s="5" t="s">
        <v>116</v>
      </c>
    </row>
    <row r="79" spans="2:4" x14ac:dyDescent="0.2">
      <c r="B79" s="4" t="s">
        <v>122</v>
      </c>
      <c r="C79" s="4" t="s">
        <v>163</v>
      </c>
      <c r="D79" s="5" t="s">
        <v>116</v>
      </c>
    </row>
    <row r="80" spans="2:4" x14ac:dyDescent="0.2">
      <c r="B80" s="4" t="s">
        <v>122</v>
      </c>
      <c r="C80" s="4" t="s">
        <v>164</v>
      </c>
      <c r="D80" s="5" t="s">
        <v>116</v>
      </c>
    </row>
    <row r="81" spans="2:4" x14ac:dyDescent="0.2">
      <c r="B81" s="4" t="s">
        <v>122</v>
      </c>
      <c r="C81" s="4" t="s">
        <v>165</v>
      </c>
      <c r="D81" s="5" t="s">
        <v>116</v>
      </c>
    </row>
    <row r="82" spans="2:4" x14ac:dyDescent="0.2">
      <c r="B82" s="4" t="s">
        <v>122</v>
      </c>
      <c r="C82" s="4" t="s">
        <v>166</v>
      </c>
      <c r="D82" s="5" t="s">
        <v>116</v>
      </c>
    </row>
    <row r="83" spans="2:4" x14ac:dyDescent="0.2">
      <c r="B83" s="4" t="s">
        <v>122</v>
      </c>
      <c r="C83" s="4" t="s">
        <v>167</v>
      </c>
      <c r="D83" s="5" t="s">
        <v>116</v>
      </c>
    </row>
    <row r="84" spans="2:4" x14ac:dyDescent="0.2">
      <c r="B84" s="4" t="s">
        <v>122</v>
      </c>
      <c r="C84" s="4" t="s">
        <v>168</v>
      </c>
      <c r="D84" s="5" t="s">
        <v>116</v>
      </c>
    </row>
    <row r="85" spans="2:4" x14ac:dyDescent="0.2">
      <c r="B85" s="4" t="s">
        <v>122</v>
      </c>
      <c r="C85" s="4" t="s">
        <v>169</v>
      </c>
      <c r="D85" s="5" t="s">
        <v>116</v>
      </c>
    </row>
    <row r="86" spans="2:4" x14ac:dyDescent="0.2">
      <c r="B86" s="4" t="s">
        <v>122</v>
      </c>
      <c r="C86" s="4" t="s">
        <v>170</v>
      </c>
      <c r="D86" s="5" t="s">
        <v>116</v>
      </c>
    </row>
    <row r="87" spans="2:4" x14ac:dyDescent="0.2">
      <c r="B87" s="4" t="s">
        <v>122</v>
      </c>
      <c r="C87" s="4" t="s">
        <v>171</v>
      </c>
      <c r="D87" s="5" t="s">
        <v>116</v>
      </c>
    </row>
    <row r="88" spans="2:4" x14ac:dyDescent="0.2">
      <c r="B88" s="4" t="s">
        <v>122</v>
      </c>
      <c r="C88" s="4" t="s">
        <v>172</v>
      </c>
      <c r="D88" s="5" t="s">
        <v>116</v>
      </c>
    </row>
    <row r="89" spans="2:4" x14ac:dyDescent="0.2">
      <c r="B89" s="4" t="s">
        <v>122</v>
      </c>
      <c r="C89" s="4" t="s">
        <v>173</v>
      </c>
      <c r="D89" s="5" t="s">
        <v>116</v>
      </c>
    </row>
    <row r="90" spans="2:4" x14ac:dyDescent="0.2">
      <c r="B90" s="4" t="s">
        <v>122</v>
      </c>
      <c r="C90" s="4" t="s">
        <v>174</v>
      </c>
      <c r="D90" s="5" t="s">
        <v>116</v>
      </c>
    </row>
    <row r="91" spans="2:4" x14ac:dyDescent="0.2">
      <c r="B91" s="4" t="s">
        <v>122</v>
      </c>
      <c r="C91" s="4" t="s">
        <v>175</v>
      </c>
      <c r="D91" s="5" t="s">
        <v>116</v>
      </c>
    </row>
    <row r="92" spans="2:4" x14ac:dyDescent="0.2">
      <c r="B92" s="4" t="s">
        <v>122</v>
      </c>
      <c r="C92" s="4" t="s">
        <v>176</v>
      </c>
      <c r="D92" s="5" t="s">
        <v>116</v>
      </c>
    </row>
    <row r="93" spans="2:4" x14ac:dyDescent="0.2">
      <c r="B93" s="4" t="s">
        <v>122</v>
      </c>
      <c r="C93" s="4" t="s">
        <v>177</v>
      </c>
      <c r="D93" s="5" t="s">
        <v>116</v>
      </c>
    </row>
    <row r="94" spans="2:4" x14ac:dyDescent="0.2">
      <c r="B94" s="4" t="s">
        <v>122</v>
      </c>
      <c r="C94" s="4" t="s">
        <v>178</v>
      </c>
      <c r="D94" s="5" t="s">
        <v>116</v>
      </c>
    </row>
    <row r="95" spans="2:4" x14ac:dyDescent="0.2">
      <c r="B95" s="4" t="s">
        <v>122</v>
      </c>
      <c r="C95" s="4" t="s">
        <v>179</v>
      </c>
      <c r="D95" s="5" t="s">
        <v>116</v>
      </c>
    </row>
    <row r="96" spans="2:4" x14ac:dyDescent="0.2">
      <c r="B96" s="4" t="s">
        <v>122</v>
      </c>
      <c r="C96" s="4" t="s">
        <v>180</v>
      </c>
      <c r="D96" s="5" t="s">
        <v>116</v>
      </c>
    </row>
    <row r="97" spans="2:4" x14ac:dyDescent="0.2">
      <c r="B97" s="4" t="s">
        <v>122</v>
      </c>
      <c r="C97" s="4" t="s">
        <v>181</v>
      </c>
      <c r="D97" s="5" t="s">
        <v>116</v>
      </c>
    </row>
    <row r="98" spans="2:4" x14ac:dyDescent="0.2">
      <c r="B98" s="4" t="s">
        <v>122</v>
      </c>
      <c r="C98" s="4" t="s">
        <v>182</v>
      </c>
      <c r="D98" s="5" t="s">
        <v>116</v>
      </c>
    </row>
    <row r="99" spans="2:4" x14ac:dyDescent="0.2">
      <c r="B99" s="4" t="s">
        <v>122</v>
      </c>
      <c r="C99" s="4" t="s">
        <v>183</v>
      </c>
      <c r="D99" s="5" t="s">
        <v>116</v>
      </c>
    </row>
    <row r="100" spans="2:4" x14ac:dyDescent="0.2">
      <c r="B100" s="4" t="s">
        <v>122</v>
      </c>
      <c r="C100" s="4" t="s">
        <v>184</v>
      </c>
      <c r="D100" s="5" t="s">
        <v>116</v>
      </c>
    </row>
    <row r="101" spans="2:4" x14ac:dyDescent="0.2">
      <c r="B101" s="4" t="s">
        <v>122</v>
      </c>
      <c r="C101" s="4" t="s">
        <v>185</v>
      </c>
      <c r="D101" s="5" t="s">
        <v>116</v>
      </c>
    </row>
    <row r="102" spans="2:4" x14ac:dyDescent="0.2">
      <c r="B102" s="4" t="s">
        <v>122</v>
      </c>
      <c r="C102" s="4" t="s">
        <v>186</v>
      </c>
      <c r="D102" s="5" t="s">
        <v>116</v>
      </c>
    </row>
    <row r="103" spans="2:4" x14ac:dyDescent="0.2">
      <c r="B103" s="4" t="s">
        <v>122</v>
      </c>
      <c r="C103" s="4" t="s">
        <v>187</v>
      </c>
      <c r="D103" s="5" t="s">
        <v>116</v>
      </c>
    </row>
    <row r="104" spans="2:4" x14ac:dyDescent="0.2">
      <c r="B104" s="4" t="s">
        <v>122</v>
      </c>
      <c r="C104" s="4" t="s">
        <v>188</v>
      </c>
      <c r="D104" s="5" t="s">
        <v>116</v>
      </c>
    </row>
    <row r="105" spans="2:4" x14ac:dyDescent="0.2">
      <c r="B105" s="4" t="s">
        <v>122</v>
      </c>
      <c r="C105" s="4" t="s">
        <v>189</v>
      </c>
      <c r="D105" s="5" t="s">
        <v>116</v>
      </c>
    </row>
    <row r="106" spans="2:4" x14ac:dyDescent="0.2">
      <c r="B106" s="4" t="s">
        <v>122</v>
      </c>
      <c r="C106" s="4" t="s">
        <v>190</v>
      </c>
      <c r="D106" s="5" t="s">
        <v>116</v>
      </c>
    </row>
    <row r="107" spans="2:4" x14ac:dyDescent="0.2">
      <c r="B107" s="4" t="s">
        <v>122</v>
      </c>
      <c r="C107" s="4" t="s">
        <v>191</v>
      </c>
      <c r="D107" s="5" t="s">
        <v>116</v>
      </c>
    </row>
    <row r="108" spans="2:4" x14ac:dyDescent="0.2">
      <c r="B108" s="4" t="s">
        <v>122</v>
      </c>
      <c r="C108" s="4" t="s">
        <v>192</v>
      </c>
      <c r="D108" s="5" t="s">
        <v>116</v>
      </c>
    </row>
    <row r="109" spans="2:4" x14ac:dyDescent="0.2">
      <c r="B109" s="4" t="s">
        <v>122</v>
      </c>
      <c r="C109" s="4" t="s">
        <v>193</v>
      </c>
      <c r="D109" s="5" t="s">
        <v>116</v>
      </c>
    </row>
    <row r="110" spans="2:4" x14ac:dyDescent="0.2">
      <c r="B110" s="4" t="s">
        <v>122</v>
      </c>
      <c r="C110" s="4" t="s">
        <v>194</v>
      </c>
      <c r="D110" s="5" t="s">
        <v>116</v>
      </c>
    </row>
    <row r="111" spans="2:4" x14ac:dyDescent="0.2">
      <c r="B111" s="4" t="s">
        <v>122</v>
      </c>
      <c r="C111" s="4" t="s">
        <v>195</v>
      </c>
      <c r="D111" s="5" t="s">
        <v>116</v>
      </c>
    </row>
    <row r="112" spans="2:4" x14ac:dyDescent="0.2">
      <c r="B112" s="4" t="s">
        <v>122</v>
      </c>
      <c r="C112" s="4" t="s">
        <v>196</v>
      </c>
      <c r="D112" s="5" t="s">
        <v>116</v>
      </c>
    </row>
    <row r="113" spans="2:4" x14ac:dyDescent="0.2">
      <c r="B113" s="4" t="s">
        <v>122</v>
      </c>
      <c r="C113" s="4" t="s">
        <v>197</v>
      </c>
      <c r="D113" s="5" t="s">
        <v>116</v>
      </c>
    </row>
    <row r="114" spans="2:4" x14ac:dyDescent="0.2">
      <c r="B114" s="4" t="s">
        <v>122</v>
      </c>
      <c r="C114" s="4" t="s">
        <v>198</v>
      </c>
      <c r="D114" s="5" t="s">
        <v>116</v>
      </c>
    </row>
    <row r="115" spans="2:4" x14ac:dyDescent="0.2">
      <c r="B115" s="4" t="s">
        <v>122</v>
      </c>
      <c r="C115" s="4" t="s">
        <v>199</v>
      </c>
      <c r="D115" s="5" t="s">
        <v>116</v>
      </c>
    </row>
    <row r="116" spans="2:4" x14ac:dyDescent="0.2">
      <c r="B116" s="4" t="s">
        <v>122</v>
      </c>
      <c r="C116" s="4" t="s">
        <v>200</v>
      </c>
      <c r="D116" s="5" t="s">
        <v>116</v>
      </c>
    </row>
    <row r="117" spans="2:4" x14ac:dyDescent="0.2">
      <c r="B117" s="4" t="s">
        <v>122</v>
      </c>
      <c r="C117" s="4" t="s">
        <v>201</v>
      </c>
      <c r="D117" s="5" t="s">
        <v>116</v>
      </c>
    </row>
    <row r="118" spans="2:4" x14ac:dyDescent="0.2">
      <c r="B118" s="4" t="s">
        <v>122</v>
      </c>
      <c r="C118" s="4" t="s">
        <v>202</v>
      </c>
      <c r="D118" s="5" t="s">
        <v>116</v>
      </c>
    </row>
    <row r="119" spans="2:4" x14ac:dyDescent="0.2">
      <c r="B119" s="4" t="s">
        <v>122</v>
      </c>
      <c r="C119" s="4" t="s">
        <v>203</v>
      </c>
      <c r="D119" s="5" t="s">
        <v>116</v>
      </c>
    </row>
    <row r="120" spans="2:4" x14ac:dyDescent="0.2">
      <c r="B120" s="4" t="s">
        <v>122</v>
      </c>
      <c r="C120" s="4" t="s">
        <v>204</v>
      </c>
      <c r="D120" s="5" t="s">
        <v>116</v>
      </c>
    </row>
    <row r="121" spans="2:4" x14ac:dyDescent="0.2">
      <c r="B121" s="4" t="s">
        <v>122</v>
      </c>
      <c r="C121" s="4" t="s">
        <v>205</v>
      </c>
      <c r="D121" s="5" t="s">
        <v>116</v>
      </c>
    </row>
    <row r="122" spans="2:4" x14ac:dyDescent="0.2">
      <c r="B122" s="4" t="s">
        <v>122</v>
      </c>
      <c r="C122" s="4" t="s">
        <v>206</v>
      </c>
      <c r="D122" s="5" t="s">
        <v>116</v>
      </c>
    </row>
    <row r="123" spans="2:4" x14ac:dyDescent="0.2">
      <c r="B123" s="4" t="s">
        <v>122</v>
      </c>
      <c r="C123" s="4" t="s">
        <v>207</v>
      </c>
      <c r="D123" s="5" t="s">
        <v>116</v>
      </c>
    </row>
    <row r="124" spans="2:4" x14ac:dyDescent="0.2">
      <c r="B124" s="4" t="s">
        <v>122</v>
      </c>
      <c r="C124" s="4" t="s">
        <v>208</v>
      </c>
      <c r="D124" s="5" t="s">
        <v>116</v>
      </c>
    </row>
    <row r="125" spans="2:4" x14ac:dyDescent="0.2">
      <c r="B125" s="4" t="s">
        <v>122</v>
      </c>
      <c r="C125" s="4" t="s">
        <v>209</v>
      </c>
      <c r="D125" s="5" t="s">
        <v>116</v>
      </c>
    </row>
    <row r="126" spans="2:4" x14ac:dyDescent="0.2">
      <c r="B126" s="4" t="s">
        <v>122</v>
      </c>
      <c r="C126" s="4" t="s">
        <v>210</v>
      </c>
      <c r="D126" s="5" t="s">
        <v>116</v>
      </c>
    </row>
    <row r="127" spans="2:4" x14ac:dyDescent="0.2">
      <c r="B127" s="4" t="s">
        <v>122</v>
      </c>
      <c r="C127" s="4" t="s">
        <v>211</v>
      </c>
      <c r="D127" s="5" t="s">
        <v>116</v>
      </c>
    </row>
    <row r="128" spans="2:4" x14ac:dyDescent="0.2">
      <c r="B128" s="4" t="s">
        <v>122</v>
      </c>
      <c r="C128" s="4" t="s">
        <v>212</v>
      </c>
      <c r="D128" s="5" t="s">
        <v>116</v>
      </c>
    </row>
    <row r="129" spans="2:4" x14ac:dyDescent="0.2">
      <c r="B129" s="4" t="s">
        <v>122</v>
      </c>
      <c r="C129" s="4" t="s">
        <v>213</v>
      </c>
      <c r="D129" s="5" t="s">
        <v>116</v>
      </c>
    </row>
    <row r="130" spans="2:4" x14ac:dyDescent="0.2">
      <c r="B130" s="4" t="s">
        <v>122</v>
      </c>
      <c r="C130" s="4" t="s">
        <v>214</v>
      </c>
      <c r="D130" s="5" t="s">
        <v>116</v>
      </c>
    </row>
    <row r="131" spans="2:4" x14ac:dyDescent="0.2">
      <c r="B131" s="4" t="s">
        <v>122</v>
      </c>
      <c r="C131" s="4" t="s">
        <v>215</v>
      </c>
      <c r="D131" s="5" t="s">
        <v>116</v>
      </c>
    </row>
    <row r="132" spans="2:4" x14ac:dyDescent="0.2">
      <c r="B132" s="4" t="s">
        <v>122</v>
      </c>
      <c r="C132" s="4" t="s">
        <v>216</v>
      </c>
      <c r="D132" s="5" t="s">
        <v>116</v>
      </c>
    </row>
    <row r="133" spans="2:4" x14ac:dyDescent="0.2">
      <c r="B133" s="4" t="s">
        <v>122</v>
      </c>
      <c r="C133" s="4" t="s">
        <v>217</v>
      </c>
      <c r="D133" s="5" t="s">
        <v>116</v>
      </c>
    </row>
    <row r="134" spans="2:4" x14ac:dyDescent="0.2">
      <c r="B134" s="4" t="s">
        <v>122</v>
      </c>
      <c r="C134" s="4" t="s">
        <v>218</v>
      </c>
      <c r="D134" s="5" t="s">
        <v>116</v>
      </c>
    </row>
    <row r="135" spans="2:4" x14ac:dyDescent="0.2">
      <c r="B135" s="4" t="s">
        <v>122</v>
      </c>
      <c r="C135" s="4" t="s">
        <v>219</v>
      </c>
      <c r="D135" s="5" t="s">
        <v>116</v>
      </c>
    </row>
    <row r="136" spans="2:4" x14ac:dyDescent="0.2">
      <c r="B136" s="4" t="s">
        <v>122</v>
      </c>
      <c r="C136" s="4" t="s">
        <v>220</v>
      </c>
      <c r="D136" s="5" t="s">
        <v>116</v>
      </c>
    </row>
    <row r="137" spans="2:4" x14ac:dyDescent="0.2">
      <c r="B137" s="4" t="s">
        <v>122</v>
      </c>
      <c r="C137" s="4" t="s">
        <v>221</v>
      </c>
      <c r="D137" s="5" t="s">
        <v>116</v>
      </c>
    </row>
    <row r="138" spans="2:4" x14ac:dyDescent="0.2">
      <c r="B138" s="4" t="s">
        <v>122</v>
      </c>
      <c r="C138" s="4" t="s">
        <v>222</v>
      </c>
      <c r="D138" s="5" t="s">
        <v>116</v>
      </c>
    </row>
    <row r="139" spans="2:4" x14ac:dyDescent="0.2">
      <c r="B139" s="4" t="s">
        <v>122</v>
      </c>
      <c r="C139" s="4" t="s">
        <v>223</v>
      </c>
      <c r="D139" s="5" t="s">
        <v>116</v>
      </c>
    </row>
    <row r="140" spans="2:4" x14ac:dyDescent="0.2">
      <c r="B140" s="4" t="s">
        <v>122</v>
      </c>
      <c r="C140" s="4" t="s">
        <v>224</v>
      </c>
      <c r="D140" s="5" t="s">
        <v>116</v>
      </c>
    </row>
    <row r="141" spans="2:4" x14ac:dyDescent="0.2">
      <c r="B141" s="4" t="s">
        <v>122</v>
      </c>
      <c r="C141" s="4" t="s">
        <v>225</v>
      </c>
      <c r="D141" s="5" t="s">
        <v>116</v>
      </c>
    </row>
    <row r="142" spans="2:4" x14ac:dyDescent="0.2">
      <c r="B142" s="4" t="s">
        <v>122</v>
      </c>
      <c r="C142" s="4" t="s">
        <v>226</v>
      </c>
      <c r="D142" s="5" t="s">
        <v>116</v>
      </c>
    </row>
    <row r="143" spans="2:4" x14ac:dyDescent="0.2">
      <c r="B143" s="4" t="s">
        <v>122</v>
      </c>
      <c r="C143" s="4" t="s">
        <v>227</v>
      </c>
      <c r="D143" s="5" t="s">
        <v>116</v>
      </c>
    </row>
    <row r="144" spans="2:4" x14ac:dyDescent="0.2">
      <c r="B144" s="4" t="s">
        <v>122</v>
      </c>
      <c r="C144" s="4" t="s">
        <v>228</v>
      </c>
      <c r="D144" s="5" t="s">
        <v>116</v>
      </c>
    </row>
    <row r="145" spans="2:4" x14ac:dyDescent="0.2">
      <c r="B145" s="4" t="s">
        <v>122</v>
      </c>
      <c r="C145" s="4" t="s">
        <v>229</v>
      </c>
      <c r="D145" s="5" t="s">
        <v>116</v>
      </c>
    </row>
    <row r="146" spans="2:4" x14ac:dyDescent="0.2">
      <c r="B146" s="4" t="s">
        <v>122</v>
      </c>
      <c r="C146" s="4" t="s">
        <v>230</v>
      </c>
      <c r="D146" s="5" t="s">
        <v>116</v>
      </c>
    </row>
    <row r="147" spans="2:4" x14ac:dyDescent="0.2">
      <c r="B147" s="4" t="s">
        <v>122</v>
      </c>
      <c r="C147" s="4" t="s">
        <v>231</v>
      </c>
      <c r="D147" s="5" t="s">
        <v>116</v>
      </c>
    </row>
    <row r="148" spans="2:4" x14ac:dyDescent="0.2">
      <c r="B148" s="4" t="s">
        <v>122</v>
      </c>
      <c r="C148" s="4" t="s">
        <v>232</v>
      </c>
      <c r="D148" s="5" t="s">
        <v>116</v>
      </c>
    </row>
    <row r="149" spans="2:4" x14ac:dyDescent="0.2">
      <c r="B149" s="4" t="s">
        <v>122</v>
      </c>
      <c r="C149" s="4" t="s">
        <v>233</v>
      </c>
      <c r="D149" s="5" t="s">
        <v>116</v>
      </c>
    </row>
    <row r="150" spans="2:4" x14ac:dyDescent="0.2">
      <c r="B150" s="4" t="s">
        <v>122</v>
      </c>
      <c r="C150" s="4" t="s">
        <v>234</v>
      </c>
      <c r="D150" s="5" t="s">
        <v>116</v>
      </c>
    </row>
    <row r="151" spans="2:4" x14ac:dyDescent="0.2">
      <c r="B151" s="4" t="s">
        <v>122</v>
      </c>
      <c r="C151" s="4" t="s">
        <v>235</v>
      </c>
      <c r="D151" s="5" t="s">
        <v>116</v>
      </c>
    </row>
    <row r="152" spans="2:4" x14ac:dyDescent="0.2">
      <c r="B152" s="4" t="s">
        <v>122</v>
      </c>
      <c r="C152" s="4" t="s">
        <v>236</v>
      </c>
      <c r="D152" s="5" t="s">
        <v>116</v>
      </c>
    </row>
    <row r="153" spans="2:4" x14ac:dyDescent="0.2">
      <c r="B153" s="4" t="s">
        <v>122</v>
      </c>
      <c r="C153" s="4" t="s">
        <v>237</v>
      </c>
      <c r="D153" s="5" t="s">
        <v>116</v>
      </c>
    </row>
    <row r="154" spans="2:4" x14ac:dyDescent="0.2">
      <c r="B154" s="4" t="s">
        <v>122</v>
      </c>
      <c r="C154" s="4" t="s">
        <v>238</v>
      </c>
      <c r="D154" s="5" t="s">
        <v>116</v>
      </c>
    </row>
    <row r="155" spans="2:4" x14ac:dyDescent="0.2">
      <c r="B155" s="4" t="s">
        <v>122</v>
      </c>
      <c r="C155" s="4" t="s">
        <v>239</v>
      </c>
      <c r="D155" s="5" t="s">
        <v>116</v>
      </c>
    </row>
    <row r="156" spans="2:4" x14ac:dyDescent="0.2">
      <c r="B156" s="4" t="s">
        <v>122</v>
      </c>
      <c r="C156" s="4" t="s">
        <v>240</v>
      </c>
      <c r="D156" s="5" t="s">
        <v>116</v>
      </c>
    </row>
    <row r="157" spans="2:4" x14ac:dyDescent="0.2">
      <c r="B157" s="4" t="s">
        <v>122</v>
      </c>
      <c r="C157" s="4" t="s">
        <v>241</v>
      </c>
      <c r="D157" s="5" t="s">
        <v>116</v>
      </c>
    </row>
    <row r="158" spans="2:4" x14ac:dyDescent="0.2">
      <c r="B158" s="4" t="s">
        <v>122</v>
      </c>
      <c r="C158" s="4" t="s">
        <v>242</v>
      </c>
      <c r="D158" s="5" t="s">
        <v>116</v>
      </c>
    </row>
    <row r="159" spans="2:4" x14ac:dyDescent="0.2">
      <c r="B159" s="4" t="s">
        <v>122</v>
      </c>
      <c r="C159" s="4" t="s">
        <v>243</v>
      </c>
      <c r="D159" s="5" t="s">
        <v>116</v>
      </c>
    </row>
    <row r="160" spans="2:4" x14ac:dyDescent="0.2">
      <c r="B160" s="4" t="s">
        <v>122</v>
      </c>
      <c r="C160" s="4" t="s">
        <v>244</v>
      </c>
      <c r="D160" s="5" t="s">
        <v>116</v>
      </c>
    </row>
    <row r="161" spans="2:4" x14ac:dyDescent="0.2">
      <c r="B161" s="4" t="s">
        <v>245</v>
      </c>
      <c r="C161" s="4" t="s">
        <v>246</v>
      </c>
      <c r="D161" s="5" t="s">
        <v>116</v>
      </c>
    </row>
    <row r="162" spans="2:4" x14ac:dyDescent="0.2">
      <c r="B162" s="4" t="s">
        <v>245</v>
      </c>
      <c r="C162" s="4" t="s">
        <v>247</v>
      </c>
      <c r="D162" s="5" t="s">
        <v>116</v>
      </c>
    </row>
    <row r="163" spans="2:4" x14ac:dyDescent="0.2">
      <c r="B163" s="4" t="s">
        <v>245</v>
      </c>
      <c r="C163" s="4" t="s">
        <v>248</v>
      </c>
      <c r="D163" s="5" t="s">
        <v>116</v>
      </c>
    </row>
    <row r="164" spans="2:4" x14ac:dyDescent="0.2">
      <c r="B164" s="4" t="s">
        <v>245</v>
      </c>
      <c r="C164" s="4" t="s">
        <v>249</v>
      </c>
      <c r="D164" s="5" t="s">
        <v>116</v>
      </c>
    </row>
    <row r="165" spans="2:4" x14ac:dyDescent="0.2">
      <c r="B165" s="4" t="s">
        <v>245</v>
      </c>
      <c r="C165" s="4" t="s">
        <v>250</v>
      </c>
      <c r="D165" s="5" t="s">
        <v>116</v>
      </c>
    </row>
    <row r="166" spans="2:4" x14ac:dyDescent="0.2">
      <c r="B166" s="4" t="s">
        <v>245</v>
      </c>
      <c r="C166" s="4" t="s">
        <v>251</v>
      </c>
      <c r="D166" s="5" t="s">
        <v>116</v>
      </c>
    </row>
    <row r="167" spans="2:4" x14ac:dyDescent="0.2">
      <c r="B167" s="4" t="s">
        <v>245</v>
      </c>
      <c r="C167" s="4" t="s">
        <v>252</v>
      </c>
      <c r="D167" s="5" t="s">
        <v>116</v>
      </c>
    </row>
    <row r="168" spans="2:4" x14ac:dyDescent="0.2">
      <c r="B168" s="4" t="s">
        <v>245</v>
      </c>
      <c r="C168" s="4" t="s">
        <v>253</v>
      </c>
      <c r="D168" s="5" t="s">
        <v>116</v>
      </c>
    </row>
    <row r="169" spans="2:4" x14ac:dyDescent="0.2">
      <c r="B169" s="4" t="s">
        <v>245</v>
      </c>
      <c r="C169" s="4" t="s">
        <v>254</v>
      </c>
      <c r="D169" s="5" t="s">
        <v>116</v>
      </c>
    </row>
    <row r="170" spans="2:4" x14ac:dyDescent="0.2">
      <c r="B170" s="4" t="s">
        <v>245</v>
      </c>
      <c r="C170" s="4" t="s">
        <v>255</v>
      </c>
      <c r="D170" s="5" t="s">
        <v>116</v>
      </c>
    </row>
    <row r="171" spans="2:4" x14ac:dyDescent="0.2">
      <c r="B171" s="4" t="s">
        <v>245</v>
      </c>
      <c r="C171" s="4" t="s">
        <v>256</v>
      </c>
      <c r="D171" s="5" t="s">
        <v>116</v>
      </c>
    </row>
    <row r="172" spans="2:4" x14ac:dyDescent="0.2">
      <c r="B172" s="4" t="s">
        <v>245</v>
      </c>
      <c r="C172" s="4" t="s">
        <v>257</v>
      </c>
      <c r="D172" s="5" t="s">
        <v>116</v>
      </c>
    </row>
    <row r="173" spans="2:4" x14ac:dyDescent="0.2">
      <c r="B173" s="4" t="s">
        <v>245</v>
      </c>
      <c r="C173" s="4" t="s">
        <v>258</v>
      </c>
      <c r="D173" s="5" t="s">
        <v>116</v>
      </c>
    </row>
    <row r="174" spans="2:4" x14ac:dyDescent="0.2">
      <c r="B174" s="4" t="s">
        <v>245</v>
      </c>
      <c r="C174" s="4" t="s">
        <v>259</v>
      </c>
      <c r="D174" s="5" t="s">
        <v>116</v>
      </c>
    </row>
    <row r="175" spans="2:4" x14ac:dyDescent="0.2">
      <c r="B175" s="4" t="s">
        <v>245</v>
      </c>
      <c r="C175" s="4" t="s">
        <v>260</v>
      </c>
      <c r="D175" s="5" t="s">
        <v>116</v>
      </c>
    </row>
    <row r="176" spans="2:4" x14ac:dyDescent="0.2">
      <c r="B176" s="4" t="s">
        <v>245</v>
      </c>
      <c r="C176" s="4" t="s">
        <v>261</v>
      </c>
      <c r="D176" s="5" t="s">
        <v>116</v>
      </c>
    </row>
    <row r="177" spans="2:4" x14ac:dyDescent="0.2">
      <c r="B177" s="4" t="s">
        <v>245</v>
      </c>
      <c r="C177" s="4" t="s">
        <v>262</v>
      </c>
      <c r="D177" s="5" t="s">
        <v>116</v>
      </c>
    </row>
    <row r="178" spans="2:4" x14ac:dyDescent="0.2">
      <c r="B178" s="4" t="s">
        <v>245</v>
      </c>
      <c r="C178" s="4" t="s">
        <v>263</v>
      </c>
      <c r="D178" s="5" t="s">
        <v>116</v>
      </c>
    </row>
    <row r="179" spans="2:4" x14ac:dyDescent="0.2">
      <c r="B179" s="4" t="s">
        <v>245</v>
      </c>
      <c r="C179" s="4" t="s">
        <v>264</v>
      </c>
      <c r="D179" s="5" t="s">
        <v>116</v>
      </c>
    </row>
    <row r="180" spans="2:4" x14ac:dyDescent="0.2">
      <c r="B180" s="4" t="s">
        <v>245</v>
      </c>
      <c r="C180" s="4" t="s">
        <v>265</v>
      </c>
      <c r="D180" s="5" t="s">
        <v>116</v>
      </c>
    </row>
    <row r="181" spans="2:4" x14ac:dyDescent="0.2">
      <c r="B181" s="4" t="s">
        <v>266</v>
      </c>
      <c r="C181" s="4" t="s">
        <v>267</v>
      </c>
      <c r="D181" s="5" t="s">
        <v>116</v>
      </c>
    </row>
    <row r="182" spans="2:4" x14ac:dyDescent="0.2">
      <c r="B182" s="4" t="s">
        <v>266</v>
      </c>
      <c r="C182" s="4" t="s">
        <v>268</v>
      </c>
      <c r="D182" s="5" t="s">
        <v>116</v>
      </c>
    </row>
    <row r="183" spans="2:4" x14ac:dyDescent="0.2">
      <c r="B183" s="4" t="s">
        <v>269</v>
      </c>
      <c r="C183" s="4" t="s">
        <v>270</v>
      </c>
      <c r="D183" s="5" t="s">
        <v>116</v>
      </c>
    </row>
    <row r="184" spans="2:4" x14ac:dyDescent="0.2">
      <c r="B184" s="4" t="s">
        <v>269</v>
      </c>
      <c r="C184" s="4" t="s">
        <v>271</v>
      </c>
      <c r="D184" s="5" t="s">
        <v>116</v>
      </c>
    </row>
    <row r="185" spans="2:4" x14ac:dyDescent="0.2">
      <c r="B185" s="4" t="s">
        <v>272</v>
      </c>
      <c r="C185" s="4" t="s">
        <v>273</v>
      </c>
      <c r="D185" s="5" t="s">
        <v>116</v>
      </c>
    </row>
    <row r="186" spans="2:4" x14ac:dyDescent="0.2">
      <c r="B186" s="4" t="s">
        <v>272</v>
      </c>
      <c r="C186" s="4" t="s">
        <v>274</v>
      </c>
      <c r="D186" s="5" t="s">
        <v>116</v>
      </c>
    </row>
    <row r="187" spans="2:4" x14ac:dyDescent="0.2">
      <c r="B187" s="4" t="s">
        <v>272</v>
      </c>
      <c r="C187" s="4" t="s">
        <v>275</v>
      </c>
      <c r="D187" s="5" t="s">
        <v>116</v>
      </c>
    </row>
    <row r="188" spans="2:4" x14ac:dyDescent="0.2">
      <c r="B188" s="4" t="s">
        <v>272</v>
      </c>
      <c r="C188" s="4" t="s">
        <v>276</v>
      </c>
      <c r="D188" s="5" t="s">
        <v>116</v>
      </c>
    </row>
    <row r="189" spans="2:4" x14ac:dyDescent="0.2">
      <c r="B189" s="4" t="s">
        <v>272</v>
      </c>
      <c r="C189" s="4" t="s">
        <v>277</v>
      </c>
      <c r="D189" s="5" t="s">
        <v>116</v>
      </c>
    </row>
    <row r="190" spans="2:4" x14ac:dyDescent="0.2">
      <c r="B190" s="4" t="s">
        <v>272</v>
      </c>
      <c r="C190" s="4" t="s">
        <v>278</v>
      </c>
      <c r="D190" s="5" t="s">
        <v>116</v>
      </c>
    </row>
    <row r="191" spans="2:4" x14ac:dyDescent="0.2">
      <c r="B191" s="4" t="s">
        <v>272</v>
      </c>
      <c r="C191" s="4" t="s">
        <v>279</v>
      </c>
      <c r="D191" s="5" t="s">
        <v>116</v>
      </c>
    </row>
    <row r="192" spans="2:4" x14ac:dyDescent="0.2">
      <c r="B192" s="4" t="s">
        <v>272</v>
      </c>
      <c r="C192" s="4" t="s">
        <v>280</v>
      </c>
      <c r="D192" s="5" t="s">
        <v>116</v>
      </c>
    </row>
    <row r="193" spans="2:4" x14ac:dyDescent="0.2">
      <c r="B193" s="4" t="s">
        <v>272</v>
      </c>
      <c r="C193" s="4" t="s">
        <v>281</v>
      </c>
      <c r="D193" s="5" t="s">
        <v>116</v>
      </c>
    </row>
    <row r="194" spans="2:4" x14ac:dyDescent="0.2">
      <c r="B194" s="4" t="s">
        <v>272</v>
      </c>
      <c r="C194" s="4" t="s">
        <v>282</v>
      </c>
      <c r="D194" s="5" t="s">
        <v>116</v>
      </c>
    </row>
    <row r="195" spans="2:4" x14ac:dyDescent="0.2">
      <c r="B195" s="4" t="s">
        <v>272</v>
      </c>
      <c r="C195" s="4" t="s">
        <v>283</v>
      </c>
      <c r="D195" s="5" t="s">
        <v>116</v>
      </c>
    </row>
    <row r="196" spans="2:4" x14ac:dyDescent="0.2">
      <c r="B196" s="4" t="s">
        <v>272</v>
      </c>
      <c r="C196" s="4" t="s">
        <v>284</v>
      </c>
      <c r="D196" s="5" t="s">
        <v>116</v>
      </c>
    </row>
    <row r="197" spans="2:4" x14ac:dyDescent="0.2">
      <c r="B197" s="4" t="s">
        <v>272</v>
      </c>
      <c r="C197" s="4" t="s">
        <v>285</v>
      </c>
      <c r="D197" s="5" t="s">
        <v>116</v>
      </c>
    </row>
    <row r="198" spans="2:4" x14ac:dyDescent="0.2">
      <c r="B198" s="4" t="s">
        <v>272</v>
      </c>
      <c r="C198" s="4" t="s">
        <v>286</v>
      </c>
      <c r="D198" s="5" t="s">
        <v>116</v>
      </c>
    </row>
    <row r="199" spans="2:4" x14ac:dyDescent="0.2">
      <c r="B199" s="4" t="s">
        <v>272</v>
      </c>
      <c r="C199" s="4" t="s">
        <v>287</v>
      </c>
      <c r="D199" s="5" t="s">
        <v>116</v>
      </c>
    </row>
    <row r="200" spans="2:4" x14ac:dyDescent="0.2">
      <c r="B200" s="4" t="s">
        <v>272</v>
      </c>
      <c r="C200" s="4" t="s">
        <v>288</v>
      </c>
      <c r="D200" s="5" t="s">
        <v>116</v>
      </c>
    </row>
    <row r="201" spans="2:4" x14ac:dyDescent="0.2">
      <c r="B201" s="4" t="s">
        <v>272</v>
      </c>
      <c r="C201" s="4" t="s">
        <v>289</v>
      </c>
      <c r="D201" s="5" t="s">
        <v>116</v>
      </c>
    </row>
    <row r="202" spans="2:4" x14ac:dyDescent="0.2">
      <c r="B202" s="4" t="s">
        <v>272</v>
      </c>
      <c r="C202" s="4" t="s">
        <v>290</v>
      </c>
      <c r="D202" s="5" t="s">
        <v>116</v>
      </c>
    </row>
    <row r="203" spans="2:4" x14ac:dyDescent="0.2">
      <c r="B203" s="4" t="s">
        <v>272</v>
      </c>
      <c r="C203" s="4" t="s">
        <v>291</v>
      </c>
      <c r="D203" s="5" t="s">
        <v>116</v>
      </c>
    </row>
    <row r="204" spans="2:4" x14ac:dyDescent="0.2">
      <c r="B204" s="4" t="s">
        <v>272</v>
      </c>
      <c r="C204" s="4" t="s">
        <v>292</v>
      </c>
      <c r="D204" s="5" t="s">
        <v>116</v>
      </c>
    </row>
    <row r="205" spans="2:4" x14ac:dyDescent="0.2">
      <c r="B205" s="4" t="s">
        <v>272</v>
      </c>
      <c r="C205" s="4" t="s">
        <v>293</v>
      </c>
      <c r="D205" s="5" t="s">
        <v>116</v>
      </c>
    </row>
    <row r="206" spans="2:4" x14ac:dyDescent="0.2">
      <c r="B206" s="4" t="s">
        <v>272</v>
      </c>
      <c r="C206" s="4" t="s">
        <v>294</v>
      </c>
      <c r="D206" s="5" t="s">
        <v>116</v>
      </c>
    </row>
    <row r="207" spans="2:4" x14ac:dyDescent="0.2">
      <c r="B207" s="4" t="s">
        <v>272</v>
      </c>
      <c r="C207" s="4" t="s">
        <v>295</v>
      </c>
      <c r="D207" s="5" t="s">
        <v>116</v>
      </c>
    </row>
    <row r="208" spans="2:4" x14ac:dyDescent="0.2">
      <c r="B208" s="4" t="s">
        <v>272</v>
      </c>
      <c r="C208" s="4" t="s">
        <v>296</v>
      </c>
      <c r="D208" s="5" t="s">
        <v>116</v>
      </c>
    </row>
    <row r="209" spans="2:4" x14ac:dyDescent="0.2">
      <c r="B209" s="4" t="s">
        <v>272</v>
      </c>
      <c r="C209" s="4" t="s">
        <v>297</v>
      </c>
      <c r="D209" s="5" t="s">
        <v>116</v>
      </c>
    </row>
    <row r="210" spans="2:4" x14ac:dyDescent="0.2">
      <c r="B210" s="4" t="s">
        <v>272</v>
      </c>
      <c r="C210" s="4" t="s">
        <v>298</v>
      </c>
      <c r="D210" s="5" t="s">
        <v>116</v>
      </c>
    </row>
    <row r="211" spans="2:4" x14ac:dyDescent="0.2">
      <c r="B211" s="4" t="s">
        <v>272</v>
      </c>
      <c r="C211" s="4" t="s">
        <v>299</v>
      </c>
      <c r="D211" s="5" t="s">
        <v>116</v>
      </c>
    </row>
    <row r="212" spans="2:4" x14ac:dyDescent="0.2">
      <c r="B212" s="4" t="s">
        <v>272</v>
      </c>
      <c r="C212" s="4" t="s">
        <v>300</v>
      </c>
      <c r="D212" s="5" t="s">
        <v>116</v>
      </c>
    </row>
    <row r="213" spans="2:4" x14ac:dyDescent="0.2">
      <c r="B213" s="4" t="s">
        <v>272</v>
      </c>
      <c r="C213" s="4" t="s">
        <v>301</v>
      </c>
      <c r="D213" s="5" t="s">
        <v>116</v>
      </c>
    </row>
    <row r="214" spans="2:4" x14ac:dyDescent="0.2">
      <c r="B214" s="4" t="s">
        <v>272</v>
      </c>
      <c r="C214" s="4" t="s">
        <v>302</v>
      </c>
      <c r="D214" s="5" t="s">
        <v>116</v>
      </c>
    </row>
    <row r="215" spans="2:4" x14ac:dyDescent="0.2">
      <c r="B215" s="4" t="s">
        <v>272</v>
      </c>
      <c r="C215" s="4" t="s">
        <v>303</v>
      </c>
      <c r="D215" s="5" t="s">
        <v>116</v>
      </c>
    </row>
    <row r="216" spans="2:4" x14ac:dyDescent="0.2">
      <c r="B216" s="4" t="s">
        <v>272</v>
      </c>
      <c r="C216" s="4" t="s">
        <v>304</v>
      </c>
      <c r="D216" s="5" t="s">
        <v>116</v>
      </c>
    </row>
    <row r="217" spans="2:4" x14ac:dyDescent="0.2">
      <c r="B217" s="4" t="s">
        <v>272</v>
      </c>
      <c r="C217" s="4" t="s">
        <v>305</v>
      </c>
      <c r="D217" s="5" t="s">
        <v>116</v>
      </c>
    </row>
    <row r="218" spans="2:4" x14ac:dyDescent="0.2">
      <c r="B218" s="4" t="s">
        <v>272</v>
      </c>
      <c r="C218" s="4" t="s">
        <v>306</v>
      </c>
      <c r="D218" s="5" t="s">
        <v>116</v>
      </c>
    </row>
    <row r="219" spans="2:4" x14ac:dyDescent="0.2">
      <c r="B219" s="4" t="s">
        <v>272</v>
      </c>
      <c r="C219" s="4" t="s">
        <v>307</v>
      </c>
      <c r="D219" s="5" t="s">
        <v>116</v>
      </c>
    </row>
    <row r="220" spans="2:4" x14ac:dyDescent="0.2">
      <c r="B220" s="4" t="s">
        <v>272</v>
      </c>
      <c r="C220" s="4" t="s">
        <v>308</v>
      </c>
      <c r="D220" s="5" t="s">
        <v>116</v>
      </c>
    </row>
    <row r="221" spans="2:4" x14ac:dyDescent="0.2">
      <c r="B221" s="4" t="s">
        <v>272</v>
      </c>
      <c r="C221" s="4" t="s">
        <v>309</v>
      </c>
      <c r="D221" s="5" t="s">
        <v>116</v>
      </c>
    </row>
    <row r="222" spans="2:4" x14ac:dyDescent="0.2">
      <c r="B222" s="4" t="s">
        <v>272</v>
      </c>
      <c r="C222" s="4" t="s">
        <v>310</v>
      </c>
      <c r="D222" s="5" t="s">
        <v>116</v>
      </c>
    </row>
    <row r="223" spans="2:4" x14ac:dyDescent="0.2">
      <c r="B223" s="4" t="s">
        <v>272</v>
      </c>
      <c r="C223" s="4" t="s">
        <v>311</v>
      </c>
      <c r="D223" s="5" t="s">
        <v>116</v>
      </c>
    </row>
    <row r="224" spans="2:4" x14ac:dyDescent="0.2">
      <c r="B224" s="4" t="s">
        <v>272</v>
      </c>
      <c r="C224" s="4" t="s">
        <v>312</v>
      </c>
      <c r="D224" s="5" t="s">
        <v>116</v>
      </c>
    </row>
    <row r="225" spans="2:4" x14ac:dyDescent="0.2">
      <c r="B225" s="4" t="s">
        <v>313</v>
      </c>
      <c r="C225" s="4" t="s">
        <v>314</v>
      </c>
      <c r="D225" s="5" t="s">
        <v>116</v>
      </c>
    </row>
    <row r="226" spans="2:4" x14ac:dyDescent="0.2">
      <c r="B226" s="4" t="s">
        <v>313</v>
      </c>
      <c r="C226" s="4" t="s">
        <v>315</v>
      </c>
      <c r="D226" s="5" t="s">
        <v>116</v>
      </c>
    </row>
    <row r="227" spans="2:4" x14ac:dyDescent="0.2">
      <c r="B227" s="4" t="s">
        <v>313</v>
      </c>
      <c r="C227" s="4" t="s">
        <v>316</v>
      </c>
      <c r="D227" s="5" t="s">
        <v>116</v>
      </c>
    </row>
    <row r="228" spans="2:4" x14ac:dyDescent="0.2">
      <c r="B228" s="4" t="s">
        <v>313</v>
      </c>
      <c r="C228" s="4" t="s">
        <v>317</v>
      </c>
      <c r="D228" s="5" t="s">
        <v>116</v>
      </c>
    </row>
    <row r="229" spans="2:4" x14ac:dyDescent="0.2">
      <c r="B229" s="4" t="s">
        <v>313</v>
      </c>
      <c r="C229" s="4" t="s">
        <v>318</v>
      </c>
      <c r="D229" s="5" t="s">
        <v>116</v>
      </c>
    </row>
    <row r="230" spans="2:4" x14ac:dyDescent="0.2">
      <c r="B230" s="4" t="s">
        <v>313</v>
      </c>
      <c r="C230" s="4" t="s">
        <v>319</v>
      </c>
      <c r="D230" s="5" t="s">
        <v>116</v>
      </c>
    </row>
    <row r="231" spans="2:4" x14ac:dyDescent="0.2">
      <c r="B231" s="4" t="s">
        <v>313</v>
      </c>
      <c r="C231" s="4" t="s">
        <v>320</v>
      </c>
      <c r="D231" s="5" t="s">
        <v>116</v>
      </c>
    </row>
    <row r="232" spans="2:4" x14ac:dyDescent="0.2">
      <c r="B232" s="4" t="s">
        <v>313</v>
      </c>
      <c r="C232" s="4" t="s">
        <v>321</v>
      </c>
      <c r="D232" s="5" t="s">
        <v>116</v>
      </c>
    </row>
    <row r="233" spans="2:4" x14ac:dyDescent="0.2">
      <c r="B233" s="4" t="s">
        <v>313</v>
      </c>
      <c r="C233" s="4" t="s">
        <v>322</v>
      </c>
      <c r="D233" s="5" t="s">
        <v>116</v>
      </c>
    </row>
    <row r="234" spans="2:4" x14ac:dyDescent="0.2">
      <c r="B234" s="4" t="s">
        <v>313</v>
      </c>
      <c r="C234" s="4" t="s">
        <v>323</v>
      </c>
      <c r="D234" s="5" t="s">
        <v>116</v>
      </c>
    </row>
    <row r="235" spans="2:4" x14ac:dyDescent="0.2">
      <c r="B235" s="4" t="s">
        <v>313</v>
      </c>
      <c r="C235" s="4" t="s">
        <v>324</v>
      </c>
      <c r="D235" s="5" t="s">
        <v>116</v>
      </c>
    </row>
    <row r="236" spans="2:4" x14ac:dyDescent="0.2">
      <c r="B236" s="4" t="s">
        <v>313</v>
      </c>
      <c r="C236" s="4" t="s">
        <v>325</v>
      </c>
      <c r="D236" s="5" t="s">
        <v>116</v>
      </c>
    </row>
    <row r="237" spans="2:4" x14ac:dyDescent="0.2">
      <c r="B237" s="4" t="s">
        <v>313</v>
      </c>
      <c r="C237" s="4" t="s">
        <v>326</v>
      </c>
      <c r="D237" s="5" t="s">
        <v>116</v>
      </c>
    </row>
    <row r="238" spans="2:4" x14ac:dyDescent="0.2">
      <c r="B238" s="4" t="s">
        <v>313</v>
      </c>
      <c r="C238" s="4" t="s">
        <v>327</v>
      </c>
      <c r="D238" s="5" t="s">
        <v>116</v>
      </c>
    </row>
    <row r="239" spans="2:4" x14ac:dyDescent="0.2">
      <c r="B239" s="4" t="s">
        <v>313</v>
      </c>
      <c r="C239" s="4" t="s">
        <v>328</v>
      </c>
      <c r="D239" s="5" t="s">
        <v>116</v>
      </c>
    </row>
    <row r="240" spans="2:4" x14ac:dyDescent="0.2">
      <c r="B240" s="4" t="s">
        <v>313</v>
      </c>
      <c r="C240" s="4" t="s">
        <v>329</v>
      </c>
      <c r="D240" s="5" t="s">
        <v>116</v>
      </c>
    </row>
    <row r="241" spans="2:4" x14ac:dyDescent="0.2">
      <c r="B241" s="4" t="s">
        <v>313</v>
      </c>
      <c r="C241" s="4" t="s">
        <v>330</v>
      </c>
      <c r="D241" s="5" t="s">
        <v>116</v>
      </c>
    </row>
    <row r="242" spans="2:4" x14ac:dyDescent="0.2">
      <c r="B242" s="4" t="s">
        <v>313</v>
      </c>
      <c r="C242" s="4" t="s">
        <v>331</v>
      </c>
      <c r="D242" s="5" t="s">
        <v>116</v>
      </c>
    </row>
    <row r="243" spans="2:4" x14ac:dyDescent="0.2">
      <c r="B243" s="4" t="s">
        <v>332</v>
      </c>
      <c r="C243" s="4" t="s">
        <v>333</v>
      </c>
      <c r="D243" s="5" t="s">
        <v>116</v>
      </c>
    </row>
    <row r="244" spans="2:4" x14ac:dyDescent="0.2">
      <c r="B244" s="4" t="s">
        <v>332</v>
      </c>
      <c r="C244" s="4" t="s">
        <v>334</v>
      </c>
      <c r="D244" s="5" t="s">
        <v>116</v>
      </c>
    </row>
    <row r="245" spans="2:4" x14ac:dyDescent="0.2">
      <c r="B245" s="4" t="s">
        <v>332</v>
      </c>
      <c r="C245" s="4" t="s">
        <v>335</v>
      </c>
      <c r="D245" s="5" t="s">
        <v>116</v>
      </c>
    </row>
    <row r="246" spans="2:4" x14ac:dyDescent="0.2">
      <c r="B246" s="4" t="s">
        <v>332</v>
      </c>
      <c r="C246" s="4" t="s">
        <v>336</v>
      </c>
      <c r="D246" s="5" t="s">
        <v>116</v>
      </c>
    </row>
    <row r="247" spans="2:4" x14ac:dyDescent="0.2">
      <c r="B247" s="4" t="s">
        <v>332</v>
      </c>
      <c r="C247" s="4" t="s">
        <v>337</v>
      </c>
      <c r="D247" s="5" t="s">
        <v>116</v>
      </c>
    </row>
    <row r="248" spans="2:4" x14ac:dyDescent="0.2">
      <c r="B248" s="4" t="s">
        <v>332</v>
      </c>
      <c r="C248" s="4" t="s">
        <v>338</v>
      </c>
      <c r="D248" s="5" t="s">
        <v>116</v>
      </c>
    </row>
    <row r="249" spans="2:4" x14ac:dyDescent="0.2">
      <c r="B249" s="4" t="s">
        <v>332</v>
      </c>
      <c r="C249" s="4" t="s">
        <v>339</v>
      </c>
      <c r="D249" s="5" t="s">
        <v>116</v>
      </c>
    </row>
    <row r="250" spans="2:4" x14ac:dyDescent="0.2">
      <c r="B250" s="4" t="s">
        <v>332</v>
      </c>
      <c r="C250" s="4" t="s">
        <v>340</v>
      </c>
      <c r="D250" s="5" t="s">
        <v>116</v>
      </c>
    </row>
    <row r="251" spans="2:4" x14ac:dyDescent="0.2">
      <c r="B251" s="4" t="s">
        <v>332</v>
      </c>
      <c r="C251" s="4" t="s">
        <v>341</v>
      </c>
      <c r="D251" s="5" t="s">
        <v>116</v>
      </c>
    </row>
    <row r="252" spans="2:4" x14ac:dyDescent="0.2">
      <c r="B252" s="4" t="s">
        <v>332</v>
      </c>
      <c r="C252" s="4" t="s">
        <v>342</v>
      </c>
      <c r="D252" s="5" t="s">
        <v>116</v>
      </c>
    </row>
    <row r="253" spans="2:4" x14ac:dyDescent="0.2">
      <c r="B253" s="4" t="s">
        <v>343</v>
      </c>
      <c r="C253" s="4" t="s">
        <v>344</v>
      </c>
      <c r="D253" s="5" t="s">
        <v>116</v>
      </c>
    </row>
    <row r="254" spans="2:4" x14ac:dyDescent="0.2">
      <c r="B254" s="4" t="s">
        <v>343</v>
      </c>
      <c r="C254" s="4" t="s">
        <v>345</v>
      </c>
      <c r="D254" s="5" t="s">
        <v>116</v>
      </c>
    </row>
    <row r="255" spans="2:4" x14ac:dyDescent="0.2">
      <c r="B255" s="4" t="s">
        <v>343</v>
      </c>
      <c r="C255" s="4" t="s">
        <v>346</v>
      </c>
      <c r="D255" s="5" t="s">
        <v>116</v>
      </c>
    </row>
    <row r="256" spans="2:4" x14ac:dyDescent="0.2">
      <c r="B256" s="4" t="s">
        <v>343</v>
      </c>
      <c r="C256" s="4" t="s">
        <v>347</v>
      </c>
      <c r="D256" s="5" t="s">
        <v>116</v>
      </c>
    </row>
    <row r="257" spans="2:4" x14ac:dyDescent="0.2">
      <c r="B257" s="4" t="s">
        <v>343</v>
      </c>
      <c r="C257" s="4" t="s">
        <v>348</v>
      </c>
      <c r="D257" s="5" t="s">
        <v>116</v>
      </c>
    </row>
    <row r="258" spans="2:4" x14ac:dyDescent="0.2">
      <c r="B258" s="4" t="s">
        <v>343</v>
      </c>
      <c r="C258" s="4" t="s">
        <v>349</v>
      </c>
      <c r="D258" s="5" t="s">
        <v>116</v>
      </c>
    </row>
    <row r="259" spans="2:4" x14ac:dyDescent="0.2">
      <c r="B259" s="4" t="s">
        <v>343</v>
      </c>
      <c r="C259" s="4" t="s">
        <v>350</v>
      </c>
      <c r="D259" s="5" t="s">
        <v>116</v>
      </c>
    </row>
    <row r="260" spans="2:4" x14ac:dyDescent="0.2">
      <c r="B260" s="4" t="s">
        <v>343</v>
      </c>
      <c r="C260" s="4" t="s">
        <v>351</v>
      </c>
      <c r="D260" s="5" t="s">
        <v>116</v>
      </c>
    </row>
    <row r="261" spans="2:4" x14ac:dyDescent="0.2">
      <c r="B261" s="4" t="s">
        <v>343</v>
      </c>
      <c r="C261" s="4" t="s">
        <v>352</v>
      </c>
      <c r="D261" s="5" t="s">
        <v>116</v>
      </c>
    </row>
    <row r="262" spans="2:4" x14ac:dyDescent="0.2">
      <c r="B262" s="4" t="s">
        <v>343</v>
      </c>
      <c r="C262" s="4" t="s">
        <v>353</v>
      </c>
      <c r="D262" s="5" t="s">
        <v>116</v>
      </c>
    </row>
    <row r="263" spans="2:4" x14ac:dyDescent="0.2">
      <c r="B263" s="4" t="s">
        <v>343</v>
      </c>
      <c r="C263" s="4" t="s">
        <v>354</v>
      </c>
      <c r="D263" s="5" t="s">
        <v>116</v>
      </c>
    </row>
    <row r="264" spans="2:4" x14ac:dyDescent="0.2">
      <c r="B264" s="4" t="s">
        <v>343</v>
      </c>
      <c r="C264" s="4" t="s">
        <v>355</v>
      </c>
      <c r="D264" s="5" t="s">
        <v>116</v>
      </c>
    </row>
    <row r="265" spans="2:4" x14ac:dyDescent="0.2">
      <c r="B265" s="4" t="s">
        <v>343</v>
      </c>
      <c r="C265" s="4" t="s">
        <v>356</v>
      </c>
      <c r="D265" s="5" t="s">
        <v>116</v>
      </c>
    </row>
    <row r="266" spans="2:4" x14ac:dyDescent="0.2">
      <c r="B266" s="4" t="s">
        <v>343</v>
      </c>
      <c r="C266" s="4" t="s">
        <v>357</v>
      </c>
      <c r="D266" s="5" t="s">
        <v>116</v>
      </c>
    </row>
    <row r="267" spans="2:4" x14ac:dyDescent="0.2">
      <c r="B267" s="4" t="s">
        <v>358</v>
      </c>
      <c r="C267" s="4" t="s">
        <v>359</v>
      </c>
      <c r="D267" s="5" t="s">
        <v>116</v>
      </c>
    </row>
    <row r="268" spans="2:4" x14ac:dyDescent="0.2">
      <c r="B268" s="4" t="s">
        <v>358</v>
      </c>
      <c r="C268" s="4" t="s">
        <v>360</v>
      </c>
      <c r="D268" s="5" t="s">
        <v>116</v>
      </c>
    </row>
    <row r="269" spans="2:4" x14ac:dyDescent="0.2">
      <c r="B269" s="4" t="s">
        <v>358</v>
      </c>
      <c r="C269" s="4" t="s">
        <v>361</v>
      </c>
      <c r="D269" s="5" t="s">
        <v>116</v>
      </c>
    </row>
    <row r="270" spans="2:4" x14ac:dyDescent="0.2">
      <c r="B270" s="4" t="s">
        <v>358</v>
      </c>
      <c r="C270" s="4" t="s">
        <v>362</v>
      </c>
      <c r="D270" s="5" t="s">
        <v>116</v>
      </c>
    </row>
    <row r="271" spans="2:4" x14ac:dyDescent="0.2">
      <c r="B271" s="4" t="s">
        <v>358</v>
      </c>
      <c r="C271" s="4" t="s">
        <v>363</v>
      </c>
      <c r="D271" s="5" t="s">
        <v>116</v>
      </c>
    </row>
    <row r="272" spans="2:4" x14ac:dyDescent="0.2">
      <c r="B272" s="4" t="s">
        <v>358</v>
      </c>
      <c r="C272" s="4" t="s">
        <v>364</v>
      </c>
      <c r="D272" s="5" t="s">
        <v>116</v>
      </c>
    </row>
    <row r="273" spans="2:4" x14ac:dyDescent="0.2">
      <c r="B273" s="4" t="s">
        <v>365</v>
      </c>
      <c r="C273" s="4" t="s">
        <v>366</v>
      </c>
      <c r="D273" s="5" t="s">
        <v>116</v>
      </c>
    </row>
    <row r="274" spans="2:4" x14ac:dyDescent="0.2">
      <c r="B274" s="4" t="s">
        <v>365</v>
      </c>
      <c r="C274" s="4" t="s">
        <v>367</v>
      </c>
      <c r="D274" s="5" t="s">
        <v>116</v>
      </c>
    </row>
    <row r="275" spans="2:4" x14ac:dyDescent="0.2">
      <c r="B275" s="4" t="s">
        <v>365</v>
      </c>
      <c r="C275" s="4" t="s">
        <v>368</v>
      </c>
      <c r="D275" s="5" t="s">
        <v>116</v>
      </c>
    </row>
    <row r="276" spans="2:4" x14ac:dyDescent="0.2">
      <c r="B276" s="4" t="s">
        <v>365</v>
      </c>
      <c r="C276" s="4" t="s">
        <v>369</v>
      </c>
      <c r="D276" s="5" t="s">
        <v>116</v>
      </c>
    </row>
    <row r="277" spans="2:4" x14ac:dyDescent="0.2">
      <c r="B277" s="4" t="s">
        <v>122</v>
      </c>
      <c r="C277" s="4" t="s">
        <v>370</v>
      </c>
      <c r="D277" s="5" t="s">
        <v>116</v>
      </c>
    </row>
    <row r="278" spans="2:4" x14ac:dyDescent="0.2">
      <c r="B278" s="4" t="s">
        <v>122</v>
      </c>
      <c r="C278" s="4" t="s">
        <v>371</v>
      </c>
      <c r="D278" s="5" t="s">
        <v>116</v>
      </c>
    </row>
    <row r="279" spans="2:4" x14ac:dyDescent="0.2">
      <c r="B279" s="4" t="s">
        <v>122</v>
      </c>
      <c r="C279" s="4" t="s">
        <v>372</v>
      </c>
      <c r="D279" s="5" t="s">
        <v>116</v>
      </c>
    </row>
    <row r="280" spans="2:4" x14ac:dyDescent="0.2">
      <c r="B280" s="4" t="s">
        <v>122</v>
      </c>
      <c r="C280" s="4" t="s">
        <v>373</v>
      </c>
      <c r="D280" s="5" t="s">
        <v>116</v>
      </c>
    </row>
    <row r="281" spans="2:4" x14ac:dyDescent="0.2">
      <c r="B281" s="4" t="s">
        <v>122</v>
      </c>
      <c r="C281" s="4" t="s">
        <v>374</v>
      </c>
      <c r="D281" s="5" t="s">
        <v>116</v>
      </c>
    </row>
    <row r="282" spans="2:4" x14ac:dyDescent="0.2">
      <c r="B282" s="4" t="s">
        <v>122</v>
      </c>
      <c r="C282" s="4" t="s">
        <v>375</v>
      </c>
      <c r="D282" s="5" t="s">
        <v>116</v>
      </c>
    </row>
    <row r="283" spans="2:4" x14ac:dyDescent="0.2">
      <c r="B283" s="4" t="s">
        <v>122</v>
      </c>
      <c r="C283" s="4" t="s">
        <v>376</v>
      </c>
      <c r="D283" s="5" t="s">
        <v>116</v>
      </c>
    </row>
    <row r="284" spans="2:4" x14ac:dyDescent="0.2">
      <c r="B284" s="4" t="s">
        <v>377</v>
      </c>
      <c r="C284" s="4" t="s">
        <v>378</v>
      </c>
      <c r="D284" s="5" t="s">
        <v>116</v>
      </c>
    </row>
    <row r="285" spans="2:4" x14ac:dyDescent="0.2">
      <c r="B285" s="4" t="s">
        <v>377</v>
      </c>
      <c r="C285" s="4" t="s">
        <v>379</v>
      </c>
      <c r="D285" s="5" t="s">
        <v>116</v>
      </c>
    </row>
    <row r="286" spans="2:4" x14ac:dyDescent="0.2">
      <c r="B286" s="4" t="s">
        <v>377</v>
      </c>
      <c r="C286" s="4" t="s">
        <v>380</v>
      </c>
      <c r="D286" s="5" t="s">
        <v>116</v>
      </c>
    </row>
    <row r="287" spans="2:4" x14ac:dyDescent="0.2">
      <c r="B287" s="4" t="s">
        <v>381</v>
      </c>
      <c r="C287" s="4" t="s">
        <v>382</v>
      </c>
      <c r="D287" s="5" t="s">
        <v>116</v>
      </c>
    </row>
    <row r="288" spans="2:4" x14ac:dyDescent="0.2">
      <c r="B288" s="4" t="s">
        <v>381</v>
      </c>
      <c r="C288" s="4" t="s">
        <v>383</v>
      </c>
      <c r="D288" s="5" t="s">
        <v>116</v>
      </c>
    </row>
    <row r="289" spans="2:4" x14ac:dyDescent="0.2">
      <c r="B289" s="4" t="s">
        <v>384</v>
      </c>
      <c r="C289" s="4" t="s">
        <v>385</v>
      </c>
      <c r="D289" s="5" t="s">
        <v>116</v>
      </c>
    </row>
    <row r="290" spans="2:4" x14ac:dyDescent="0.2">
      <c r="B290" s="4" t="s">
        <v>384</v>
      </c>
      <c r="C290" s="4" t="s">
        <v>386</v>
      </c>
      <c r="D290" s="5" t="s">
        <v>116</v>
      </c>
    </row>
    <row r="291" spans="2:4" x14ac:dyDescent="0.2">
      <c r="B291" s="4" t="s">
        <v>387</v>
      </c>
      <c r="C291" s="4" t="s">
        <v>388</v>
      </c>
      <c r="D291" s="5" t="s">
        <v>116</v>
      </c>
    </row>
    <row r="292" spans="2:4" x14ac:dyDescent="0.2">
      <c r="B292" s="4" t="s">
        <v>387</v>
      </c>
      <c r="C292" s="4" t="s">
        <v>389</v>
      </c>
      <c r="D292" s="5" t="s">
        <v>116</v>
      </c>
    </row>
    <row r="293" spans="2:4" x14ac:dyDescent="0.2">
      <c r="B293" s="4" t="s">
        <v>387</v>
      </c>
      <c r="C293" s="4" t="s">
        <v>390</v>
      </c>
      <c r="D293" s="5" t="s">
        <v>116</v>
      </c>
    </row>
    <row r="294" spans="2:4" x14ac:dyDescent="0.2">
      <c r="B294" s="4" t="s">
        <v>387</v>
      </c>
      <c r="C294" s="4" t="s">
        <v>391</v>
      </c>
      <c r="D294" s="5" t="s">
        <v>116</v>
      </c>
    </row>
    <row r="295" spans="2:4" x14ac:dyDescent="0.2">
      <c r="B295" s="4" t="s">
        <v>387</v>
      </c>
      <c r="C295" s="4" t="s">
        <v>392</v>
      </c>
      <c r="D295" s="5" t="s">
        <v>116</v>
      </c>
    </row>
    <row r="296" spans="2:4" x14ac:dyDescent="0.2">
      <c r="B296" s="4" t="s">
        <v>387</v>
      </c>
      <c r="C296" s="4" t="s">
        <v>393</v>
      </c>
      <c r="D296" s="5" t="s">
        <v>116</v>
      </c>
    </row>
    <row r="297" spans="2:4" x14ac:dyDescent="0.2">
      <c r="B297" s="4" t="s">
        <v>387</v>
      </c>
      <c r="C297" s="4" t="s">
        <v>394</v>
      </c>
      <c r="D297" s="5" t="s">
        <v>116</v>
      </c>
    </row>
    <row r="298" spans="2:4" x14ac:dyDescent="0.2">
      <c r="B298" s="4" t="s">
        <v>387</v>
      </c>
      <c r="C298" s="4" t="s">
        <v>395</v>
      </c>
      <c r="D298" s="5" t="s">
        <v>116</v>
      </c>
    </row>
    <row r="299" spans="2:4" x14ac:dyDescent="0.2">
      <c r="B299" s="4" t="s">
        <v>387</v>
      </c>
      <c r="C299" s="4" t="s">
        <v>396</v>
      </c>
      <c r="D299" s="5" t="s">
        <v>116</v>
      </c>
    </row>
    <row r="300" spans="2:4" x14ac:dyDescent="0.2">
      <c r="B300" s="4" t="s">
        <v>387</v>
      </c>
      <c r="C300" s="4" t="s">
        <v>397</v>
      </c>
      <c r="D300" s="5" t="s">
        <v>116</v>
      </c>
    </row>
    <row r="301" spans="2:4" x14ac:dyDescent="0.2">
      <c r="B301" s="4" t="s">
        <v>387</v>
      </c>
      <c r="C301" s="4" t="s">
        <v>398</v>
      </c>
      <c r="D301" s="5" t="s">
        <v>116</v>
      </c>
    </row>
    <row r="302" spans="2:4" x14ac:dyDescent="0.2">
      <c r="B302" s="4" t="s">
        <v>387</v>
      </c>
      <c r="C302" s="4" t="s">
        <v>399</v>
      </c>
      <c r="D302" s="5" t="s">
        <v>116</v>
      </c>
    </row>
    <row r="303" spans="2:4" x14ac:dyDescent="0.2">
      <c r="B303" s="4" t="s">
        <v>387</v>
      </c>
      <c r="C303" s="4" t="s">
        <v>400</v>
      </c>
      <c r="D303" s="5" t="s">
        <v>116</v>
      </c>
    </row>
    <row r="304" spans="2:4" x14ac:dyDescent="0.2">
      <c r="B304" s="4" t="s">
        <v>387</v>
      </c>
      <c r="C304" s="4" t="s">
        <v>401</v>
      </c>
      <c r="D304" s="5" t="s">
        <v>116</v>
      </c>
    </row>
    <row r="305" spans="2:4" x14ac:dyDescent="0.2">
      <c r="B305" s="4" t="s">
        <v>387</v>
      </c>
      <c r="C305" s="4" t="s">
        <v>402</v>
      </c>
      <c r="D305" s="5" t="s">
        <v>116</v>
      </c>
    </row>
    <row r="306" spans="2:4" x14ac:dyDescent="0.2">
      <c r="B306" s="4" t="s">
        <v>387</v>
      </c>
      <c r="C306" s="4" t="s">
        <v>403</v>
      </c>
      <c r="D306" s="5" t="s">
        <v>116</v>
      </c>
    </row>
    <row r="307" spans="2:4" x14ac:dyDescent="0.2">
      <c r="B307" s="4" t="s">
        <v>387</v>
      </c>
      <c r="C307" s="4" t="s">
        <v>404</v>
      </c>
      <c r="D307" s="5" t="s">
        <v>116</v>
      </c>
    </row>
    <row r="308" spans="2:4" x14ac:dyDescent="0.2">
      <c r="B308" s="4" t="s">
        <v>387</v>
      </c>
      <c r="C308" s="4" t="s">
        <v>405</v>
      </c>
      <c r="D308" s="5" t="s">
        <v>116</v>
      </c>
    </row>
    <row r="309" spans="2:4" x14ac:dyDescent="0.2">
      <c r="B309" s="4" t="s">
        <v>387</v>
      </c>
      <c r="C309" s="4" t="s">
        <v>406</v>
      </c>
      <c r="D309" s="5" t="s">
        <v>116</v>
      </c>
    </row>
    <row r="310" spans="2:4" x14ac:dyDescent="0.2">
      <c r="B310" s="4" t="s">
        <v>387</v>
      </c>
      <c r="C310" s="4" t="s">
        <v>407</v>
      </c>
      <c r="D310" s="5" t="s">
        <v>116</v>
      </c>
    </row>
    <row r="311" spans="2:4" x14ac:dyDescent="0.2">
      <c r="B311" s="4" t="s">
        <v>387</v>
      </c>
      <c r="C311" s="4" t="s">
        <v>408</v>
      </c>
      <c r="D311" s="5" t="s">
        <v>116</v>
      </c>
    </row>
    <row r="312" spans="2:4" x14ac:dyDescent="0.2">
      <c r="B312" s="4" t="s">
        <v>387</v>
      </c>
      <c r="C312" s="4" t="s">
        <v>409</v>
      </c>
      <c r="D312" s="5" t="s">
        <v>116</v>
      </c>
    </row>
    <row r="313" spans="2:4" x14ac:dyDescent="0.2">
      <c r="B313" s="4" t="s">
        <v>387</v>
      </c>
      <c r="C313" s="4" t="s">
        <v>410</v>
      </c>
      <c r="D313" s="5" t="s">
        <v>116</v>
      </c>
    </row>
    <row r="314" spans="2:4" x14ac:dyDescent="0.2">
      <c r="B314" s="4" t="s">
        <v>387</v>
      </c>
      <c r="C314" s="4" t="s">
        <v>411</v>
      </c>
      <c r="D314" s="5" t="s">
        <v>116</v>
      </c>
    </row>
    <row r="315" spans="2:4" x14ac:dyDescent="0.2">
      <c r="B315" s="4" t="s">
        <v>387</v>
      </c>
      <c r="C315" s="4" t="s">
        <v>412</v>
      </c>
      <c r="D315" s="5" t="s">
        <v>116</v>
      </c>
    </row>
    <row r="316" spans="2:4" x14ac:dyDescent="0.2">
      <c r="B316" s="4" t="s">
        <v>387</v>
      </c>
      <c r="C316" s="4" t="s">
        <v>413</v>
      </c>
      <c r="D316" s="5" t="s">
        <v>116</v>
      </c>
    </row>
    <row r="317" spans="2:4" x14ac:dyDescent="0.2">
      <c r="B317" s="4" t="s">
        <v>387</v>
      </c>
      <c r="C317" s="4" t="s">
        <v>414</v>
      </c>
      <c r="D317" s="5" t="s">
        <v>116</v>
      </c>
    </row>
    <row r="318" spans="2:4" x14ac:dyDescent="0.2">
      <c r="B318" s="4" t="s">
        <v>387</v>
      </c>
      <c r="C318" s="4" t="s">
        <v>415</v>
      </c>
      <c r="D318" s="5" t="s">
        <v>116</v>
      </c>
    </row>
    <row r="319" spans="2:4" x14ac:dyDescent="0.2">
      <c r="B319" s="4" t="s">
        <v>387</v>
      </c>
      <c r="C319" s="4" t="s">
        <v>416</v>
      </c>
      <c r="D319" s="5" t="s">
        <v>116</v>
      </c>
    </row>
    <row r="320" spans="2:4" x14ac:dyDescent="0.2">
      <c r="B320" s="4" t="s">
        <v>387</v>
      </c>
      <c r="C320" s="4" t="s">
        <v>417</v>
      </c>
      <c r="D320" s="5" t="s">
        <v>116</v>
      </c>
    </row>
    <row r="321" spans="2:4" x14ac:dyDescent="0.2">
      <c r="B321" s="4" t="s">
        <v>387</v>
      </c>
      <c r="C321" s="4" t="s">
        <v>418</v>
      </c>
      <c r="D321" s="5" t="s">
        <v>116</v>
      </c>
    </row>
    <row r="322" spans="2:4" x14ac:dyDescent="0.2">
      <c r="B322" s="4" t="s">
        <v>387</v>
      </c>
      <c r="C322" s="4" t="s">
        <v>419</v>
      </c>
      <c r="D322" s="5" t="s">
        <v>116</v>
      </c>
    </row>
    <row r="323" spans="2:4" x14ac:dyDescent="0.2">
      <c r="B323" s="4" t="s">
        <v>387</v>
      </c>
      <c r="C323" s="4" t="s">
        <v>420</v>
      </c>
      <c r="D323" s="5" t="s">
        <v>116</v>
      </c>
    </row>
    <row r="324" spans="2:4" x14ac:dyDescent="0.2">
      <c r="B324" s="4" t="s">
        <v>387</v>
      </c>
      <c r="C324" s="4" t="s">
        <v>421</v>
      </c>
      <c r="D324" s="5" t="s">
        <v>116</v>
      </c>
    </row>
    <row r="325" spans="2:4" x14ac:dyDescent="0.2">
      <c r="B325" s="4" t="s">
        <v>387</v>
      </c>
      <c r="C325" s="4" t="s">
        <v>422</v>
      </c>
      <c r="D325" s="5" t="s">
        <v>116</v>
      </c>
    </row>
    <row r="326" spans="2:4" x14ac:dyDescent="0.2">
      <c r="B326" s="4" t="s">
        <v>387</v>
      </c>
      <c r="C326" s="4" t="s">
        <v>423</v>
      </c>
      <c r="D326" s="5" t="s">
        <v>116</v>
      </c>
    </row>
    <row r="327" spans="2:4" x14ac:dyDescent="0.2">
      <c r="B327" s="4" t="s">
        <v>387</v>
      </c>
      <c r="C327" s="4" t="s">
        <v>424</v>
      </c>
      <c r="D327" s="5" t="s">
        <v>116</v>
      </c>
    </row>
    <row r="328" spans="2:4" x14ac:dyDescent="0.2">
      <c r="B328" s="4" t="s">
        <v>387</v>
      </c>
      <c r="C328" s="4" t="s">
        <v>425</v>
      </c>
      <c r="D328" s="5" t="s">
        <v>116</v>
      </c>
    </row>
    <row r="329" spans="2:4" x14ac:dyDescent="0.2">
      <c r="B329" s="4" t="s">
        <v>387</v>
      </c>
      <c r="C329" s="4" t="s">
        <v>426</v>
      </c>
      <c r="D329" s="5" t="s">
        <v>116</v>
      </c>
    </row>
    <row r="330" spans="2:4" x14ac:dyDescent="0.2">
      <c r="B330" s="4" t="s">
        <v>387</v>
      </c>
      <c r="C330" s="4" t="s">
        <v>427</v>
      </c>
      <c r="D330" s="5" t="s">
        <v>116</v>
      </c>
    </row>
    <row r="331" spans="2:4" x14ac:dyDescent="0.2">
      <c r="B331" s="4" t="s">
        <v>387</v>
      </c>
      <c r="C331" s="4" t="s">
        <v>428</v>
      </c>
      <c r="D331" s="5" t="s">
        <v>116</v>
      </c>
    </row>
    <row r="332" spans="2:4" x14ac:dyDescent="0.2">
      <c r="B332" s="4" t="s">
        <v>387</v>
      </c>
      <c r="C332" s="4" t="s">
        <v>429</v>
      </c>
      <c r="D332" s="5" t="s">
        <v>116</v>
      </c>
    </row>
    <row r="333" spans="2:4" x14ac:dyDescent="0.2">
      <c r="B333" s="4" t="s">
        <v>387</v>
      </c>
      <c r="C333" s="4" t="s">
        <v>430</v>
      </c>
      <c r="D333" s="5" t="s">
        <v>116</v>
      </c>
    </row>
    <row r="334" spans="2:4" x14ac:dyDescent="0.2">
      <c r="B334" s="4" t="s">
        <v>387</v>
      </c>
      <c r="C334" s="4" t="s">
        <v>431</v>
      </c>
      <c r="D334" s="5" t="s">
        <v>116</v>
      </c>
    </row>
    <row r="335" spans="2:4" x14ac:dyDescent="0.2">
      <c r="B335" s="4" t="s">
        <v>387</v>
      </c>
      <c r="C335" s="4" t="s">
        <v>432</v>
      </c>
      <c r="D335" s="5" t="s">
        <v>116</v>
      </c>
    </row>
    <row r="336" spans="2:4" x14ac:dyDescent="0.2">
      <c r="B336" s="4" t="s">
        <v>433</v>
      </c>
      <c r="C336" s="4" t="s">
        <v>434</v>
      </c>
      <c r="D336" s="5" t="s">
        <v>116</v>
      </c>
    </row>
    <row r="337" spans="2:4" x14ac:dyDescent="0.2">
      <c r="B337" s="4" t="s">
        <v>433</v>
      </c>
      <c r="C337" s="4" t="s">
        <v>435</v>
      </c>
      <c r="D337" s="5" t="s">
        <v>116</v>
      </c>
    </row>
    <row r="338" spans="2:4" x14ac:dyDescent="0.2">
      <c r="B338" s="4" t="s">
        <v>433</v>
      </c>
      <c r="C338" s="4" t="s">
        <v>436</v>
      </c>
      <c r="D338" s="5" t="s">
        <v>116</v>
      </c>
    </row>
    <row r="339" spans="2:4" x14ac:dyDescent="0.2">
      <c r="B339" s="4" t="s">
        <v>433</v>
      </c>
      <c r="C339" s="4" t="s">
        <v>437</v>
      </c>
      <c r="D339" s="5" t="s">
        <v>116</v>
      </c>
    </row>
    <row r="340" spans="2:4" x14ac:dyDescent="0.2">
      <c r="B340" s="6" t="s">
        <v>433</v>
      </c>
      <c r="C340" s="6" t="s">
        <v>438</v>
      </c>
      <c r="D340" s="7" t="s">
        <v>116</v>
      </c>
    </row>
  </sheetData>
  <autoFilter ref="B6:D6" xr:uid="{00000000-0009-0000-0000-000000000000}"/>
  <conditionalFormatting sqref="D7:D340">
    <cfRule type="containsText" dxfId="2" priority="3" operator="containsText" text="No">
      <formula>NOT(ISERROR(SEARCH("No",D7)))</formula>
    </cfRule>
    <cfRule type="containsText" dxfId="1" priority="4" operator="containsText" text="Yes">
      <formula>NOT(ISERROR(SEARCH("Yes",D7)))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K122"/>
  <sheetViews>
    <sheetView showGridLines="0" tabSelected="1" topLeftCell="E106" zoomScale="161" zoomScaleNormal="142" workbookViewId="0">
      <selection activeCell="G122" sqref="G122"/>
    </sheetView>
  </sheetViews>
  <sheetFormatPr baseColWidth="10" defaultColWidth="8.83203125" defaultRowHeight="15" outlineLevelCol="1" x14ac:dyDescent="0.2"/>
  <cols>
    <col min="1" max="1" width="3.5" customWidth="1"/>
    <col min="2" max="2" width="14.33203125" bestFit="1" customWidth="1"/>
    <col min="3" max="3" width="15.5" customWidth="1"/>
    <col min="4" max="4" width="46.1640625" hidden="1" customWidth="1" outlineLevel="1"/>
    <col min="5" max="5" width="41" bestFit="1" customWidth="1" collapsed="1"/>
    <col min="6" max="6" width="38.83203125" bestFit="1" customWidth="1"/>
    <col min="7" max="7" width="22.1640625" bestFit="1" customWidth="1"/>
    <col min="8" max="8" width="18.1640625" bestFit="1" customWidth="1"/>
    <col min="9" max="9" width="24.1640625" bestFit="1" customWidth="1"/>
    <col min="10" max="10" width="9.1640625" bestFit="1" customWidth="1"/>
    <col min="11" max="11" width="7.5" bestFit="1" customWidth="1"/>
    <col min="12" max="12" width="11.6640625" bestFit="1" customWidth="1"/>
    <col min="13" max="13" width="11" bestFit="1" customWidth="1"/>
    <col min="14" max="14" width="7.5" bestFit="1" customWidth="1"/>
    <col min="15" max="15" width="11.6640625" bestFit="1" customWidth="1"/>
    <col min="16" max="16" width="11" bestFit="1" customWidth="1"/>
  </cols>
  <sheetData>
    <row r="1" spans="1:3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</row>
    <row r="2" spans="1:37" s="1" customFormat="1" ht="22" customHeight="1" x14ac:dyDescent="0.3">
      <c r="B2" s="8" t="s">
        <v>0</v>
      </c>
    </row>
    <row r="3" spans="1:37" s="1" customFormat="1" x14ac:dyDescent="0.2"/>
    <row r="5" spans="1:37" s="1" customFormat="1" x14ac:dyDescent="0.2">
      <c r="B5" s="1" t="s">
        <v>1</v>
      </c>
    </row>
    <row r="7" spans="1:37" x14ac:dyDescent="0.2">
      <c r="B7" s="1" t="s">
        <v>2</v>
      </c>
      <c r="C7" s="1" t="s">
        <v>3</v>
      </c>
      <c r="D7" s="1"/>
      <c r="E7" s="1"/>
    </row>
    <row r="8" spans="1:37" x14ac:dyDescent="0.2">
      <c r="B8" s="2">
        <v>1</v>
      </c>
      <c r="C8" s="2" t="s">
        <v>4</v>
      </c>
      <c r="D8" s="2"/>
      <c r="E8" s="2"/>
    </row>
    <row r="9" spans="1:37" x14ac:dyDescent="0.2">
      <c r="B9" s="4">
        <v>2</v>
      </c>
      <c r="C9" s="4" t="s">
        <v>5</v>
      </c>
      <c r="D9" s="4"/>
      <c r="E9" s="4"/>
    </row>
    <row r="10" spans="1:37" x14ac:dyDescent="0.2">
      <c r="B10" s="4">
        <v>3</v>
      </c>
      <c r="C10" s="4" t="s">
        <v>6</v>
      </c>
      <c r="D10" s="4"/>
      <c r="E10" s="4"/>
    </row>
    <row r="11" spans="1:37" x14ac:dyDescent="0.2">
      <c r="B11" s="4">
        <v>4</v>
      </c>
      <c r="C11" s="4" t="s">
        <v>7</v>
      </c>
      <c r="D11" s="4"/>
      <c r="E11" s="4"/>
    </row>
    <row r="12" spans="1:37" x14ac:dyDescent="0.2">
      <c r="B12" s="4">
        <v>5</v>
      </c>
      <c r="C12" s="4" t="s">
        <v>8</v>
      </c>
      <c r="D12" s="4"/>
      <c r="E12" s="4"/>
    </row>
    <row r="13" spans="1:37" x14ac:dyDescent="0.2">
      <c r="B13" s="7"/>
      <c r="C13" s="7"/>
    </row>
    <row r="15" spans="1:37" s="1" customFormat="1" x14ac:dyDescent="0.2">
      <c r="B15" s="1" t="s">
        <v>9</v>
      </c>
    </row>
    <row r="17" spans="2:16" x14ac:dyDescent="0.2">
      <c r="B17" s="1" t="s">
        <v>10</v>
      </c>
      <c r="C17" s="1" t="s">
        <v>2</v>
      </c>
      <c r="D17" s="1"/>
      <c r="E17" s="1" t="s">
        <v>11</v>
      </c>
      <c r="F17" s="1" t="s">
        <v>12</v>
      </c>
      <c r="G17" s="1" t="s">
        <v>13</v>
      </c>
      <c r="H17" s="10" t="s">
        <v>14</v>
      </c>
      <c r="I17" s="1" t="s">
        <v>15</v>
      </c>
      <c r="J17" s="1" t="s">
        <v>16</v>
      </c>
      <c r="K17" s="1" t="s">
        <v>17</v>
      </c>
      <c r="L17" s="1" t="s">
        <v>18</v>
      </c>
      <c r="M17" s="1" t="s">
        <v>19</v>
      </c>
      <c r="N17" s="1" t="s">
        <v>20</v>
      </c>
      <c r="O17" s="1" t="s">
        <v>21</v>
      </c>
      <c r="P17" s="1" t="s">
        <v>22</v>
      </c>
    </row>
    <row r="18" spans="2:16" x14ac:dyDescent="0.2">
      <c r="B18" s="9" t="str">
        <f t="shared" ref="B18:B49" si="0">C18&amp;"-"&amp;D18</f>
        <v>1-1</v>
      </c>
      <c r="C18" s="9">
        <v>1</v>
      </c>
      <c r="D18" s="9">
        <v>1</v>
      </c>
      <c r="E18" s="9" t="s">
        <v>23</v>
      </c>
      <c r="F18" s="9" t="s">
        <v>24</v>
      </c>
      <c r="G18" s="9" t="s">
        <v>25</v>
      </c>
      <c r="H18" s="42" t="s">
        <v>610</v>
      </c>
      <c r="I18" s="9">
        <v>20</v>
      </c>
      <c r="J18" s="9" t="s">
        <v>611</v>
      </c>
      <c r="K18" s="9" t="s">
        <v>456</v>
      </c>
      <c r="L18" s="39">
        <v>0.39357799999999998</v>
      </c>
      <c r="M18" s="39">
        <v>0.39258100000000001</v>
      </c>
      <c r="N18" s="9" t="s">
        <v>457</v>
      </c>
      <c r="O18" s="9">
        <v>1.2648360000000001</v>
      </c>
      <c r="P18" s="9">
        <v>1.255447</v>
      </c>
    </row>
    <row r="19" spans="2:16" x14ac:dyDescent="0.2">
      <c r="B19" s="9" t="str">
        <f t="shared" si="0"/>
        <v>1-2</v>
      </c>
      <c r="C19" s="9">
        <v>1</v>
      </c>
      <c r="D19" s="9">
        <v>2</v>
      </c>
      <c r="E19" s="9" t="s">
        <v>23</v>
      </c>
      <c r="F19" s="9" t="s">
        <v>24</v>
      </c>
      <c r="G19" s="9" t="s">
        <v>27</v>
      </c>
      <c r="H19" s="42" t="s">
        <v>612</v>
      </c>
      <c r="I19" s="9">
        <v>40</v>
      </c>
      <c r="J19" s="9" t="s">
        <v>613</v>
      </c>
      <c r="K19" s="9" t="s">
        <v>456</v>
      </c>
      <c r="L19" s="39">
        <v>0.33322800000000002</v>
      </c>
      <c r="M19" s="39">
        <v>0.33951399999999998</v>
      </c>
      <c r="N19" s="9" t="s">
        <v>457</v>
      </c>
      <c r="O19" s="9">
        <v>1.0043850000000001</v>
      </c>
      <c r="P19" s="9">
        <v>1.0442469999999999</v>
      </c>
    </row>
    <row r="20" spans="2:16" x14ac:dyDescent="0.2">
      <c r="B20" s="9" t="str">
        <f t="shared" si="0"/>
        <v>1-3</v>
      </c>
      <c r="C20" s="9">
        <v>1</v>
      </c>
      <c r="D20" s="9">
        <v>3</v>
      </c>
      <c r="E20" s="9" t="s">
        <v>23</v>
      </c>
      <c r="F20" s="9" t="s">
        <v>24</v>
      </c>
      <c r="G20" s="9" t="s">
        <v>28</v>
      </c>
      <c r="H20" s="42" t="s">
        <v>614</v>
      </c>
      <c r="I20" s="9">
        <v>40</v>
      </c>
      <c r="J20" s="9" t="s">
        <v>615</v>
      </c>
      <c r="K20" s="9" t="s">
        <v>456</v>
      </c>
      <c r="L20" s="39">
        <v>0.33430300000000002</v>
      </c>
      <c r="M20" s="39">
        <v>0.34111599999999997</v>
      </c>
      <c r="N20" s="9" t="s">
        <v>457</v>
      </c>
      <c r="O20" s="9">
        <v>1.03494</v>
      </c>
      <c r="P20" s="9">
        <v>1.073051</v>
      </c>
    </row>
    <row r="21" spans="2:16" x14ac:dyDescent="0.2">
      <c r="B21" s="9" t="str">
        <f t="shared" si="0"/>
        <v>1-4</v>
      </c>
      <c r="C21" s="9">
        <v>1</v>
      </c>
      <c r="D21" s="9">
        <v>4</v>
      </c>
      <c r="E21" s="9" t="s">
        <v>23</v>
      </c>
      <c r="F21" s="9" t="s">
        <v>24</v>
      </c>
      <c r="G21" s="9" t="s">
        <v>30</v>
      </c>
      <c r="H21" s="42" t="s">
        <v>616</v>
      </c>
      <c r="I21" s="9">
        <v>40</v>
      </c>
      <c r="J21" s="9" t="s">
        <v>617</v>
      </c>
      <c r="K21" s="9" t="s">
        <v>456</v>
      </c>
      <c r="L21" s="39">
        <v>0.27298499999999998</v>
      </c>
      <c r="M21" s="39">
        <v>0.332013</v>
      </c>
      <c r="N21" s="9" t="s">
        <v>457</v>
      </c>
      <c r="O21" s="9">
        <v>0.70174300000000001</v>
      </c>
      <c r="P21" s="9">
        <v>1.021916</v>
      </c>
    </row>
    <row r="22" spans="2:16" x14ac:dyDescent="0.2">
      <c r="B22" s="9" t="str">
        <f t="shared" si="0"/>
        <v>1-5</v>
      </c>
      <c r="C22" s="9">
        <v>1</v>
      </c>
      <c r="D22" s="9">
        <v>5</v>
      </c>
      <c r="E22" s="9" t="s">
        <v>23</v>
      </c>
      <c r="F22" s="9" t="s">
        <v>24</v>
      </c>
      <c r="G22" s="9" t="s">
        <v>32</v>
      </c>
      <c r="H22" s="42" t="s">
        <v>618</v>
      </c>
      <c r="I22" s="9">
        <v>5</v>
      </c>
      <c r="J22" s="9" t="s">
        <v>619</v>
      </c>
      <c r="K22" s="9" t="s">
        <v>456</v>
      </c>
      <c r="L22" s="39">
        <v>0.437552</v>
      </c>
      <c r="M22" s="39">
        <v>0.436859</v>
      </c>
      <c r="N22" s="9" t="s">
        <v>457</v>
      </c>
      <c r="O22" s="9">
        <v>2.3750260000000001</v>
      </c>
      <c r="P22" s="9">
        <v>2.375184</v>
      </c>
    </row>
    <row r="23" spans="2:16" ht="16" customHeight="1" thickBot="1" x14ac:dyDescent="0.25">
      <c r="B23" s="11" t="str">
        <f t="shared" si="0"/>
        <v>1-6</v>
      </c>
      <c r="C23" s="11">
        <v>1</v>
      </c>
      <c r="D23" s="11">
        <v>6</v>
      </c>
      <c r="E23" s="11" t="s">
        <v>23</v>
      </c>
      <c r="F23" s="11" t="s">
        <v>24</v>
      </c>
      <c r="G23" s="11" t="s">
        <v>33</v>
      </c>
      <c r="H23" s="46" t="s">
        <v>620</v>
      </c>
      <c r="I23" s="11">
        <v>100</v>
      </c>
      <c r="J23" s="11" t="s">
        <v>621</v>
      </c>
      <c r="K23" s="11" t="s">
        <v>456</v>
      </c>
      <c r="L23" s="40">
        <v>0.32406200000000002</v>
      </c>
      <c r="M23" s="40">
        <v>0.32776699999999998</v>
      </c>
      <c r="N23" s="11" t="s">
        <v>457</v>
      </c>
      <c r="O23" s="11">
        <v>0.97502299999999997</v>
      </c>
      <c r="P23" s="11">
        <v>0.99730399999999997</v>
      </c>
    </row>
    <row r="24" spans="2:16" ht="16" customHeight="1" thickTop="1" x14ac:dyDescent="0.2">
      <c r="B24" s="9" t="str">
        <f t="shared" si="0"/>
        <v>2-1</v>
      </c>
      <c r="C24" s="9">
        <v>2</v>
      </c>
      <c r="D24" s="9">
        <v>1</v>
      </c>
      <c r="E24" s="9" t="s">
        <v>35</v>
      </c>
      <c r="F24" s="9" t="s">
        <v>36</v>
      </c>
      <c r="G24" s="9" t="s">
        <v>25</v>
      </c>
      <c r="H24" s="42" t="s">
        <v>622</v>
      </c>
      <c r="I24" s="9">
        <v>20</v>
      </c>
      <c r="J24" s="9" t="s">
        <v>623</v>
      </c>
      <c r="K24" s="9" t="s">
        <v>456</v>
      </c>
      <c r="L24" s="39">
        <v>0.39430500000000002</v>
      </c>
      <c r="M24" s="39">
        <v>0.39350499999999999</v>
      </c>
      <c r="N24" s="9" t="s">
        <v>457</v>
      </c>
      <c r="O24" s="9">
        <v>1.30538</v>
      </c>
      <c r="P24" s="9">
        <v>1.30063</v>
      </c>
    </row>
    <row r="25" spans="2:16" x14ac:dyDescent="0.2">
      <c r="B25" s="9" t="str">
        <f t="shared" si="0"/>
        <v>2-2</v>
      </c>
      <c r="C25" s="9">
        <v>2</v>
      </c>
      <c r="D25" s="9">
        <f t="shared" ref="D25:D41" si="1">D24+1</f>
        <v>2</v>
      </c>
      <c r="E25" s="9" t="s">
        <v>35</v>
      </c>
      <c r="F25" s="9" t="s">
        <v>38</v>
      </c>
      <c r="G25" s="9" t="s">
        <v>25</v>
      </c>
      <c r="H25" s="42" t="s">
        <v>624</v>
      </c>
      <c r="I25" s="9">
        <v>20</v>
      </c>
      <c r="J25" s="9" t="s">
        <v>625</v>
      </c>
      <c r="K25" s="9" t="s">
        <v>456</v>
      </c>
      <c r="L25" s="39">
        <v>0.36078399999999999</v>
      </c>
      <c r="M25" s="39">
        <v>0.35923899999999998</v>
      </c>
      <c r="N25" s="9" t="s">
        <v>457</v>
      </c>
      <c r="O25" s="9">
        <v>1.1346510000000001</v>
      </c>
      <c r="P25" s="9">
        <v>1.1243369999999999</v>
      </c>
    </row>
    <row r="26" spans="2:16" x14ac:dyDescent="0.2">
      <c r="B26" s="9" t="str">
        <f t="shared" si="0"/>
        <v>2-3</v>
      </c>
      <c r="C26" s="9">
        <v>2</v>
      </c>
      <c r="D26" s="9">
        <f t="shared" si="1"/>
        <v>3</v>
      </c>
      <c r="E26" s="9" t="s">
        <v>35</v>
      </c>
      <c r="F26" s="9" t="s">
        <v>40</v>
      </c>
      <c r="G26" s="9" t="s">
        <v>25</v>
      </c>
      <c r="H26" s="42" t="s">
        <v>626</v>
      </c>
      <c r="I26" s="9">
        <v>20</v>
      </c>
      <c r="J26" s="9" t="s">
        <v>627</v>
      </c>
      <c r="K26" s="9" t="s">
        <v>456</v>
      </c>
      <c r="L26" s="39">
        <v>0.38879900000000001</v>
      </c>
      <c r="M26" s="39">
        <v>0.38761899999999999</v>
      </c>
      <c r="N26" s="9" t="s">
        <v>457</v>
      </c>
      <c r="O26" s="9">
        <v>1.2785439999999999</v>
      </c>
      <c r="P26" s="9">
        <v>1.272891</v>
      </c>
    </row>
    <row r="27" spans="2:16" x14ac:dyDescent="0.2">
      <c r="B27" s="9" t="str">
        <f t="shared" si="0"/>
        <v>2-4</v>
      </c>
      <c r="C27" s="9">
        <v>2</v>
      </c>
      <c r="D27" s="9">
        <f t="shared" si="1"/>
        <v>4</v>
      </c>
      <c r="E27" s="9" t="s">
        <v>35</v>
      </c>
      <c r="F27" s="9" t="s">
        <v>36</v>
      </c>
      <c r="G27" s="9" t="s">
        <v>27</v>
      </c>
      <c r="H27" s="42" t="s">
        <v>628</v>
      </c>
      <c r="I27" s="9">
        <v>40</v>
      </c>
      <c r="J27" s="9" t="s">
        <v>629</v>
      </c>
      <c r="K27" s="9" t="s">
        <v>456</v>
      </c>
      <c r="L27" s="39">
        <v>0</v>
      </c>
      <c r="M27" s="39">
        <v>0.38358399999999998</v>
      </c>
      <c r="N27" s="9" t="s">
        <v>457</v>
      </c>
      <c r="O27" s="9">
        <v>0</v>
      </c>
      <c r="P27" s="9">
        <v>1.2400260000000001</v>
      </c>
    </row>
    <row r="28" spans="2:16" x14ac:dyDescent="0.2">
      <c r="B28" s="9" t="str">
        <f t="shared" si="0"/>
        <v>2-5</v>
      </c>
      <c r="C28" s="9">
        <v>2</v>
      </c>
      <c r="D28" s="9">
        <f t="shared" si="1"/>
        <v>5</v>
      </c>
      <c r="E28" s="9" t="s">
        <v>35</v>
      </c>
      <c r="F28" s="9" t="s">
        <v>38</v>
      </c>
      <c r="G28" s="9" t="s">
        <v>27</v>
      </c>
      <c r="H28" s="42" t="s">
        <v>630</v>
      </c>
      <c r="I28" s="9">
        <v>40</v>
      </c>
      <c r="J28" s="9" t="s">
        <v>631</v>
      </c>
      <c r="K28" s="9" t="s">
        <v>456</v>
      </c>
      <c r="L28" s="39">
        <v>0</v>
      </c>
      <c r="M28" s="39">
        <v>0.35176800000000003</v>
      </c>
      <c r="N28" s="9" t="s">
        <v>457</v>
      </c>
      <c r="O28" s="9">
        <v>0</v>
      </c>
      <c r="P28" s="9">
        <v>1.0641179999999999</v>
      </c>
    </row>
    <row r="29" spans="2:16" x14ac:dyDescent="0.2">
      <c r="B29" s="9" t="str">
        <f t="shared" si="0"/>
        <v>2-6</v>
      </c>
      <c r="C29" s="9">
        <v>2</v>
      </c>
      <c r="D29" s="9">
        <f t="shared" si="1"/>
        <v>6</v>
      </c>
      <c r="E29" s="9" t="s">
        <v>35</v>
      </c>
      <c r="F29" s="9" t="s">
        <v>40</v>
      </c>
      <c r="G29" s="9" t="s">
        <v>27</v>
      </c>
      <c r="H29" s="42" t="s">
        <v>632</v>
      </c>
      <c r="I29" s="9">
        <v>40</v>
      </c>
      <c r="J29" s="9" t="s">
        <v>633</v>
      </c>
      <c r="K29" s="9" t="s">
        <v>456</v>
      </c>
      <c r="L29" s="39">
        <v>0</v>
      </c>
      <c r="M29" s="39">
        <v>0.374058</v>
      </c>
      <c r="N29" s="9" t="s">
        <v>457</v>
      </c>
      <c r="O29" s="9">
        <v>0</v>
      </c>
      <c r="P29" s="9">
        <v>1.157778</v>
      </c>
    </row>
    <row r="30" spans="2:16" x14ac:dyDescent="0.2">
      <c r="B30" s="9" t="str">
        <f t="shared" si="0"/>
        <v>2-7</v>
      </c>
      <c r="C30" s="9">
        <v>2</v>
      </c>
      <c r="D30" s="9">
        <f t="shared" si="1"/>
        <v>7</v>
      </c>
      <c r="E30" s="9" t="s">
        <v>35</v>
      </c>
      <c r="F30" s="9" t="s">
        <v>36</v>
      </c>
      <c r="G30" s="9" t="s">
        <v>28</v>
      </c>
      <c r="H30" s="42" t="s">
        <v>634</v>
      </c>
      <c r="I30" s="9">
        <v>40</v>
      </c>
      <c r="J30" s="9" t="s">
        <v>635</v>
      </c>
      <c r="K30" s="9" t="s">
        <v>456</v>
      </c>
      <c r="L30" s="39">
        <v>0.36634299999999997</v>
      </c>
      <c r="M30" s="39">
        <v>0.37336000000000003</v>
      </c>
      <c r="N30" s="9" t="s">
        <v>457</v>
      </c>
      <c r="O30" s="9">
        <v>1.1907650000000001</v>
      </c>
      <c r="P30" s="9">
        <v>1.231122</v>
      </c>
    </row>
    <row r="31" spans="2:16" x14ac:dyDescent="0.2">
      <c r="B31" s="9" t="str">
        <f t="shared" si="0"/>
        <v>2-8</v>
      </c>
      <c r="C31" s="9">
        <v>2</v>
      </c>
      <c r="D31" s="9">
        <f t="shared" si="1"/>
        <v>8</v>
      </c>
      <c r="E31" s="9" t="s">
        <v>35</v>
      </c>
      <c r="F31" s="9" t="s">
        <v>38</v>
      </c>
      <c r="G31" s="9" t="s">
        <v>28</v>
      </c>
      <c r="H31" s="42" t="s">
        <v>636</v>
      </c>
      <c r="I31" s="9">
        <v>40</v>
      </c>
      <c r="J31" s="9" t="s">
        <v>637</v>
      </c>
      <c r="K31" s="9" t="s">
        <v>456</v>
      </c>
      <c r="L31" s="39">
        <v>0.31420700000000001</v>
      </c>
      <c r="M31" s="39">
        <v>0.32402700000000001</v>
      </c>
      <c r="N31" s="9" t="s">
        <v>457</v>
      </c>
      <c r="O31" s="9">
        <v>0.96392699999999998</v>
      </c>
      <c r="P31" s="9">
        <v>1.0164880000000001</v>
      </c>
    </row>
    <row r="32" spans="2:16" x14ac:dyDescent="0.2">
      <c r="B32" s="9" t="str">
        <f t="shared" si="0"/>
        <v>2-9</v>
      </c>
      <c r="C32" s="9">
        <v>2</v>
      </c>
      <c r="D32" s="9">
        <f t="shared" si="1"/>
        <v>9</v>
      </c>
      <c r="E32" s="9" t="s">
        <v>35</v>
      </c>
      <c r="F32" s="9" t="s">
        <v>40</v>
      </c>
      <c r="G32" s="9" t="s">
        <v>28</v>
      </c>
      <c r="H32" s="42" t="s">
        <v>638</v>
      </c>
      <c r="I32" s="9">
        <v>40</v>
      </c>
      <c r="J32" s="9" t="s">
        <v>639</v>
      </c>
      <c r="K32" s="9" t="s">
        <v>456</v>
      </c>
      <c r="L32" s="39">
        <v>0.34992400000000001</v>
      </c>
      <c r="M32" s="39">
        <v>0.36154599999999998</v>
      </c>
      <c r="N32" s="9" t="s">
        <v>457</v>
      </c>
      <c r="O32" s="9">
        <v>1.1126560000000001</v>
      </c>
      <c r="P32" s="9">
        <v>1.1779299999999999</v>
      </c>
    </row>
    <row r="33" spans="2:16" x14ac:dyDescent="0.2">
      <c r="B33" s="9" t="str">
        <f t="shared" si="0"/>
        <v>2-10</v>
      </c>
      <c r="C33" s="9">
        <v>2</v>
      </c>
      <c r="D33" s="9">
        <f t="shared" si="1"/>
        <v>10</v>
      </c>
      <c r="E33" s="9" t="s">
        <v>35</v>
      </c>
      <c r="F33" s="9" t="s">
        <v>36</v>
      </c>
      <c r="G33" s="9" t="s">
        <v>30</v>
      </c>
      <c r="H33" s="42" t="s">
        <v>640</v>
      </c>
      <c r="I33" s="9">
        <v>40</v>
      </c>
      <c r="J33" s="9" t="s">
        <v>641</v>
      </c>
      <c r="K33" s="9" t="s">
        <v>456</v>
      </c>
      <c r="L33" s="39">
        <v>0.271727</v>
      </c>
      <c r="M33" s="39">
        <v>0.36866300000000002</v>
      </c>
      <c r="N33" s="9" t="s">
        <v>457</v>
      </c>
      <c r="O33" s="9">
        <v>0.65465899999999999</v>
      </c>
      <c r="P33" s="9">
        <v>1.1955769999999999</v>
      </c>
    </row>
    <row r="34" spans="2:16" x14ac:dyDescent="0.2">
      <c r="B34" s="9" t="str">
        <f t="shared" si="0"/>
        <v>2-11</v>
      </c>
      <c r="C34" s="9">
        <v>2</v>
      </c>
      <c r="D34" s="9">
        <f t="shared" si="1"/>
        <v>11</v>
      </c>
      <c r="E34" s="9" t="s">
        <v>35</v>
      </c>
      <c r="F34" s="9" t="s">
        <v>38</v>
      </c>
      <c r="G34" s="9" t="s">
        <v>30</v>
      </c>
      <c r="H34" s="42" t="s">
        <v>642</v>
      </c>
      <c r="I34" s="9">
        <v>40</v>
      </c>
      <c r="J34" s="9" t="s">
        <v>643</v>
      </c>
      <c r="K34" s="9" t="s">
        <v>456</v>
      </c>
      <c r="L34" s="39">
        <v>0.149786</v>
      </c>
      <c r="M34" s="39">
        <v>0.31483</v>
      </c>
      <c r="N34" s="9" t="s">
        <v>457</v>
      </c>
      <c r="O34" s="9">
        <v>0.215859</v>
      </c>
      <c r="P34" s="9">
        <v>0.93372999999999995</v>
      </c>
    </row>
    <row r="35" spans="2:16" x14ac:dyDescent="0.2">
      <c r="B35" s="9" t="str">
        <f t="shared" si="0"/>
        <v>2-12</v>
      </c>
      <c r="C35" s="9">
        <v>2</v>
      </c>
      <c r="D35" s="9">
        <f t="shared" si="1"/>
        <v>12</v>
      </c>
      <c r="E35" s="9" t="s">
        <v>35</v>
      </c>
      <c r="F35" s="9" t="s">
        <v>40</v>
      </c>
      <c r="G35" s="9" t="s">
        <v>30</v>
      </c>
      <c r="H35" s="42" t="s">
        <v>644</v>
      </c>
      <c r="I35" s="9">
        <v>40</v>
      </c>
      <c r="J35" s="9" t="s">
        <v>645</v>
      </c>
      <c r="K35" s="9" t="s">
        <v>456</v>
      </c>
      <c r="L35" s="39">
        <v>0.244367</v>
      </c>
      <c r="M35" s="39">
        <v>0.34567100000000001</v>
      </c>
      <c r="N35" s="9" t="s">
        <v>457</v>
      </c>
      <c r="O35" s="9">
        <v>0.54610499999999995</v>
      </c>
      <c r="P35" s="9">
        <v>1.071256</v>
      </c>
    </row>
    <row r="36" spans="2:16" x14ac:dyDescent="0.2">
      <c r="B36" s="9" t="str">
        <f t="shared" si="0"/>
        <v>2-13</v>
      </c>
      <c r="C36" s="9">
        <v>2</v>
      </c>
      <c r="D36" s="9">
        <f t="shared" si="1"/>
        <v>13</v>
      </c>
      <c r="E36" s="9" t="s">
        <v>35</v>
      </c>
      <c r="F36" s="9" t="s">
        <v>36</v>
      </c>
      <c r="G36" s="9" t="s">
        <v>32</v>
      </c>
      <c r="H36" s="42" t="s">
        <v>646</v>
      </c>
      <c r="I36" s="9">
        <v>10</v>
      </c>
      <c r="J36" s="9" t="s">
        <v>647</v>
      </c>
      <c r="K36" s="9" t="s">
        <v>456</v>
      </c>
      <c r="L36" s="39">
        <v>0.440141</v>
      </c>
      <c r="M36" s="39">
        <v>0.439662</v>
      </c>
      <c r="N36" s="9" t="s">
        <v>457</v>
      </c>
      <c r="O36" s="9">
        <v>2.05707</v>
      </c>
      <c r="P36" s="9">
        <v>2.0558209999999999</v>
      </c>
    </row>
    <row r="37" spans="2:16" x14ac:dyDescent="0.2">
      <c r="B37" s="9" t="str">
        <f t="shared" si="0"/>
        <v>2-14</v>
      </c>
      <c r="C37" s="9">
        <v>2</v>
      </c>
      <c r="D37" s="9">
        <f t="shared" si="1"/>
        <v>14</v>
      </c>
      <c r="E37" s="9" t="s">
        <v>35</v>
      </c>
      <c r="F37" s="9" t="s">
        <v>38</v>
      </c>
      <c r="G37" s="9" t="s">
        <v>32</v>
      </c>
      <c r="H37" s="42" t="s">
        <v>648</v>
      </c>
      <c r="I37" s="9">
        <v>10</v>
      </c>
      <c r="J37" s="9" t="s">
        <v>649</v>
      </c>
      <c r="K37" s="9" t="s">
        <v>456</v>
      </c>
      <c r="L37" s="39">
        <v>0.41581499999999999</v>
      </c>
      <c r="M37" s="39">
        <v>0.41513299999999997</v>
      </c>
      <c r="N37" s="9" t="s">
        <v>457</v>
      </c>
      <c r="O37" s="9">
        <v>2.00691</v>
      </c>
      <c r="P37" s="9">
        <v>2.0045980000000001</v>
      </c>
    </row>
    <row r="38" spans="2:16" x14ac:dyDescent="0.2">
      <c r="B38" s="9" t="str">
        <f t="shared" si="0"/>
        <v>2-15</v>
      </c>
      <c r="C38" s="9">
        <v>2</v>
      </c>
      <c r="D38" s="9">
        <f t="shared" si="1"/>
        <v>15</v>
      </c>
      <c r="E38" s="9" t="s">
        <v>35</v>
      </c>
      <c r="F38" s="9" t="s">
        <v>40</v>
      </c>
      <c r="G38" s="9" t="s">
        <v>32</v>
      </c>
      <c r="H38" s="42" t="s">
        <v>650</v>
      </c>
      <c r="I38" s="9">
        <v>10</v>
      </c>
      <c r="J38" s="9" t="s">
        <v>651</v>
      </c>
      <c r="K38" s="9" t="s">
        <v>456</v>
      </c>
      <c r="L38" s="39">
        <v>0.43674099999999999</v>
      </c>
      <c r="M38" s="39">
        <v>0.43610300000000002</v>
      </c>
      <c r="N38" s="9" t="s">
        <v>457</v>
      </c>
      <c r="O38" s="9">
        <v>1.970877</v>
      </c>
      <c r="P38" s="9">
        <v>1.9671099999999999</v>
      </c>
    </row>
    <row r="39" spans="2:16" x14ac:dyDescent="0.2">
      <c r="B39" s="9" t="str">
        <f t="shared" si="0"/>
        <v>2-16</v>
      </c>
      <c r="C39" s="9">
        <v>2</v>
      </c>
      <c r="D39" s="9">
        <f t="shared" si="1"/>
        <v>16</v>
      </c>
      <c r="E39" s="9" t="s">
        <v>35</v>
      </c>
      <c r="F39" s="9" t="s">
        <v>36</v>
      </c>
      <c r="G39" s="9" t="s">
        <v>33</v>
      </c>
      <c r="H39" s="42" t="s">
        <v>652</v>
      </c>
      <c r="I39" s="9">
        <v>100</v>
      </c>
      <c r="J39" s="9" t="s">
        <v>653</v>
      </c>
      <c r="K39" s="9" t="s">
        <v>456</v>
      </c>
      <c r="L39" s="39">
        <v>0.35215200000000002</v>
      </c>
      <c r="M39" s="39">
        <v>0.36436099999999999</v>
      </c>
      <c r="N39" s="9" t="s">
        <v>457</v>
      </c>
      <c r="O39" s="9">
        <v>1.0978749999999999</v>
      </c>
      <c r="P39" s="9">
        <v>1.169289</v>
      </c>
    </row>
    <row r="40" spans="2:16" x14ac:dyDescent="0.2">
      <c r="B40" s="9" t="str">
        <f t="shared" si="0"/>
        <v>2-17</v>
      </c>
      <c r="C40" s="9">
        <v>2</v>
      </c>
      <c r="D40" s="9">
        <f t="shared" si="1"/>
        <v>17</v>
      </c>
      <c r="E40" s="9" t="s">
        <v>35</v>
      </c>
      <c r="F40" s="9" t="s">
        <v>38</v>
      </c>
      <c r="G40" s="9" t="s">
        <v>33</v>
      </c>
      <c r="H40" s="42" t="s">
        <v>654</v>
      </c>
      <c r="I40" s="9">
        <v>100</v>
      </c>
      <c r="J40" s="9" t="s">
        <v>655</v>
      </c>
      <c r="K40" s="9" t="s">
        <v>456</v>
      </c>
      <c r="L40" s="39">
        <v>0.282694</v>
      </c>
      <c r="M40" s="39">
        <v>0.30215999999999998</v>
      </c>
      <c r="N40" s="9" t="s">
        <v>457</v>
      </c>
      <c r="O40" s="9">
        <v>0.78972399999999998</v>
      </c>
      <c r="P40" s="9">
        <v>0.89331799999999995</v>
      </c>
    </row>
    <row r="41" spans="2:16" x14ac:dyDescent="0.2">
      <c r="B41" s="44" t="str">
        <f t="shared" si="0"/>
        <v>2-18</v>
      </c>
      <c r="C41" s="44">
        <v>2</v>
      </c>
      <c r="D41" s="44">
        <f t="shared" si="1"/>
        <v>18</v>
      </c>
      <c r="E41" s="44" t="s">
        <v>35</v>
      </c>
      <c r="F41" s="44" t="s">
        <v>40</v>
      </c>
      <c r="G41" s="44" t="s">
        <v>33</v>
      </c>
      <c r="H41" s="42" t="s">
        <v>656</v>
      </c>
      <c r="I41" s="9">
        <v>100</v>
      </c>
      <c r="J41" s="9" t="s">
        <v>657</v>
      </c>
      <c r="K41" s="9" t="s">
        <v>456</v>
      </c>
      <c r="L41" s="39">
        <v>0.28402100000000002</v>
      </c>
      <c r="M41" s="39">
        <v>0.33424399999999999</v>
      </c>
      <c r="N41" s="9" t="s">
        <v>457</v>
      </c>
      <c r="O41" s="9">
        <v>0.77271500000000004</v>
      </c>
      <c r="P41" s="9">
        <v>1.032178</v>
      </c>
    </row>
    <row r="42" spans="2:16" ht="16" customHeight="1" thickBot="1" x14ac:dyDescent="0.25">
      <c r="B42" s="45" t="str">
        <f t="shared" si="0"/>
        <v>2-19</v>
      </c>
      <c r="C42" s="45">
        <v>2</v>
      </c>
      <c r="D42" s="45">
        <v>19</v>
      </c>
      <c r="E42" s="45" t="s">
        <v>35</v>
      </c>
      <c r="F42" s="45" t="s">
        <v>40</v>
      </c>
      <c r="G42" s="45" t="s">
        <v>33</v>
      </c>
      <c r="H42" s="42" t="s">
        <v>658</v>
      </c>
      <c r="I42" s="12">
        <v>100</v>
      </c>
      <c r="J42" s="12" t="s">
        <v>659</v>
      </c>
      <c r="K42" s="12" t="s">
        <v>456</v>
      </c>
      <c r="L42" s="41">
        <v>0.28402100000000002</v>
      </c>
      <c r="M42" s="41">
        <v>0.33424399999999999</v>
      </c>
      <c r="N42" s="12" t="s">
        <v>457</v>
      </c>
      <c r="O42" s="12">
        <v>0.77271500000000004</v>
      </c>
      <c r="P42" s="12">
        <v>1.032178</v>
      </c>
    </row>
    <row r="43" spans="2:16" x14ac:dyDescent="0.2">
      <c r="B43" s="9" t="str">
        <f t="shared" si="0"/>
        <v>3-1</v>
      </c>
      <c r="C43" s="9">
        <v>3</v>
      </c>
      <c r="D43" s="9">
        <v>1</v>
      </c>
      <c r="E43" s="9" t="s">
        <v>52</v>
      </c>
      <c r="F43" s="9" t="s">
        <v>24</v>
      </c>
      <c r="G43" s="9" t="s">
        <v>25</v>
      </c>
      <c r="H43" s="42" t="s">
        <v>660</v>
      </c>
      <c r="I43" s="9">
        <v>20</v>
      </c>
      <c r="J43" s="9" t="s">
        <v>661</v>
      </c>
      <c r="K43" s="9" t="s">
        <v>456</v>
      </c>
      <c r="L43" s="39">
        <v>0.35001500000000002</v>
      </c>
      <c r="M43" s="39">
        <v>0.34881699999999999</v>
      </c>
      <c r="N43" s="9" t="s">
        <v>457</v>
      </c>
      <c r="O43" s="9">
        <v>1.082365</v>
      </c>
      <c r="P43" s="9">
        <v>1.0745830000000001</v>
      </c>
    </row>
    <row r="44" spans="2:16" x14ac:dyDescent="0.2">
      <c r="B44" s="9" t="str">
        <f t="shared" si="0"/>
        <v>3-2</v>
      </c>
      <c r="C44" s="9">
        <v>3</v>
      </c>
      <c r="D44" s="9">
        <f t="shared" ref="D44:D66" si="2">D43+1</f>
        <v>2</v>
      </c>
      <c r="E44" s="9" t="s">
        <v>52</v>
      </c>
      <c r="F44" s="9" t="s">
        <v>36</v>
      </c>
      <c r="G44" s="9" t="s">
        <v>25</v>
      </c>
      <c r="H44" s="42" t="s">
        <v>662</v>
      </c>
      <c r="I44" s="9">
        <v>20</v>
      </c>
      <c r="J44" s="9" t="s">
        <v>663</v>
      </c>
      <c r="K44" s="9" t="s">
        <v>456</v>
      </c>
      <c r="L44" s="39">
        <v>0.39499099999999998</v>
      </c>
      <c r="M44" s="39">
        <v>0.394123</v>
      </c>
      <c r="N44" s="9" t="s">
        <v>457</v>
      </c>
      <c r="O44" s="9">
        <v>1.3094520000000001</v>
      </c>
      <c r="P44" s="9">
        <v>1.3046139999999999</v>
      </c>
    </row>
    <row r="45" spans="2:16" x14ac:dyDescent="0.2">
      <c r="B45" s="9" t="str">
        <f t="shared" si="0"/>
        <v>3-3</v>
      </c>
      <c r="C45" s="9">
        <v>3</v>
      </c>
      <c r="D45" s="9">
        <f t="shared" si="2"/>
        <v>3</v>
      </c>
      <c r="E45" s="9" t="s">
        <v>52</v>
      </c>
      <c r="F45" s="9" t="s">
        <v>38</v>
      </c>
      <c r="G45" s="9" t="s">
        <v>25</v>
      </c>
      <c r="H45" s="42" t="s">
        <v>664</v>
      </c>
      <c r="I45" s="9">
        <v>20</v>
      </c>
      <c r="J45" s="9" t="s">
        <v>663</v>
      </c>
      <c r="K45" s="9" t="s">
        <v>456</v>
      </c>
      <c r="L45" s="39">
        <v>0.36374899999999999</v>
      </c>
      <c r="M45" s="39">
        <v>0.36225499999999999</v>
      </c>
      <c r="N45" s="9" t="s">
        <v>457</v>
      </c>
      <c r="O45" s="9">
        <v>1.1500779999999999</v>
      </c>
      <c r="P45" s="9">
        <v>1.140852</v>
      </c>
    </row>
    <row r="46" spans="2:16" x14ac:dyDescent="0.2">
      <c r="B46" s="9" t="str">
        <f t="shared" si="0"/>
        <v>3-4</v>
      </c>
      <c r="C46" s="9">
        <v>3</v>
      </c>
      <c r="D46" s="9">
        <f t="shared" si="2"/>
        <v>4</v>
      </c>
      <c r="E46" s="9" t="s">
        <v>52</v>
      </c>
      <c r="F46" s="9" t="s">
        <v>40</v>
      </c>
      <c r="G46" s="9" t="s">
        <v>25</v>
      </c>
      <c r="H46" s="42" t="s">
        <v>665</v>
      </c>
      <c r="I46" s="9">
        <v>20</v>
      </c>
      <c r="J46" s="9" t="s">
        <v>663</v>
      </c>
      <c r="K46" s="9" t="s">
        <v>456</v>
      </c>
      <c r="L46" s="39">
        <v>0.38949899999999998</v>
      </c>
      <c r="M46" s="39">
        <v>0.38828499999999999</v>
      </c>
      <c r="N46" s="9" t="s">
        <v>457</v>
      </c>
      <c r="O46" s="9">
        <v>1.2825040000000001</v>
      </c>
      <c r="P46" s="9">
        <v>1.276769</v>
      </c>
    </row>
    <row r="47" spans="2:16" x14ac:dyDescent="0.2">
      <c r="B47" s="9" t="str">
        <f t="shared" si="0"/>
        <v>3-5</v>
      </c>
      <c r="C47" s="9">
        <v>3</v>
      </c>
      <c r="D47" s="9">
        <f t="shared" si="2"/>
        <v>5</v>
      </c>
      <c r="E47" s="9" t="s">
        <v>52</v>
      </c>
      <c r="F47" s="9" t="s">
        <v>24</v>
      </c>
      <c r="G47" s="9" t="s">
        <v>27</v>
      </c>
      <c r="H47" s="42" t="s">
        <v>666</v>
      </c>
      <c r="I47" s="9">
        <v>40</v>
      </c>
      <c r="J47" s="9" t="s">
        <v>667</v>
      </c>
      <c r="K47" s="9" t="s">
        <v>456</v>
      </c>
      <c r="L47" s="39">
        <v>8.0000000000000007E-5</v>
      </c>
      <c r="M47" s="39">
        <v>0.35300599999999999</v>
      </c>
      <c r="N47" s="9" t="s">
        <v>457</v>
      </c>
      <c r="O47" s="9">
        <v>2.3800000000000001E-4</v>
      </c>
      <c r="P47" s="9">
        <v>1.0527040000000001</v>
      </c>
    </row>
    <row r="48" spans="2:16" x14ac:dyDescent="0.2">
      <c r="B48" s="9" t="str">
        <f t="shared" si="0"/>
        <v>3-6</v>
      </c>
      <c r="C48" s="9">
        <v>3</v>
      </c>
      <c r="D48" s="9">
        <f t="shared" si="2"/>
        <v>6</v>
      </c>
      <c r="E48" s="9" t="s">
        <v>52</v>
      </c>
      <c r="F48" s="9" t="s">
        <v>36</v>
      </c>
      <c r="G48" s="9" t="s">
        <v>27</v>
      </c>
      <c r="H48" s="42" t="s">
        <v>668</v>
      </c>
      <c r="I48" s="9">
        <v>40</v>
      </c>
      <c r="J48" s="9" t="s">
        <v>669</v>
      </c>
      <c r="K48" s="9" t="s">
        <v>456</v>
      </c>
      <c r="L48" s="39">
        <v>0.37115300000000001</v>
      </c>
      <c r="M48" s="39">
        <v>0.37801000000000001</v>
      </c>
      <c r="N48" s="9" t="s">
        <v>457</v>
      </c>
      <c r="O48" s="9">
        <v>1.1859569999999999</v>
      </c>
      <c r="P48" s="9">
        <v>1.2295180000000001</v>
      </c>
    </row>
    <row r="49" spans="2:16" x14ac:dyDescent="0.2">
      <c r="B49" s="9" t="str">
        <f t="shared" si="0"/>
        <v>3-7</v>
      </c>
      <c r="C49" s="9">
        <v>3</v>
      </c>
      <c r="D49" s="9">
        <f t="shared" si="2"/>
        <v>7</v>
      </c>
      <c r="E49" s="9" t="s">
        <v>52</v>
      </c>
      <c r="F49" s="9" t="s">
        <v>38</v>
      </c>
      <c r="G49" s="9" t="s">
        <v>27</v>
      </c>
      <c r="H49" s="42" t="s">
        <v>670</v>
      </c>
      <c r="I49" s="9">
        <v>40</v>
      </c>
      <c r="J49" s="9" t="s">
        <v>671</v>
      </c>
      <c r="K49" s="9" t="s">
        <v>456</v>
      </c>
      <c r="L49" s="39">
        <v>8.0000000000000007E-5</v>
      </c>
      <c r="M49" s="39">
        <v>0.341669</v>
      </c>
      <c r="N49" s="9" t="s">
        <v>457</v>
      </c>
      <c r="O49" s="9">
        <v>2.3800000000000001E-4</v>
      </c>
      <c r="P49" s="9">
        <v>1.022662</v>
      </c>
    </row>
    <row r="50" spans="2:16" x14ac:dyDescent="0.2">
      <c r="B50" s="9" t="str">
        <f t="shared" ref="B50:B81" si="3">C50&amp;"-"&amp;D50</f>
        <v>3-8</v>
      </c>
      <c r="C50" s="9">
        <v>3</v>
      </c>
      <c r="D50" s="9">
        <f t="shared" si="2"/>
        <v>8</v>
      </c>
      <c r="E50" s="9" t="s">
        <v>52</v>
      </c>
      <c r="F50" s="9" t="s">
        <v>40</v>
      </c>
      <c r="G50" s="9" t="s">
        <v>27</v>
      </c>
      <c r="H50" s="42" t="s">
        <v>672</v>
      </c>
      <c r="I50" s="9">
        <v>40</v>
      </c>
      <c r="J50" s="9" t="s">
        <v>673</v>
      </c>
      <c r="K50" s="9" t="s">
        <v>456</v>
      </c>
      <c r="L50" s="39">
        <v>8.0000000000000007E-5</v>
      </c>
      <c r="M50" s="39">
        <v>0.36636200000000002</v>
      </c>
      <c r="N50" s="9" t="s">
        <v>457</v>
      </c>
      <c r="O50" s="9">
        <v>2.3800000000000001E-4</v>
      </c>
      <c r="P50" s="9">
        <v>1.1355470000000001</v>
      </c>
    </row>
    <row r="51" spans="2:16" x14ac:dyDescent="0.2">
      <c r="B51" s="9" t="str">
        <f t="shared" si="3"/>
        <v>3-9</v>
      </c>
      <c r="C51" s="9">
        <v>3</v>
      </c>
      <c r="D51" s="9">
        <f t="shared" si="2"/>
        <v>9</v>
      </c>
      <c r="E51" s="9" t="s">
        <v>52</v>
      </c>
      <c r="F51" s="9" t="s">
        <v>24</v>
      </c>
      <c r="G51" s="9" t="s">
        <v>28</v>
      </c>
      <c r="H51" s="42" t="s">
        <v>674</v>
      </c>
      <c r="I51" s="9">
        <v>40</v>
      </c>
      <c r="J51" s="9" t="s">
        <v>675</v>
      </c>
      <c r="K51" s="9" t="s">
        <v>456</v>
      </c>
      <c r="L51" s="39">
        <v>0.30779000000000001</v>
      </c>
      <c r="M51" s="39">
        <v>0.31754399999999999</v>
      </c>
      <c r="N51" s="9" t="s">
        <v>457</v>
      </c>
      <c r="O51" s="9">
        <v>0.93143100000000001</v>
      </c>
      <c r="P51" s="9">
        <v>0.98342799999999997</v>
      </c>
    </row>
    <row r="52" spans="2:16" x14ac:dyDescent="0.2">
      <c r="B52" s="9" t="str">
        <f t="shared" si="3"/>
        <v>3-10</v>
      </c>
      <c r="C52" s="9">
        <v>3</v>
      </c>
      <c r="D52" s="9">
        <f t="shared" si="2"/>
        <v>10</v>
      </c>
      <c r="E52" s="9" t="s">
        <v>52</v>
      </c>
      <c r="F52" s="9" t="s">
        <v>36</v>
      </c>
      <c r="G52" s="9" t="s">
        <v>28</v>
      </c>
      <c r="H52" s="42" t="s">
        <v>676</v>
      </c>
      <c r="I52" s="9">
        <v>40</v>
      </c>
      <c r="J52" s="9" t="s">
        <v>677</v>
      </c>
      <c r="K52" s="9" t="s">
        <v>456</v>
      </c>
      <c r="L52" s="39">
        <v>0.36644399999999999</v>
      </c>
      <c r="M52" s="39">
        <v>0.37304199999999998</v>
      </c>
      <c r="N52" s="9" t="s">
        <v>457</v>
      </c>
      <c r="O52" s="9">
        <v>1.1920310000000001</v>
      </c>
      <c r="P52" s="9">
        <v>1.2285820000000001</v>
      </c>
    </row>
    <row r="53" spans="2:16" x14ac:dyDescent="0.2">
      <c r="B53" s="9" t="str">
        <f t="shared" si="3"/>
        <v>3-11</v>
      </c>
      <c r="C53" s="9">
        <v>3</v>
      </c>
      <c r="D53" s="9">
        <f t="shared" si="2"/>
        <v>11</v>
      </c>
      <c r="E53" s="9" t="s">
        <v>52</v>
      </c>
      <c r="F53" s="9" t="s">
        <v>38</v>
      </c>
      <c r="G53" s="9" t="s">
        <v>28</v>
      </c>
      <c r="H53" s="42" t="s">
        <v>678</v>
      </c>
      <c r="I53" s="9">
        <v>40</v>
      </c>
      <c r="J53" s="9" t="s">
        <v>679</v>
      </c>
      <c r="K53" s="9" t="s">
        <v>456</v>
      </c>
      <c r="L53" s="39">
        <v>0.31472499999999998</v>
      </c>
      <c r="M53" s="39">
        <v>0.32409700000000002</v>
      </c>
      <c r="N53" s="9" t="s">
        <v>457</v>
      </c>
      <c r="O53" s="9">
        <v>0.96643699999999999</v>
      </c>
      <c r="P53" s="9">
        <v>1.0163599999999999</v>
      </c>
    </row>
    <row r="54" spans="2:16" x14ac:dyDescent="0.2">
      <c r="B54" s="9" t="str">
        <f t="shared" si="3"/>
        <v>3-12</v>
      </c>
      <c r="C54" s="9">
        <v>3</v>
      </c>
      <c r="D54" s="9">
        <f t="shared" si="2"/>
        <v>12</v>
      </c>
      <c r="E54" s="9" t="s">
        <v>52</v>
      </c>
      <c r="F54" s="9" t="s">
        <v>40</v>
      </c>
      <c r="G54" s="9" t="s">
        <v>28</v>
      </c>
      <c r="H54" s="42" t="s">
        <v>680</v>
      </c>
      <c r="I54" s="9">
        <v>40</v>
      </c>
      <c r="J54" s="9" t="s">
        <v>681</v>
      </c>
      <c r="K54" s="9" t="s">
        <v>456</v>
      </c>
      <c r="L54" s="39">
        <v>0.34993000000000002</v>
      </c>
      <c r="M54" s="39">
        <v>0.36133399999999999</v>
      </c>
      <c r="N54" s="9" t="s">
        <v>457</v>
      </c>
      <c r="O54" s="9">
        <v>1.113381</v>
      </c>
      <c r="P54" s="9">
        <v>1.177157</v>
      </c>
    </row>
    <row r="55" spans="2:16" x14ac:dyDescent="0.2">
      <c r="B55" s="9" t="str">
        <f t="shared" si="3"/>
        <v>3-13</v>
      </c>
      <c r="C55" s="9">
        <v>3</v>
      </c>
      <c r="D55" s="9">
        <f t="shared" si="2"/>
        <v>13</v>
      </c>
      <c r="E55" s="9" t="s">
        <v>52</v>
      </c>
      <c r="F55" s="9" t="s">
        <v>24</v>
      </c>
      <c r="G55" s="9" t="s">
        <v>30</v>
      </c>
      <c r="H55" s="42" t="s">
        <v>682</v>
      </c>
      <c r="I55" s="9">
        <v>40</v>
      </c>
      <c r="J55" s="9" t="s">
        <v>683</v>
      </c>
      <c r="K55" s="9" t="s">
        <v>456</v>
      </c>
      <c r="L55" s="39">
        <v>0.18551000000000001</v>
      </c>
      <c r="M55" s="39">
        <v>0.30970399999999998</v>
      </c>
      <c r="N55" s="9" t="s">
        <v>457</v>
      </c>
      <c r="O55" s="9">
        <v>0.34467700000000001</v>
      </c>
      <c r="P55" s="9">
        <v>0.90410199999999996</v>
      </c>
    </row>
    <row r="56" spans="2:16" x14ac:dyDescent="0.2">
      <c r="B56" s="9" t="str">
        <f t="shared" si="3"/>
        <v>3-14</v>
      </c>
      <c r="C56" s="9">
        <v>3</v>
      </c>
      <c r="D56" s="9">
        <f t="shared" si="2"/>
        <v>14</v>
      </c>
      <c r="E56" s="9" t="s">
        <v>52</v>
      </c>
      <c r="F56" s="9" t="s">
        <v>36</v>
      </c>
      <c r="G56" s="9" t="s">
        <v>30</v>
      </c>
      <c r="H56" s="42" t="s">
        <v>684</v>
      </c>
      <c r="I56" s="9">
        <v>40</v>
      </c>
      <c r="J56" s="9" t="s">
        <v>685</v>
      </c>
      <c r="K56" s="9" t="s">
        <v>456</v>
      </c>
      <c r="L56" s="39">
        <v>0.36602400000000002</v>
      </c>
      <c r="M56" s="39">
        <v>0.37139899999999998</v>
      </c>
      <c r="N56" s="9" t="s">
        <v>457</v>
      </c>
      <c r="O56" s="9">
        <v>1.17099</v>
      </c>
      <c r="P56" s="9">
        <v>1.2006250000000001</v>
      </c>
    </row>
    <row r="57" spans="2:16" x14ac:dyDescent="0.2">
      <c r="B57" s="9" t="str">
        <f t="shared" si="3"/>
        <v>3-15</v>
      </c>
      <c r="C57" s="9">
        <v>3</v>
      </c>
      <c r="D57" s="9">
        <f t="shared" si="2"/>
        <v>15</v>
      </c>
      <c r="E57" s="9" t="s">
        <v>52</v>
      </c>
      <c r="F57" s="9" t="s">
        <v>38</v>
      </c>
      <c r="G57" s="9" t="s">
        <v>30</v>
      </c>
      <c r="H57" s="42" t="s">
        <v>686</v>
      </c>
      <c r="I57" s="9">
        <v>40</v>
      </c>
      <c r="J57" s="9" t="s">
        <v>687</v>
      </c>
      <c r="K57" s="9" t="s">
        <v>456</v>
      </c>
      <c r="L57" s="39">
        <v>0.216445</v>
      </c>
      <c r="M57" s="39">
        <v>0.31270300000000001</v>
      </c>
      <c r="N57" s="9" t="s">
        <v>457</v>
      </c>
      <c r="O57" s="9">
        <v>0.45420899999999997</v>
      </c>
      <c r="P57" s="9">
        <v>0.93269100000000005</v>
      </c>
    </row>
    <row r="58" spans="2:16" x14ac:dyDescent="0.2">
      <c r="B58" s="9" t="str">
        <f t="shared" si="3"/>
        <v>3-16</v>
      </c>
      <c r="C58" s="9">
        <v>3</v>
      </c>
      <c r="D58" s="9">
        <f t="shared" si="2"/>
        <v>16</v>
      </c>
      <c r="E58" s="9" t="s">
        <v>52</v>
      </c>
      <c r="F58" s="9" t="s">
        <v>40</v>
      </c>
      <c r="G58" s="9" t="s">
        <v>30</v>
      </c>
      <c r="H58" s="42" t="s">
        <v>688</v>
      </c>
      <c r="I58" s="9">
        <v>40</v>
      </c>
      <c r="J58" s="9" t="s">
        <v>689</v>
      </c>
      <c r="K58" s="9" t="s">
        <v>456</v>
      </c>
      <c r="L58" s="39">
        <v>0.25669500000000001</v>
      </c>
      <c r="M58" s="39">
        <v>0.34629199999999999</v>
      </c>
      <c r="N58" s="9" t="s">
        <v>457</v>
      </c>
      <c r="O58" s="9">
        <v>0.60528899999999997</v>
      </c>
      <c r="P58" s="9">
        <v>1.073413</v>
      </c>
    </row>
    <row r="59" spans="2:16" x14ac:dyDescent="0.2">
      <c r="B59" s="9" t="str">
        <f t="shared" si="3"/>
        <v>3-17</v>
      </c>
      <c r="C59" s="9">
        <v>3</v>
      </c>
      <c r="D59" s="9">
        <f t="shared" si="2"/>
        <v>17</v>
      </c>
      <c r="E59" s="9" t="s">
        <v>52</v>
      </c>
      <c r="F59" s="9" t="s">
        <v>24</v>
      </c>
      <c r="G59" s="9" t="s">
        <v>32</v>
      </c>
      <c r="H59" s="42" t="s">
        <v>690</v>
      </c>
      <c r="I59" s="9">
        <v>10</v>
      </c>
      <c r="J59" s="9" t="s">
        <v>691</v>
      </c>
      <c r="K59" s="9" t="s">
        <v>456</v>
      </c>
      <c r="L59" s="39">
        <v>0.48821300000000001</v>
      </c>
      <c r="M59" s="39">
        <v>0.49182399999999998</v>
      </c>
      <c r="N59" s="9" t="s">
        <v>457</v>
      </c>
      <c r="O59" s="9">
        <v>3.0132569999999999</v>
      </c>
      <c r="P59" s="9">
        <v>3.03715</v>
      </c>
    </row>
    <row r="60" spans="2:16" x14ac:dyDescent="0.2">
      <c r="B60" s="9" t="str">
        <f t="shared" si="3"/>
        <v>3-18</v>
      </c>
      <c r="C60" s="9">
        <v>3</v>
      </c>
      <c r="D60" s="9">
        <f t="shared" si="2"/>
        <v>18</v>
      </c>
      <c r="E60" s="9" t="s">
        <v>52</v>
      </c>
      <c r="F60" s="9" t="s">
        <v>36</v>
      </c>
      <c r="G60" s="9" t="s">
        <v>32</v>
      </c>
      <c r="H60" s="42" t="s">
        <v>692</v>
      </c>
      <c r="I60" s="9">
        <v>10</v>
      </c>
      <c r="J60" s="9" t="s">
        <v>693</v>
      </c>
      <c r="K60" s="9" t="s">
        <v>456</v>
      </c>
      <c r="L60" s="39">
        <v>0.43814199999999998</v>
      </c>
      <c r="M60" s="39">
        <v>0.43765599999999999</v>
      </c>
      <c r="N60" s="9" t="s">
        <v>457</v>
      </c>
      <c r="O60" s="9">
        <v>2.1433140000000002</v>
      </c>
      <c r="P60" s="9">
        <v>2.1422669999999999</v>
      </c>
    </row>
    <row r="61" spans="2:16" x14ac:dyDescent="0.2">
      <c r="B61" s="9" t="str">
        <f t="shared" si="3"/>
        <v>3-19</v>
      </c>
      <c r="C61" s="9">
        <v>3</v>
      </c>
      <c r="D61" s="9">
        <f t="shared" si="2"/>
        <v>19</v>
      </c>
      <c r="E61" s="9" t="s">
        <v>52</v>
      </c>
      <c r="F61" s="9" t="s">
        <v>38</v>
      </c>
      <c r="G61" s="9" t="s">
        <v>32</v>
      </c>
      <c r="H61" s="42" t="s">
        <v>694</v>
      </c>
      <c r="I61" s="9">
        <v>10</v>
      </c>
      <c r="J61" s="9" t="s">
        <v>695</v>
      </c>
      <c r="K61" s="9" t="s">
        <v>456</v>
      </c>
      <c r="L61" s="39">
        <v>0.41550599999999999</v>
      </c>
      <c r="M61" s="39">
        <v>0.41843000000000002</v>
      </c>
      <c r="N61" s="9" t="s">
        <v>457</v>
      </c>
      <c r="O61" s="9">
        <v>1.859389</v>
      </c>
      <c r="P61" s="9">
        <v>1.878595</v>
      </c>
    </row>
    <row r="62" spans="2:16" x14ac:dyDescent="0.2">
      <c r="B62" s="9" t="str">
        <f t="shared" si="3"/>
        <v>3-20</v>
      </c>
      <c r="C62" s="9">
        <v>3</v>
      </c>
      <c r="D62" s="9">
        <f t="shared" si="2"/>
        <v>20</v>
      </c>
      <c r="E62" s="9" t="s">
        <v>52</v>
      </c>
      <c r="F62" s="9" t="s">
        <v>40</v>
      </c>
      <c r="G62" s="9" t="s">
        <v>32</v>
      </c>
      <c r="H62" s="42" t="s">
        <v>696</v>
      </c>
      <c r="I62" s="9">
        <v>10</v>
      </c>
      <c r="J62" s="9" t="s">
        <v>697</v>
      </c>
      <c r="K62" s="9" t="s">
        <v>456</v>
      </c>
      <c r="L62" s="39">
        <v>0.417991</v>
      </c>
      <c r="M62" s="39">
        <v>0.41724</v>
      </c>
      <c r="N62" s="9" t="s">
        <v>457</v>
      </c>
      <c r="O62" s="9">
        <v>1.9882960000000001</v>
      </c>
      <c r="P62" s="9">
        <v>1.9855780000000001</v>
      </c>
    </row>
    <row r="63" spans="2:16" x14ac:dyDescent="0.2">
      <c r="B63" s="9" t="str">
        <f t="shared" si="3"/>
        <v>3-21</v>
      </c>
      <c r="C63" s="9">
        <v>3</v>
      </c>
      <c r="D63" s="9">
        <f t="shared" si="2"/>
        <v>21</v>
      </c>
      <c r="E63" s="9" t="s">
        <v>52</v>
      </c>
      <c r="F63" s="9" t="s">
        <v>24</v>
      </c>
      <c r="G63" s="9" t="s">
        <v>33</v>
      </c>
      <c r="H63" s="42" t="s">
        <v>698</v>
      </c>
      <c r="I63" s="46">
        <v>100</v>
      </c>
      <c r="J63" s="46" t="s">
        <v>699</v>
      </c>
      <c r="K63" s="46" t="s">
        <v>456</v>
      </c>
      <c r="L63" s="47">
        <v>0.25357400000000002</v>
      </c>
      <c r="M63" s="47">
        <v>0.29395100000000002</v>
      </c>
      <c r="N63" s="9" t="s">
        <v>457</v>
      </c>
      <c r="O63" s="9">
        <v>0.66221799999999997</v>
      </c>
      <c r="P63" s="9">
        <v>0.85720300000000005</v>
      </c>
    </row>
    <row r="64" spans="2:16" x14ac:dyDescent="0.2">
      <c r="B64" s="9" t="str">
        <f t="shared" si="3"/>
        <v>3-22</v>
      </c>
      <c r="C64" s="9">
        <v>3</v>
      </c>
      <c r="D64" s="9">
        <f t="shared" si="2"/>
        <v>22</v>
      </c>
      <c r="E64" s="9" t="s">
        <v>52</v>
      </c>
      <c r="F64" s="9" t="s">
        <v>36</v>
      </c>
      <c r="G64" s="9" t="s">
        <v>33</v>
      </c>
      <c r="H64" s="42" t="s">
        <v>700</v>
      </c>
      <c r="I64" s="9">
        <v>100</v>
      </c>
      <c r="J64" s="9" t="s">
        <v>701</v>
      </c>
      <c r="K64" s="9" t="s">
        <v>456</v>
      </c>
      <c r="L64" s="39">
        <v>0.363043</v>
      </c>
      <c r="M64" s="39">
        <v>0.36617899999999998</v>
      </c>
      <c r="N64" s="9" t="s">
        <v>457</v>
      </c>
      <c r="O64" s="9">
        <v>1.162242</v>
      </c>
      <c r="P64" s="9">
        <v>1.1801010000000001</v>
      </c>
    </row>
    <row r="65" spans="2:16" x14ac:dyDescent="0.2">
      <c r="B65" s="9" t="str">
        <f t="shared" si="3"/>
        <v>3-23</v>
      </c>
      <c r="C65" s="9">
        <v>3</v>
      </c>
      <c r="D65" s="9">
        <f t="shared" si="2"/>
        <v>23</v>
      </c>
      <c r="E65" s="9" t="s">
        <v>52</v>
      </c>
      <c r="F65" s="9" t="s">
        <v>38</v>
      </c>
      <c r="G65" s="9" t="s">
        <v>33</v>
      </c>
      <c r="H65" s="42" t="s">
        <v>702</v>
      </c>
      <c r="I65" s="9">
        <v>100</v>
      </c>
      <c r="J65" s="9" t="s">
        <v>703</v>
      </c>
      <c r="K65" s="9" t="s">
        <v>456</v>
      </c>
      <c r="L65" s="39">
        <v>0.28625499999999998</v>
      </c>
      <c r="M65" s="39">
        <v>0.30403200000000002</v>
      </c>
      <c r="N65" s="9" t="s">
        <v>457</v>
      </c>
      <c r="O65" s="9">
        <v>0.80884599999999995</v>
      </c>
      <c r="P65" s="9">
        <v>0.903922</v>
      </c>
    </row>
    <row r="66" spans="2:16" ht="16" customHeight="1" thickBot="1" x14ac:dyDescent="0.25">
      <c r="B66" s="11" t="str">
        <f t="shared" si="3"/>
        <v>3-24</v>
      </c>
      <c r="C66" s="11">
        <v>3</v>
      </c>
      <c r="D66" s="11">
        <f t="shared" si="2"/>
        <v>24</v>
      </c>
      <c r="E66" s="11" t="s">
        <v>52</v>
      </c>
      <c r="F66" s="11" t="s">
        <v>40</v>
      </c>
      <c r="G66" s="11" t="s">
        <v>33</v>
      </c>
      <c r="H66" s="46" t="s">
        <v>704</v>
      </c>
      <c r="I66" s="11">
        <v>100</v>
      </c>
      <c r="J66" s="11" t="s">
        <v>705</v>
      </c>
      <c r="K66" s="11" t="s">
        <v>456</v>
      </c>
      <c r="L66" s="40">
        <v>0.29205799999999998</v>
      </c>
      <c r="M66" s="40">
        <v>0.33559099999999997</v>
      </c>
      <c r="N66" s="11" t="s">
        <v>457</v>
      </c>
      <c r="O66" s="11">
        <v>0.81164099999999995</v>
      </c>
      <c r="P66" s="11">
        <v>1.0385740000000001</v>
      </c>
    </row>
    <row r="67" spans="2:16" ht="16" customHeight="1" thickTop="1" x14ac:dyDescent="0.2">
      <c r="B67" s="9" t="str">
        <f t="shared" si="3"/>
        <v>4-1</v>
      </c>
      <c r="C67" s="9">
        <v>4</v>
      </c>
      <c r="D67" s="9">
        <v>1</v>
      </c>
      <c r="E67" s="9" t="s">
        <v>7</v>
      </c>
      <c r="F67" s="9" t="s">
        <v>24</v>
      </c>
      <c r="G67" s="9" t="s">
        <v>25</v>
      </c>
      <c r="H67" s="42" t="s">
        <v>706</v>
      </c>
      <c r="I67" s="9">
        <v>20</v>
      </c>
      <c r="J67" s="9" t="s">
        <v>707</v>
      </c>
      <c r="K67" s="9" t="s">
        <v>456</v>
      </c>
      <c r="L67" s="39">
        <v>0.35001500000000002</v>
      </c>
      <c r="M67" s="39">
        <v>0.34881699999999999</v>
      </c>
      <c r="N67" s="9" t="s">
        <v>457</v>
      </c>
      <c r="O67" s="9">
        <v>1.082365</v>
      </c>
      <c r="P67" s="9">
        <v>1.0745830000000001</v>
      </c>
    </row>
    <row r="68" spans="2:16" x14ac:dyDescent="0.2">
      <c r="B68" s="9" t="str">
        <f t="shared" si="3"/>
        <v>4-2</v>
      </c>
      <c r="C68" s="9">
        <v>4</v>
      </c>
      <c r="D68" s="9">
        <f t="shared" ref="D68:D90" si="4">D67+1</f>
        <v>2</v>
      </c>
      <c r="E68" s="9" t="s">
        <v>7</v>
      </c>
      <c r="F68" s="9" t="s">
        <v>36</v>
      </c>
      <c r="G68" s="9" t="s">
        <v>25</v>
      </c>
      <c r="H68" s="42" t="s">
        <v>708</v>
      </c>
      <c r="I68" s="9">
        <v>20</v>
      </c>
      <c r="J68" s="9" t="s">
        <v>663</v>
      </c>
      <c r="K68" s="9" t="s">
        <v>456</v>
      </c>
      <c r="L68" s="39">
        <v>0.39499099999999998</v>
      </c>
      <c r="M68" s="39">
        <v>0.394123</v>
      </c>
      <c r="N68" s="9" t="s">
        <v>457</v>
      </c>
      <c r="O68" s="9">
        <v>1.3094520000000001</v>
      </c>
      <c r="P68" s="9">
        <v>1.3046139999999999</v>
      </c>
    </row>
    <row r="69" spans="2:16" x14ac:dyDescent="0.2">
      <c r="B69" s="9" t="str">
        <f t="shared" si="3"/>
        <v>4-3</v>
      </c>
      <c r="C69" s="9">
        <v>4</v>
      </c>
      <c r="D69" s="9">
        <f t="shared" si="4"/>
        <v>3</v>
      </c>
      <c r="E69" s="9" t="s">
        <v>7</v>
      </c>
      <c r="F69" s="9" t="s">
        <v>38</v>
      </c>
      <c r="G69" s="9" t="s">
        <v>25</v>
      </c>
      <c r="H69" s="42" t="s">
        <v>709</v>
      </c>
      <c r="I69" s="9">
        <v>20</v>
      </c>
      <c r="J69" s="9" t="s">
        <v>625</v>
      </c>
      <c r="K69" s="9" t="s">
        <v>456</v>
      </c>
      <c r="L69" s="39">
        <v>0.36374899999999999</v>
      </c>
      <c r="M69" s="39">
        <v>0.36225499999999999</v>
      </c>
      <c r="N69" s="9" t="s">
        <v>457</v>
      </c>
      <c r="O69" s="9">
        <v>1.1500779999999999</v>
      </c>
      <c r="P69" s="9">
        <v>1.140852</v>
      </c>
    </row>
    <row r="70" spans="2:16" x14ac:dyDescent="0.2">
      <c r="B70" s="9" t="str">
        <f t="shared" si="3"/>
        <v>4-4</v>
      </c>
      <c r="C70" s="9">
        <v>4</v>
      </c>
      <c r="D70" s="9">
        <f t="shared" si="4"/>
        <v>4</v>
      </c>
      <c r="E70" s="9" t="s">
        <v>7</v>
      </c>
      <c r="F70" s="9" t="s">
        <v>40</v>
      </c>
      <c r="G70" s="9" t="s">
        <v>25</v>
      </c>
      <c r="H70" s="42" t="s">
        <v>710</v>
      </c>
      <c r="I70" s="9">
        <v>20</v>
      </c>
      <c r="J70" s="9" t="s">
        <v>625</v>
      </c>
      <c r="K70" s="9" t="s">
        <v>456</v>
      </c>
      <c r="L70" s="39">
        <v>0.38949899999999998</v>
      </c>
      <c r="M70" s="39">
        <v>0.38828499999999999</v>
      </c>
      <c r="N70" s="9" t="s">
        <v>457</v>
      </c>
      <c r="O70" s="9">
        <v>1.2825040000000001</v>
      </c>
      <c r="P70" s="9">
        <v>1.276769</v>
      </c>
    </row>
    <row r="71" spans="2:16" x14ac:dyDescent="0.2">
      <c r="B71" s="9" t="str">
        <f t="shared" si="3"/>
        <v>4-5</v>
      </c>
      <c r="C71" s="9">
        <v>4</v>
      </c>
      <c r="D71" s="9">
        <f t="shared" si="4"/>
        <v>5</v>
      </c>
      <c r="E71" s="9" t="s">
        <v>7</v>
      </c>
      <c r="F71" s="9" t="s">
        <v>24</v>
      </c>
      <c r="G71" s="9" t="s">
        <v>27</v>
      </c>
      <c r="H71" s="42" t="s">
        <v>711</v>
      </c>
      <c r="I71" s="9">
        <v>40</v>
      </c>
      <c r="J71" s="9" t="s">
        <v>712</v>
      </c>
      <c r="K71" s="9" t="s">
        <v>456</v>
      </c>
      <c r="L71" s="39">
        <v>8.0000000000000007E-5</v>
      </c>
      <c r="M71" s="39">
        <v>0.35300599999999999</v>
      </c>
      <c r="N71" s="9" t="s">
        <v>457</v>
      </c>
      <c r="O71" s="9">
        <v>2.3800000000000001E-4</v>
      </c>
      <c r="P71" s="9">
        <v>1.0527040000000001</v>
      </c>
    </row>
    <row r="72" spans="2:16" x14ac:dyDescent="0.2">
      <c r="B72" s="9" t="str">
        <f t="shared" si="3"/>
        <v>4-6</v>
      </c>
      <c r="C72" s="9">
        <v>4</v>
      </c>
      <c r="D72" s="9">
        <f t="shared" si="4"/>
        <v>6</v>
      </c>
      <c r="E72" s="9" t="s">
        <v>7</v>
      </c>
      <c r="F72" s="9" t="s">
        <v>36</v>
      </c>
      <c r="G72" s="9" t="s">
        <v>27</v>
      </c>
      <c r="H72" s="42" t="s">
        <v>713</v>
      </c>
      <c r="I72" s="9">
        <v>40</v>
      </c>
      <c r="J72" s="9" t="s">
        <v>714</v>
      </c>
      <c r="K72" s="9" t="s">
        <v>456</v>
      </c>
      <c r="L72" s="39">
        <v>0.37115300000000001</v>
      </c>
      <c r="M72" s="39">
        <v>0.37800899999999998</v>
      </c>
      <c r="N72" s="9" t="s">
        <v>457</v>
      </c>
      <c r="O72" s="9">
        <v>1.1859580000000001</v>
      </c>
      <c r="P72" s="9">
        <v>1.229514</v>
      </c>
    </row>
    <row r="73" spans="2:16" x14ac:dyDescent="0.2">
      <c r="B73" s="9" t="str">
        <f t="shared" si="3"/>
        <v>4-7</v>
      </c>
      <c r="C73" s="9">
        <v>4</v>
      </c>
      <c r="D73" s="9">
        <f t="shared" si="4"/>
        <v>7</v>
      </c>
      <c r="E73" s="9" t="s">
        <v>7</v>
      </c>
      <c r="F73" s="9" t="s">
        <v>38</v>
      </c>
      <c r="G73" s="9" t="s">
        <v>27</v>
      </c>
      <c r="H73" s="42" t="s">
        <v>715</v>
      </c>
      <c r="I73" s="9">
        <v>40</v>
      </c>
      <c r="J73" s="9" t="s">
        <v>716</v>
      </c>
      <c r="K73" s="9" t="s">
        <v>456</v>
      </c>
      <c r="L73" s="39">
        <v>8.0000000000000007E-5</v>
      </c>
      <c r="M73" s="39">
        <v>0.341669</v>
      </c>
      <c r="N73" s="9" t="s">
        <v>457</v>
      </c>
      <c r="O73" s="9">
        <v>2.3800000000000001E-4</v>
      </c>
      <c r="P73" s="9">
        <v>1.022662</v>
      </c>
    </row>
    <row r="74" spans="2:16" x14ac:dyDescent="0.2">
      <c r="B74" s="9" t="str">
        <f t="shared" si="3"/>
        <v>4-8</v>
      </c>
      <c r="C74" s="9">
        <v>4</v>
      </c>
      <c r="D74" s="9">
        <f t="shared" si="4"/>
        <v>8</v>
      </c>
      <c r="E74" s="9" t="s">
        <v>7</v>
      </c>
      <c r="F74" s="9" t="s">
        <v>40</v>
      </c>
      <c r="G74" s="9" t="s">
        <v>27</v>
      </c>
      <c r="H74" s="42" t="s">
        <v>717</v>
      </c>
      <c r="I74" s="9">
        <v>40</v>
      </c>
      <c r="J74" s="9" t="s">
        <v>718</v>
      </c>
      <c r="K74" s="9" t="s">
        <v>456</v>
      </c>
      <c r="L74" s="39">
        <v>8.0000000000000007E-5</v>
      </c>
      <c r="M74" s="39">
        <v>0.36636200000000002</v>
      </c>
      <c r="N74" s="9" t="s">
        <v>457</v>
      </c>
      <c r="O74" s="9">
        <v>2.3800000000000001E-4</v>
      </c>
      <c r="P74" s="9">
        <v>1.1355500000000001</v>
      </c>
    </row>
    <row r="75" spans="2:16" x14ac:dyDescent="0.2">
      <c r="B75" s="9" t="str">
        <f t="shared" si="3"/>
        <v>4-9</v>
      </c>
      <c r="C75" s="9">
        <v>4</v>
      </c>
      <c r="D75" s="9">
        <f t="shared" si="4"/>
        <v>9</v>
      </c>
      <c r="E75" s="9" t="s">
        <v>7</v>
      </c>
      <c r="F75" s="9" t="s">
        <v>24</v>
      </c>
      <c r="G75" s="9" t="s">
        <v>28</v>
      </c>
      <c r="H75" s="42" t="s">
        <v>719</v>
      </c>
      <c r="I75" s="9">
        <v>40</v>
      </c>
      <c r="J75" s="9" t="s">
        <v>720</v>
      </c>
      <c r="K75" s="9" t="s">
        <v>456</v>
      </c>
      <c r="L75" s="39">
        <v>0.30779000000000001</v>
      </c>
      <c r="M75" s="39">
        <v>0.31754399999999999</v>
      </c>
      <c r="N75" s="9" t="s">
        <v>457</v>
      </c>
      <c r="O75" s="9">
        <v>0.93143100000000001</v>
      </c>
      <c r="P75" s="9">
        <v>0.98342799999999997</v>
      </c>
    </row>
    <row r="76" spans="2:16" x14ac:dyDescent="0.2">
      <c r="B76" s="9" t="str">
        <f t="shared" si="3"/>
        <v>4-10</v>
      </c>
      <c r="C76" s="9">
        <v>4</v>
      </c>
      <c r="D76" s="9">
        <f t="shared" si="4"/>
        <v>10</v>
      </c>
      <c r="E76" s="9" t="s">
        <v>7</v>
      </c>
      <c r="F76" s="9" t="s">
        <v>36</v>
      </c>
      <c r="G76" s="9" t="s">
        <v>28</v>
      </c>
      <c r="H76" s="42" t="s">
        <v>721</v>
      </c>
      <c r="I76" s="9">
        <v>40</v>
      </c>
      <c r="J76" s="9" t="s">
        <v>722</v>
      </c>
      <c r="K76" s="9" t="s">
        <v>456</v>
      </c>
      <c r="L76" s="39">
        <v>0.36644399999999999</v>
      </c>
      <c r="M76" s="39">
        <v>0.37304199999999998</v>
      </c>
      <c r="N76" s="9" t="s">
        <v>457</v>
      </c>
      <c r="O76" s="9">
        <v>1.1920310000000001</v>
      </c>
      <c r="P76" s="9">
        <v>1.2285820000000001</v>
      </c>
    </row>
    <row r="77" spans="2:16" x14ac:dyDescent="0.2">
      <c r="B77" s="9" t="str">
        <f t="shared" si="3"/>
        <v>4-11</v>
      </c>
      <c r="C77" s="9">
        <v>4</v>
      </c>
      <c r="D77" s="9">
        <f t="shared" si="4"/>
        <v>11</v>
      </c>
      <c r="E77" s="9" t="s">
        <v>7</v>
      </c>
      <c r="F77" s="9" t="s">
        <v>38</v>
      </c>
      <c r="G77" s="9" t="s">
        <v>28</v>
      </c>
      <c r="H77" s="42" t="s">
        <v>723</v>
      </c>
      <c r="I77" s="9">
        <v>40</v>
      </c>
      <c r="J77" s="9" t="s">
        <v>724</v>
      </c>
      <c r="K77" s="9" t="s">
        <v>456</v>
      </c>
      <c r="L77" s="39">
        <v>0.31472499999999998</v>
      </c>
      <c r="M77" s="39">
        <v>0.32409700000000002</v>
      </c>
      <c r="N77" s="9" t="s">
        <v>457</v>
      </c>
      <c r="O77" s="9">
        <v>0.96643699999999999</v>
      </c>
      <c r="P77" s="9">
        <v>1.0163599999999999</v>
      </c>
    </row>
    <row r="78" spans="2:16" x14ac:dyDescent="0.2">
      <c r="B78" s="9" t="str">
        <f t="shared" si="3"/>
        <v>4-12</v>
      </c>
      <c r="C78" s="9">
        <v>4</v>
      </c>
      <c r="D78" s="9">
        <f t="shared" si="4"/>
        <v>12</v>
      </c>
      <c r="E78" s="9" t="s">
        <v>7</v>
      </c>
      <c r="F78" s="9" t="s">
        <v>40</v>
      </c>
      <c r="G78" s="9" t="s">
        <v>28</v>
      </c>
      <c r="H78" s="42" t="s">
        <v>725</v>
      </c>
      <c r="I78" s="9">
        <v>40</v>
      </c>
      <c r="J78" s="9" t="s">
        <v>726</v>
      </c>
      <c r="K78" s="9" t="s">
        <v>456</v>
      </c>
      <c r="L78" s="39">
        <v>0.34993000000000002</v>
      </c>
      <c r="M78" s="39">
        <v>0.36133399999999999</v>
      </c>
      <c r="N78" s="9" t="s">
        <v>457</v>
      </c>
      <c r="O78" s="9">
        <v>1.113381</v>
      </c>
      <c r="P78" s="9">
        <v>1.177157</v>
      </c>
    </row>
    <row r="79" spans="2:16" x14ac:dyDescent="0.2">
      <c r="B79" s="9" t="str">
        <f t="shared" si="3"/>
        <v>4-13</v>
      </c>
      <c r="C79" s="9">
        <v>4</v>
      </c>
      <c r="D79" s="9">
        <f t="shared" si="4"/>
        <v>13</v>
      </c>
      <c r="E79" s="9" t="s">
        <v>7</v>
      </c>
      <c r="F79" s="9" t="s">
        <v>24</v>
      </c>
      <c r="G79" s="9" t="s">
        <v>30</v>
      </c>
      <c r="H79" s="42" t="s">
        <v>727</v>
      </c>
      <c r="I79" s="9">
        <v>40</v>
      </c>
      <c r="J79" s="9" t="s">
        <v>728</v>
      </c>
      <c r="K79" s="9" t="s">
        <v>456</v>
      </c>
      <c r="L79" s="39">
        <v>0.18551000000000001</v>
      </c>
      <c r="M79" s="39">
        <v>0.30970399999999998</v>
      </c>
      <c r="N79" s="9" t="s">
        <v>457</v>
      </c>
      <c r="O79" s="9">
        <v>0.34467700000000001</v>
      </c>
      <c r="P79" s="9">
        <v>0.90410199999999996</v>
      </c>
    </row>
    <row r="80" spans="2:16" x14ac:dyDescent="0.2">
      <c r="B80" s="9" t="str">
        <f t="shared" si="3"/>
        <v>4-14</v>
      </c>
      <c r="C80" s="9">
        <v>4</v>
      </c>
      <c r="D80" s="9">
        <f t="shared" si="4"/>
        <v>14</v>
      </c>
      <c r="E80" s="9" t="s">
        <v>7</v>
      </c>
      <c r="F80" s="9" t="s">
        <v>36</v>
      </c>
      <c r="G80" s="9" t="s">
        <v>30</v>
      </c>
      <c r="H80" s="42" t="s">
        <v>729</v>
      </c>
      <c r="I80" s="9">
        <v>40</v>
      </c>
      <c r="J80" s="9" t="s">
        <v>730</v>
      </c>
      <c r="K80" s="9" t="s">
        <v>456</v>
      </c>
      <c r="L80" s="39">
        <v>0.36602400000000002</v>
      </c>
      <c r="M80" s="39">
        <v>0.37139899999999998</v>
      </c>
      <c r="N80" s="9" t="s">
        <v>457</v>
      </c>
      <c r="O80" s="9">
        <v>1.17099</v>
      </c>
      <c r="P80" s="9">
        <v>1.2006250000000001</v>
      </c>
    </row>
    <row r="81" spans="2:16" x14ac:dyDescent="0.2">
      <c r="B81" s="9" t="str">
        <f t="shared" si="3"/>
        <v>4-15</v>
      </c>
      <c r="C81" s="9">
        <v>4</v>
      </c>
      <c r="D81" s="9">
        <f t="shared" si="4"/>
        <v>15</v>
      </c>
      <c r="E81" s="9" t="s">
        <v>7</v>
      </c>
      <c r="F81" s="9" t="s">
        <v>38</v>
      </c>
      <c r="G81" s="9" t="s">
        <v>30</v>
      </c>
      <c r="H81" s="42" t="s">
        <v>731</v>
      </c>
      <c r="I81" s="9">
        <v>40</v>
      </c>
      <c r="J81" s="9" t="s">
        <v>732</v>
      </c>
      <c r="K81" s="9" t="s">
        <v>456</v>
      </c>
      <c r="L81" s="39">
        <v>0.216445</v>
      </c>
      <c r="M81" s="39">
        <v>0.31270300000000001</v>
      </c>
      <c r="N81" s="9" t="s">
        <v>457</v>
      </c>
      <c r="O81" s="9">
        <v>0.45420899999999997</v>
      </c>
      <c r="P81" s="9">
        <v>0.93269100000000005</v>
      </c>
    </row>
    <row r="82" spans="2:16" x14ac:dyDescent="0.2">
      <c r="B82" s="9" t="str">
        <f t="shared" ref="B82:B96" si="5">C82&amp;"-"&amp;D82</f>
        <v>4-16</v>
      </c>
      <c r="C82" s="9">
        <v>4</v>
      </c>
      <c r="D82" s="9">
        <f t="shared" si="4"/>
        <v>16</v>
      </c>
      <c r="E82" s="9" t="s">
        <v>7</v>
      </c>
      <c r="F82" s="9" t="s">
        <v>40</v>
      </c>
      <c r="G82" s="9" t="s">
        <v>30</v>
      </c>
      <c r="H82" s="42" t="s">
        <v>733</v>
      </c>
      <c r="I82" s="9">
        <v>40</v>
      </c>
      <c r="J82" s="9" t="s">
        <v>734</v>
      </c>
      <c r="K82" s="9" t="s">
        <v>456</v>
      </c>
      <c r="L82" s="39">
        <v>0.25669500000000001</v>
      </c>
      <c r="M82" s="39">
        <v>0.34629199999999999</v>
      </c>
      <c r="N82" s="9" t="s">
        <v>457</v>
      </c>
      <c r="O82" s="9">
        <v>0.60528899999999997</v>
      </c>
      <c r="P82" s="9">
        <v>1.073413</v>
      </c>
    </row>
    <row r="83" spans="2:16" x14ac:dyDescent="0.2">
      <c r="B83" s="9" t="str">
        <f t="shared" si="5"/>
        <v>4-17</v>
      </c>
      <c r="C83" s="9">
        <v>4</v>
      </c>
      <c r="D83" s="9">
        <f t="shared" si="4"/>
        <v>17</v>
      </c>
      <c r="E83" s="9" t="s">
        <v>7</v>
      </c>
      <c r="F83" s="9" t="s">
        <v>24</v>
      </c>
      <c r="G83" s="9" t="s">
        <v>32</v>
      </c>
      <c r="H83" s="42" t="s">
        <v>735</v>
      </c>
      <c r="I83" s="9">
        <v>10</v>
      </c>
      <c r="J83" s="9" t="s">
        <v>736</v>
      </c>
      <c r="K83" s="9" t="s">
        <v>456</v>
      </c>
      <c r="L83" s="39">
        <v>0.413883</v>
      </c>
      <c r="M83" s="39">
        <v>0.413159</v>
      </c>
      <c r="N83" s="9" t="s">
        <v>457</v>
      </c>
      <c r="O83" s="9">
        <v>1.9861089999999999</v>
      </c>
      <c r="P83" s="9">
        <v>1.983425</v>
      </c>
    </row>
    <row r="84" spans="2:16" x14ac:dyDescent="0.2">
      <c r="B84" s="9" t="str">
        <f t="shared" si="5"/>
        <v>4-18</v>
      </c>
      <c r="C84" s="9">
        <v>4</v>
      </c>
      <c r="D84" s="9">
        <f t="shared" si="4"/>
        <v>18</v>
      </c>
      <c r="E84" s="9" t="s">
        <v>7</v>
      </c>
      <c r="F84" s="9" t="s">
        <v>36</v>
      </c>
      <c r="G84" s="9" t="s">
        <v>32</v>
      </c>
      <c r="H84" s="42" t="s">
        <v>737</v>
      </c>
      <c r="I84" s="9">
        <v>10</v>
      </c>
      <c r="J84" s="9" t="s">
        <v>738</v>
      </c>
      <c r="K84" s="9" t="s">
        <v>456</v>
      </c>
      <c r="L84" s="39">
        <v>0.41758299999999998</v>
      </c>
      <c r="M84" s="39">
        <v>0.41687200000000002</v>
      </c>
      <c r="N84" s="9" t="s">
        <v>457</v>
      </c>
      <c r="O84" s="9">
        <v>2.0096400000000001</v>
      </c>
      <c r="P84" s="9">
        <v>2.007161</v>
      </c>
    </row>
    <row r="85" spans="2:16" x14ac:dyDescent="0.2">
      <c r="B85" s="9" t="str">
        <f t="shared" si="5"/>
        <v>4-19</v>
      </c>
      <c r="C85" s="9">
        <v>4</v>
      </c>
      <c r="D85" s="9">
        <f t="shared" si="4"/>
        <v>19</v>
      </c>
      <c r="E85" s="9" t="s">
        <v>7</v>
      </c>
      <c r="F85" s="9" t="s">
        <v>38</v>
      </c>
      <c r="G85" s="9" t="s">
        <v>32</v>
      </c>
      <c r="H85" s="42" t="s">
        <v>739</v>
      </c>
      <c r="I85" s="9">
        <v>10</v>
      </c>
      <c r="J85" s="9" t="s">
        <v>740</v>
      </c>
      <c r="K85" s="9" t="s">
        <v>456</v>
      </c>
      <c r="L85" s="39">
        <v>0.43879600000000002</v>
      </c>
      <c r="M85" s="39">
        <v>0.43833</v>
      </c>
      <c r="N85" s="9" t="s">
        <v>457</v>
      </c>
      <c r="O85" s="9">
        <v>1.9441090000000001</v>
      </c>
      <c r="P85" s="9">
        <v>1.942164</v>
      </c>
    </row>
    <row r="86" spans="2:16" x14ac:dyDescent="0.2">
      <c r="B86" s="9" t="str">
        <f t="shared" si="5"/>
        <v>4-20</v>
      </c>
      <c r="C86" s="9">
        <v>4</v>
      </c>
      <c r="D86" s="9">
        <f t="shared" si="4"/>
        <v>20</v>
      </c>
      <c r="E86" s="9" t="s">
        <v>7</v>
      </c>
      <c r="F86" s="9" t="s">
        <v>40</v>
      </c>
      <c r="G86" s="9" t="s">
        <v>32</v>
      </c>
      <c r="H86" s="42" t="s">
        <v>741</v>
      </c>
      <c r="I86" s="9">
        <v>10</v>
      </c>
      <c r="J86" s="9" t="s">
        <v>742</v>
      </c>
      <c r="K86" s="9" t="s">
        <v>456</v>
      </c>
      <c r="L86" s="39">
        <v>0.41799399999999998</v>
      </c>
      <c r="M86" s="39">
        <v>0.41727700000000001</v>
      </c>
      <c r="N86" s="9" t="s">
        <v>457</v>
      </c>
      <c r="O86" s="9">
        <v>2.0211749999999999</v>
      </c>
      <c r="P86" s="9">
        <v>2.0187089999999999</v>
      </c>
    </row>
    <row r="87" spans="2:16" x14ac:dyDescent="0.2">
      <c r="B87" s="9" t="str">
        <f t="shared" si="5"/>
        <v>4-21</v>
      </c>
      <c r="C87" s="9">
        <v>4</v>
      </c>
      <c r="D87" s="9">
        <f t="shared" si="4"/>
        <v>21</v>
      </c>
      <c r="E87" s="9" t="s">
        <v>7</v>
      </c>
      <c r="F87" s="9" t="s">
        <v>24</v>
      </c>
      <c r="G87" s="9" t="s">
        <v>33</v>
      </c>
      <c r="H87" s="42" t="s">
        <v>743</v>
      </c>
      <c r="I87" s="9">
        <v>100</v>
      </c>
      <c r="J87" s="9" t="s">
        <v>744</v>
      </c>
      <c r="K87" s="9" t="s">
        <v>456</v>
      </c>
      <c r="L87" s="39">
        <v>0.25357400000000002</v>
      </c>
      <c r="M87" s="39">
        <v>0.29395100000000002</v>
      </c>
      <c r="N87" s="9" t="s">
        <v>457</v>
      </c>
      <c r="O87" s="9">
        <v>0.66221799999999997</v>
      </c>
      <c r="P87" s="9">
        <v>0.85720300000000005</v>
      </c>
    </row>
    <row r="88" spans="2:16" x14ac:dyDescent="0.2">
      <c r="B88" s="9" t="str">
        <f t="shared" si="5"/>
        <v>4-22</v>
      </c>
      <c r="C88" s="9">
        <v>4</v>
      </c>
      <c r="D88" s="9">
        <f t="shared" si="4"/>
        <v>22</v>
      </c>
      <c r="E88" s="9" t="s">
        <v>7</v>
      </c>
      <c r="F88" s="9" t="s">
        <v>36</v>
      </c>
      <c r="G88" s="9" t="s">
        <v>33</v>
      </c>
      <c r="H88" s="42" t="s">
        <v>745</v>
      </c>
      <c r="I88" s="9">
        <v>100</v>
      </c>
      <c r="J88" s="9" t="s">
        <v>746</v>
      </c>
      <c r="K88" s="9" t="s">
        <v>456</v>
      </c>
      <c r="L88" s="39">
        <v>0.363043</v>
      </c>
      <c r="M88" s="39">
        <v>0.36617899999999998</v>
      </c>
      <c r="N88" s="9" t="s">
        <v>457</v>
      </c>
      <c r="O88" s="9">
        <v>1.162242</v>
      </c>
      <c r="P88" s="9">
        <v>1.1801010000000001</v>
      </c>
    </row>
    <row r="89" spans="2:16" x14ac:dyDescent="0.2">
      <c r="B89" s="9" t="str">
        <f t="shared" si="5"/>
        <v>4-23</v>
      </c>
      <c r="C89" s="9">
        <v>4</v>
      </c>
      <c r="D89" s="9">
        <f t="shared" si="4"/>
        <v>23</v>
      </c>
      <c r="E89" s="9" t="s">
        <v>7</v>
      </c>
      <c r="F89" s="9" t="s">
        <v>38</v>
      </c>
      <c r="G89" s="9" t="s">
        <v>33</v>
      </c>
      <c r="H89" s="42" t="s">
        <v>747</v>
      </c>
      <c r="I89" s="9">
        <v>100</v>
      </c>
      <c r="J89" s="9" t="s">
        <v>748</v>
      </c>
      <c r="K89" s="9" t="s">
        <v>456</v>
      </c>
      <c r="L89" s="39">
        <v>0.28625499999999998</v>
      </c>
      <c r="M89" s="39">
        <v>0.30403200000000002</v>
      </c>
      <c r="N89" s="9" t="s">
        <v>457</v>
      </c>
      <c r="O89" s="9">
        <v>0.80884599999999995</v>
      </c>
      <c r="P89" s="9">
        <v>0.903922</v>
      </c>
    </row>
    <row r="90" spans="2:16" ht="16" customHeight="1" thickBot="1" x14ac:dyDescent="0.25">
      <c r="B90" s="11" t="str">
        <f t="shared" si="5"/>
        <v>4-24</v>
      </c>
      <c r="C90" s="11">
        <v>4</v>
      </c>
      <c r="D90" s="11">
        <f t="shared" si="4"/>
        <v>24</v>
      </c>
      <c r="E90" s="11" t="s">
        <v>7</v>
      </c>
      <c r="F90" s="11" t="s">
        <v>40</v>
      </c>
      <c r="G90" s="11" t="s">
        <v>33</v>
      </c>
      <c r="H90" s="46" t="s">
        <v>749</v>
      </c>
      <c r="I90" s="11">
        <v>100</v>
      </c>
      <c r="J90" s="11" t="s">
        <v>750</v>
      </c>
      <c r="K90" s="11" t="s">
        <v>456</v>
      </c>
      <c r="L90" s="40">
        <v>0.29205799999999998</v>
      </c>
      <c r="M90" s="40">
        <v>0.33559099999999997</v>
      </c>
      <c r="N90" s="11" t="s">
        <v>457</v>
      </c>
      <c r="O90" s="11">
        <v>0.81164099999999995</v>
      </c>
      <c r="P90" s="11">
        <v>1.0385740000000001</v>
      </c>
    </row>
    <row r="91" spans="2:16" ht="16" customHeight="1" thickTop="1" x14ac:dyDescent="0.2">
      <c r="B91" s="9" t="str">
        <f t="shared" si="5"/>
        <v>5-1</v>
      </c>
      <c r="C91" s="9">
        <v>5</v>
      </c>
      <c r="D91" s="9">
        <v>1</v>
      </c>
      <c r="E91" s="9" t="s">
        <v>35</v>
      </c>
      <c r="F91" s="9" t="s">
        <v>24</v>
      </c>
      <c r="G91" s="9" t="s">
        <v>25</v>
      </c>
      <c r="H91" s="42" t="s">
        <v>751</v>
      </c>
      <c r="I91" s="9">
        <v>20</v>
      </c>
      <c r="J91" s="9" t="s">
        <v>752</v>
      </c>
      <c r="K91" s="9" t="s">
        <v>456</v>
      </c>
      <c r="L91" s="39">
        <v>0.34751399999999999</v>
      </c>
      <c r="M91" s="39">
        <v>0.346273</v>
      </c>
      <c r="N91" s="9" t="s">
        <v>457</v>
      </c>
      <c r="O91" s="9">
        <v>1.0698700000000001</v>
      </c>
      <c r="P91" s="9">
        <v>1.0612470000000001</v>
      </c>
    </row>
    <row r="92" spans="2:16" x14ac:dyDescent="0.2">
      <c r="B92" s="9" t="str">
        <f t="shared" si="5"/>
        <v>5-2</v>
      </c>
      <c r="C92" s="9">
        <v>5</v>
      </c>
      <c r="D92" s="9">
        <f>D91+1</f>
        <v>2</v>
      </c>
      <c r="E92" s="9" t="s">
        <v>35</v>
      </c>
      <c r="F92" s="9" t="s">
        <v>24</v>
      </c>
      <c r="G92" s="9" t="s">
        <v>27</v>
      </c>
      <c r="H92" s="42" t="s">
        <v>753</v>
      </c>
      <c r="I92" s="9">
        <v>40</v>
      </c>
      <c r="J92" s="9" t="s">
        <v>754</v>
      </c>
      <c r="K92" s="9" t="s">
        <v>456</v>
      </c>
      <c r="L92" s="39">
        <v>0</v>
      </c>
      <c r="M92" s="39">
        <v>0.36240499999999998</v>
      </c>
      <c r="N92" s="9" t="s">
        <v>457</v>
      </c>
      <c r="O92" s="9">
        <v>0</v>
      </c>
      <c r="P92" s="9">
        <v>1.082587</v>
      </c>
    </row>
    <row r="93" spans="2:16" x14ac:dyDescent="0.2">
      <c r="B93" s="9" t="str">
        <f t="shared" si="5"/>
        <v>5-3</v>
      </c>
      <c r="C93" s="9">
        <v>5</v>
      </c>
      <c r="D93" s="9">
        <f>D92+1</f>
        <v>3</v>
      </c>
      <c r="E93" s="9" t="s">
        <v>35</v>
      </c>
      <c r="F93" s="9" t="s">
        <v>24</v>
      </c>
      <c r="G93" s="9" t="s">
        <v>28</v>
      </c>
      <c r="H93" s="42" t="s">
        <v>755</v>
      </c>
      <c r="I93" s="9">
        <v>40</v>
      </c>
      <c r="J93" s="9" t="s">
        <v>756</v>
      </c>
      <c r="K93" s="9" t="s">
        <v>456</v>
      </c>
      <c r="L93" s="39">
        <v>0.30736400000000003</v>
      </c>
      <c r="M93" s="39">
        <v>0.317718</v>
      </c>
      <c r="N93" s="9" t="s">
        <v>457</v>
      </c>
      <c r="O93" s="9">
        <v>0.92947500000000005</v>
      </c>
      <c r="P93" s="9">
        <v>0.98399899999999996</v>
      </c>
    </row>
    <row r="94" spans="2:16" x14ac:dyDescent="0.2">
      <c r="B94" s="9" t="str">
        <f t="shared" si="5"/>
        <v>5-4</v>
      </c>
      <c r="C94" s="9">
        <v>5</v>
      </c>
      <c r="D94" s="9">
        <f>D93+1</f>
        <v>4</v>
      </c>
      <c r="E94" s="9" t="s">
        <v>35</v>
      </c>
      <c r="F94" s="9" t="s">
        <v>24</v>
      </c>
      <c r="G94" s="9" t="s">
        <v>30</v>
      </c>
      <c r="H94" s="42" t="s">
        <v>757</v>
      </c>
      <c r="I94" s="9">
        <v>40</v>
      </c>
      <c r="J94" s="9" t="s">
        <v>758</v>
      </c>
      <c r="K94" s="9" t="s">
        <v>456</v>
      </c>
      <c r="L94" s="39">
        <v>0.14846000000000001</v>
      </c>
      <c r="M94" s="39">
        <v>0.31117099999999998</v>
      </c>
      <c r="N94" s="9" t="s">
        <v>457</v>
      </c>
      <c r="O94" s="9">
        <v>0.211092</v>
      </c>
      <c r="P94" s="9">
        <v>0.90487499999999998</v>
      </c>
    </row>
    <row r="95" spans="2:16" x14ac:dyDescent="0.2">
      <c r="B95" s="9" t="str">
        <f t="shared" si="5"/>
        <v>5-5</v>
      </c>
      <c r="C95" s="9">
        <v>5</v>
      </c>
      <c r="D95" s="9">
        <f>D94+1</f>
        <v>5</v>
      </c>
      <c r="E95" s="9" t="s">
        <v>35</v>
      </c>
      <c r="F95" s="9" t="s">
        <v>24</v>
      </c>
      <c r="G95" s="9" t="s">
        <v>32</v>
      </c>
      <c r="H95" s="42" t="s">
        <v>759</v>
      </c>
      <c r="I95" s="9">
        <v>10</v>
      </c>
      <c r="J95" s="9" t="s">
        <v>760</v>
      </c>
      <c r="K95" s="9" t="s">
        <v>456</v>
      </c>
      <c r="L95" s="39">
        <v>0.367369</v>
      </c>
      <c r="M95" s="39">
        <v>0.37475199999999997</v>
      </c>
      <c r="N95" s="9" t="s">
        <v>457</v>
      </c>
      <c r="O95" s="9">
        <v>1.350301</v>
      </c>
      <c r="P95" s="9">
        <v>1.394155</v>
      </c>
    </row>
    <row r="96" spans="2:16" x14ac:dyDescent="0.2">
      <c r="B96" s="12" t="str">
        <f t="shared" si="5"/>
        <v>5-6</v>
      </c>
      <c r="C96" s="12">
        <v>5</v>
      </c>
      <c r="D96" s="12">
        <f>D95+1</f>
        <v>6</v>
      </c>
      <c r="E96" s="12" t="s">
        <v>35</v>
      </c>
      <c r="F96" s="12" t="s">
        <v>24</v>
      </c>
      <c r="G96" s="12" t="s">
        <v>33</v>
      </c>
      <c r="H96" s="42" t="s">
        <v>761</v>
      </c>
      <c r="I96" s="12">
        <v>100</v>
      </c>
      <c r="J96" s="12" t="s">
        <v>762</v>
      </c>
      <c r="K96" s="12" t="s">
        <v>456</v>
      </c>
      <c r="L96" s="41">
        <v>0.26505099999999998</v>
      </c>
      <c r="M96" s="41">
        <v>0.292989</v>
      </c>
      <c r="N96" s="12" t="s">
        <v>457</v>
      </c>
      <c r="O96" s="12">
        <v>0.68064000000000002</v>
      </c>
      <c r="P96" s="12">
        <v>0.836843</v>
      </c>
    </row>
    <row r="97" spans="2:16" x14ac:dyDescent="0.2">
      <c r="B97" s="9" t="s">
        <v>763</v>
      </c>
      <c r="C97" s="9">
        <v>6</v>
      </c>
      <c r="D97" s="9">
        <v>1</v>
      </c>
      <c r="E97" s="9" t="s">
        <v>23</v>
      </c>
      <c r="F97" s="9" t="s">
        <v>24</v>
      </c>
      <c r="G97" s="9" t="s">
        <v>764</v>
      </c>
      <c r="H97" s="42" t="s">
        <v>765</v>
      </c>
      <c r="I97" s="9">
        <v>100</v>
      </c>
      <c r="J97" s="9" t="s">
        <v>766</v>
      </c>
      <c r="K97" s="9" t="s">
        <v>456</v>
      </c>
      <c r="L97" s="39">
        <v>0.323494</v>
      </c>
      <c r="M97" s="39">
        <v>0.32763300000000001</v>
      </c>
      <c r="N97" s="9" t="s">
        <v>457</v>
      </c>
      <c r="O97" s="9">
        <v>0.97119900000000003</v>
      </c>
      <c r="P97" s="9">
        <v>0.99619599999999997</v>
      </c>
    </row>
    <row r="98" spans="2:16" x14ac:dyDescent="0.2">
      <c r="B98" s="9" t="s">
        <v>767</v>
      </c>
      <c r="C98" s="9">
        <v>6</v>
      </c>
      <c r="D98" s="9">
        <v>2</v>
      </c>
      <c r="E98" s="9" t="s">
        <v>35</v>
      </c>
      <c r="F98" s="9" t="s">
        <v>36</v>
      </c>
      <c r="G98" s="9" t="s">
        <v>764</v>
      </c>
      <c r="H98" s="42" t="s">
        <v>768</v>
      </c>
      <c r="I98" s="9">
        <v>100</v>
      </c>
      <c r="J98" s="9" t="s">
        <v>769</v>
      </c>
      <c r="K98" s="9" t="s">
        <v>456</v>
      </c>
      <c r="L98" s="39">
        <v>0.35745300000000002</v>
      </c>
      <c r="M98" s="39">
        <v>0.36417300000000002</v>
      </c>
      <c r="N98" s="9" t="s">
        <v>457</v>
      </c>
      <c r="O98" s="9">
        <v>1.1292450000000001</v>
      </c>
      <c r="P98" s="9">
        <v>1.168596</v>
      </c>
    </row>
    <row r="99" spans="2:16" x14ac:dyDescent="0.2">
      <c r="B99" s="9" t="s">
        <v>770</v>
      </c>
      <c r="C99" s="9">
        <v>6</v>
      </c>
      <c r="D99" s="9">
        <v>3</v>
      </c>
      <c r="E99" s="9" t="s">
        <v>35</v>
      </c>
      <c r="F99" s="9" t="s">
        <v>38</v>
      </c>
      <c r="G99" s="9" t="s">
        <v>764</v>
      </c>
      <c r="H99" s="42" t="s">
        <v>771</v>
      </c>
      <c r="I99" s="9">
        <v>100</v>
      </c>
      <c r="J99" s="9" t="s">
        <v>772</v>
      </c>
      <c r="K99" s="9" t="s">
        <v>456</v>
      </c>
      <c r="L99" s="39">
        <v>0.27313399999999999</v>
      </c>
      <c r="M99" s="39">
        <v>0.30156699999999997</v>
      </c>
      <c r="N99" s="9" t="s">
        <v>457</v>
      </c>
      <c r="O99" s="9">
        <v>0.73977499999999996</v>
      </c>
      <c r="P99" s="9">
        <v>0.89327400000000001</v>
      </c>
    </row>
    <row r="100" spans="2:16" x14ac:dyDescent="0.2">
      <c r="B100" s="9" t="s">
        <v>773</v>
      </c>
      <c r="C100" s="9">
        <v>6</v>
      </c>
      <c r="D100" s="9">
        <v>4</v>
      </c>
      <c r="E100" s="9" t="s">
        <v>35</v>
      </c>
      <c r="F100" s="9" t="s">
        <v>40</v>
      </c>
      <c r="G100" s="9" t="s">
        <v>764</v>
      </c>
      <c r="H100" s="42" t="s">
        <v>774</v>
      </c>
      <c r="I100" s="9">
        <v>100</v>
      </c>
      <c r="J100" s="9" t="s">
        <v>775</v>
      </c>
      <c r="K100" s="9" t="s">
        <v>456</v>
      </c>
      <c r="L100" s="39">
        <v>0.306089</v>
      </c>
      <c r="M100" s="39">
        <v>0.33440399999999998</v>
      </c>
      <c r="N100" s="9" t="s">
        <v>457</v>
      </c>
      <c r="O100" s="9">
        <v>0.87725500000000001</v>
      </c>
      <c r="P100" s="9">
        <v>1.0326470000000001</v>
      </c>
    </row>
    <row r="101" spans="2:16" x14ac:dyDescent="0.2">
      <c r="B101" s="9" t="s">
        <v>776</v>
      </c>
      <c r="C101" s="9">
        <v>6</v>
      </c>
      <c r="D101" s="9">
        <v>5</v>
      </c>
      <c r="E101" s="9" t="s">
        <v>52</v>
      </c>
      <c r="F101" s="9" t="s">
        <v>24</v>
      </c>
      <c r="G101" s="9" t="s">
        <v>764</v>
      </c>
      <c r="H101" s="42" t="s">
        <v>777</v>
      </c>
      <c r="I101" s="9">
        <v>100</v>
      </c>
      <c r="J101" s="9" t="s">
        <v>778</v>
      </c>
      <c r="K101" s="9" t="s">
        <v>456</v>
      </c>
      <c r="L101" s="39">
        <v>0.26824599999999998</v>
      </c>
      <c r="M101" s="39">
        <v>0.29281800000000002</v>
      </c>
      <c r="N101" s="9" t="s">
        <v>457</v>
      </c>
      <c r="O101" s="9">
        <v>0.72638000000000003</v>
      </c>
      <c r="P101" s="9">
        <v>0.85385200000000006</v>
      </c>
    </row>
    <row r="102" spans="2:16" x14ac:dyDescent="0.2">
      <c r="B102" s="9" t="s">
        <v>779</v>
      </c>
      <c r="C102" s="9">
        <v>6</v>
      </c>
      <c r="D102" s="9">
        <v>6</v>
      </c>
      <c r="E102" s="9" t="s">
        <v>52</v>
      </c>
      <c r="F102" s="9" t="s">
        <v>36</v>
      </c>
      <c r="G102" s="9" t="s">
        <v>764</v>
      </c>
      <c r="H102" s="42" t="s">
        <v>780</v>
      </c>
      <c r="I102" s="9">
        <v>100</v>
      </c>
      <c r="J102" s="9" t="s">
        <v>781</v>
      </c>
      <c r="K102" s="9" t="s">
        <v>456</v>
      </c>
      <c r="L102" s="39">
        <v>0.358045</v>
      </c>
      <c r="M102" s="39">
        <v>0.36548000000000003</v>
      </c>
      <c r="N102" s="9" t="s">
        <v>457</v>
      </c>
      <c r="O102" s="9">
        <v>1.1325289999999999</v>
      </c>
      <c r="P102" s="9">
        <v>1.177521</v>
      </c>
    </row>
    <row r="103" spans="2:16" x14ac:dyDescent="0.2">
      <c r="B103" s="9" t="s">
        <v>782</v>
      </c>
      <c r="C103" s="9">
        <v>6</v>
      </c>
      <c r="D103" s="9">
        <v>7</v>
      </c>
      <c r="E103" s="9" t="s">
        <v>52</v>
      </c>
      <c r="F103" s="9" t="s">
        <v>38</v>
      </c>
      <c r="G103" s="9" t="s">
        <v>764</v>
      </c>
      <c r="H103" s="42" t="s">
        <v>783</v>
      </c>
      <c r="I103" s="9">
        <v>100</v>
      </c>
      <c r="J103" s="9" t="s">
        <v>784</v>
      </c>
      <c r="K103" s="9" t="s">
        <v>456</v>
      </c>
      <c r="L103" s="39">
        <v>0.29150900000000002</v>
      </c>
      <c r="M103" s="39">
        <v>0.30399599999999999</v>
      </c>
      <c r="N103" s="9" t="s">
        <v>457</v>
      </c>
      <c r="O103" s="9">
        <v>0.83263299999999996</v>
      </c>
      <c r="P103" s="9">
        <v>0.90340600000000004</v>
      </c>
    </row>
    <row r="104" spans="2:16" x14ac:dyDescent="0.2">
      <c r="B104" s="9" t="s">
        <v>785</v>
      </c>
      <c r="C104" s="9">
        <v>6</v>
      </c>
      <c r="D104" s="9">
        <v>8</v>
      </c>
      <c r="E104" s="9" t="s">
        <v>52</v>
      </c>
      <c r="F104" s="9" t="s">
        <v>40</v>
      </c>
      <c r="G104" s="9" t="s">
        <v>764</v>
      </c>
      <c r="H104" s="42" t="s">
        <v>786</v>
      </c>
      <c r="I104" s="9">
        <v>100</v>
      </c>
      <c r="J104" s="9" t="s">
        <v>787</v>
      </c>
      <c r="K104" s="9" t="s">
        <v>456</v>
      </c>
      <c r="L104" s="39">
        <v>0.30830400000000002</v>
      </c>
      <c r="M104" s="39">
        <v>0.33482400000000001</v>
      </c>
      <c r="N104" s="9" t="s">
        <v>457</v>
      </c>
      <c r="O104" s="9">
        <v>0.89066699999999999</v>
      </c>
      <c r="P104" s="9">
        <v>1.0373790000000001</v>
      </c>
    </row>
    <row r="105" spans="2:16" x14ac:dyDescent="0.2">
      <c r="B105" s="9" t="s">
        <v>788</v>
      </c>
      <c r="C105" s="9">
        <v>6</v>
      </c>
      <c r="D105" s="9">
        <v>9</v>
      </c>
      <c r="E105" s="9" t="s">
        <v>7</v>
      </c>
      <c r="F105" s="9" t="s">
        <v>24</v>
      </c>
      <c r="G105" s="9" t="s">
        <v>764</v>
      </c>
      <c r="H105" s="42" t="s">
        <v>789</v>
      </c>
      <c r="I105" s="9">
        <v>100</v>
      </c>
      <c r="J105" s="9" t="s">
        <v>790</v>
      </c>
      <c r="K105" s="9" t="s">
        <v>456</v>
      </c>
      <c r="L105" s="39">
        <v>0.26824599999999998</v>
      </c>
      <c r="M105" s="39">
        <v>0.29281800000000002</v>
      </c>
      <c r="N105" s="9" t="s">
        <v>457</v>
      </c>
      <c r="O105" s="9">
        <v>0.72638000000000003</v>
      </c>
      <c r="P105" s="9">
        <v>0.85385200000000006</v>
      </c>
    </row>
    <row r="106" spans="2:16" x14ac:dyDescent="0.2">
      <c r="B106" s="9" t="s">
        <v>791</v>
      </c>
      <c r="C106" s="9">
        <v>6</v>
      </c>
      <c r="D106" s="9">
        <v>10</v>
      </c>
      <c r="E106" s="9" t="s">
        <v>7</v>
      </c>
      <c r="F106" s="9" t="s">
        <v>36</v>
      </c>
      <c r="G106" s="9" t="s">
        <v>764</v>
      </c>
      <c r="H106" s="42" t="s">
        <v>792</v>
      </c>
      <c r="I106" s="9">
        <v>100</v>
      </c>
      <c r="J106" s="9" t="s">
        <v>793</v>
      </c>
      <c r="K106" s="9" t="s">
        <v>456</v>
      </c>
      <c r="L106" s="39">
        <v>0.358045</v>
      </c>
      <c r="M106" s="39">
        <v>0.36548000000000003</v>
      </c>
      <c r="N106" s="9" t="s">
        <v>457</v>
      </c>
      <c r="O106" s="9">
        <v>1.1325289999999999</v>
      </c>
      <c r="P106" s="9">
        <v>1.177521</v>
      </c>
    </row>
    <row r="107" spans="2:16" x14ac:dyDescent="0.2">
      <c r="B107" s="9" t="s">
        <v>794</v>
      </c>
      <c r="C107" s="9">
        <v>6</v>
      </c>
      <c r="D107" s="9">
        <v>11</v>
      </c>
      <c r="E107" s="9" t="s">
        <v>7</v>
      </c>
      <c r="F107" s="9" t="s">
        <v>38</v>
      </c>
      <c r="G107" s="9" t="s">
        <v>764</v>
      </c>
      <c r="H107" s="42" t="s">
        <v>795</v>
      </c>
      <c r="I107" s="9">
        <v>100</v>
      </c>
      <c r="J107" s="9" t="s">
        <v>796</v>
      </c>
      <c r="K107" s="9" t="s">
        <v>456</v>
      </c>
      <c r="L107" s="39">
        <v>0.29150900000000002</v>
      </c>
      <c r="M107" s="39">
        <v>0.30399599999999999</v>
      </c>
      <c r="N107" s="9" t="s">
        <v>457</v>
      </c>
      <c r="O107" s="9">
        <v>0.83263299999999996</v>
      </c>
      <c r="P107" s="9">
        <v>0.90340600000000004</v>
      </c>
    </row>
    <row r="108" spans="2:16" x14ac:dyDescent="0.2">
      <c r="B108" s="9" t="s">
        <v>797</v>
      </c>
      <c r="C108" s="9">
        <v>6</v>
      </c>
      <c r="D108" s="9">
        <v>12</v>
      </c>
      <c r="E108" s="9" t="s">
        <v>7</v>
      </c>
      <c r="F108" s="9" t="s">
        <v>40</v>
      </c>
      <c r="G108" s="9" t="s">
        <v>764</v>
      </c>
      <c r="H108" s="42" t="s">
        <v>798</v>
      </c>
      <c r="I108" s="9">
        <v>100</v>
      </c>
      <c r="J108" s="9" t="s">
        <v>799</v>
      </c>
      <c r="K108" s="9" t="s">
        <v>456</v>
      </c>
      <c r="L108" s="39">
        <v>0.30830400000000002</v>
      </c>
      <c r="M108" s="39">
        <v>0.33482400000000001</v>
      </c>
      <c r="N108" s="9" t="s">
        <v>457</v>
      </c>
      <c r="O108" s="9">
        <v>0.89066699999999999</v>
      </c>
      <c r="P108" s="9">
        <v>1.0373790000000001</v>
      </c>
    </row>
    <row r="109" spans="2:16" x14ac:dyDescent="0.2">
      <c r="B109" s="11" t="s">
        <v>800</v>
      </c>
      <c r="C109" s="11">
        <v>6</v>
      </c>
      <c r="D109" s="11">
        <v>13</v>
      </c>
      <c r="E109" s="11" t="s">
        <v>35</v>
      </c>
      <c r="F109" s="11" t="s">
        <v>24</v>
      </c>
      <c r="G109" s="11" t="s">
        <v>764</v>
      </c>
      <c r="H109" s="46" t="s">
        <v>801</v>
      </c>
      <c r="I109" s="11">
        <v>100</v>
      </c>
      <c r="J109" s="11" t="s">
        <v>802</v>
      </c>
      <c r="K109" s="11" t="s">
        <v>456</v>
      </c>
      <c r="L109" s="40">
        <v>0.26493100000000003</v>
      </c>
      <c r="M109" s="40">
        <v>0.29167500000000002</v>
      </c>
      <c r="N109" s="11" t="s">
        <v>457</v>
      </c>
      <c r="O109" s="11">
        <v>0.70823599999999998</v>
      </c>
      <c r="P109" s="11">
        <v>0.84572599999999998</v>
      </c>
    </row>
    <row r="110" spans="2:16" x14ac:dyDescent="0.2">
      <c r="B110" s="9" t="s">
        <v>803</v>
      </c>
      <c r="C110" s="9">
        <v>6</v>
      </c>
      <c r="D110" s="9">
        <v>1</v>
      </c>
      <c r="E110" s="9" t="s">
        <v>23</v>
      </c>
      <c r="F110" s="9" t="s">
        <v>24</v>
      </c>
      <c r="G110" s="9" t="s">
        <v>804</v>
      </c>
      <c r="H110" s="42" t="s">
        <v>805</v>
      </c>
      <c r="I110" s="9">
        <v>100</v>
      </c>
      <c r="J110" s="9" t="s">
        <v>806</v>
      </c>
      <c r="K110" s="9" t="s">
        <v>456</v>
      </c>
      <c r="L110" s="39">
        <v>0.323494</v>
      </c>
      <c r="M110" s="39">
        <v>0.32763300000000001</v>
      </c>
      <c r="N110" s="9" t="s">
        <v>457</v>
      </c>
      <c r="O110" s="9">
        <v>0.97119900000000003</v>
      </c>
      <c r="P110" s="9">
        <v>0.99619599999999997</v>
      </c>
    </row>
    <row r="111" spans="2:16" x14ac:dyDescent="0.2">
      <c r="B111" s="9" t="s">
        <v>807</v>
      </c>
      <c r="C111" s="9">
        <v>6</v>
      </c>
      <c r="D111" s="9">
        <v>2</v>
      </c>
      <c r="E111" s="9" t="s">
        <v>35</v>
      </c>
      <c r="F111" s="9" t="s">
        <v>36</v>
      </c>
      <c r="G111" s="9" t="s">
        <v>804</v>
      </c>
      <c r="H111" s="42" t="s">
        <v>808</v>
      </c>
      <c r="I111" s="9">
        <v>100</v>
      </c>
      <c r="J111" s="9" t="s">
        <v>809</v>
      </c>
      <c r="K111" s="9" t="s">
        <v>456</v>
      </c>
      <c r="L111" s="39">
        <v>0.35768699999999998</v>
      </c>
      <c r="M111" s="39">
        <v>0.36414000000000002</v>
      </c>
      <c r="N111" s="9" t="s">
        <v>457</v>
      </c>
      <c r="O111" s="9">
        <v>1.130169</v>
      </c>
      <c r="P111" s="9">
        <v>1.1683920000000001</v>
      </c>
    </row>
    <row r="112" spans="2:16" x14ac:dyDescent="0.2">
      <c r="B112" s="9" t="s">
        <v>810</v>
      </c>
      <c r="C112" s="9">
        <v>6</v>
      </c>
      <c r="D112" s="9">
        <v>3</v>
      </c>
      <c r="E112" s="9" t="s">
        <v>35</v>
      </c>
      <c r="F112" s="9" t="s">
        <v>38</v>
      </c>
      <c r="G112" s="9" t="s">
        <v>804</v>
      </c>
      <c r="H112" s="42" t="s">
        <v>811</v>
      </c>
      <c r="I112" s="9">
        <v>100</v>
      </c>
      <c r="J112" s="9" t="s">
        <v>772</v>
      </c>
      <c r="K112" s="9" t="s">
        <v>456</v>
      </c>
      <c r="L112" s="39">
        <v>0.27264500000000003</v>
      </c>
      <c r="M112" s="39">
        <v>0.301452</v>
      </c>
      <c r="N112" s="9" t="s">
        <v>457</v>
      </c>
      <c r="O112" s="9">
        <v>0.73757899999999998</v>
      </c>
      <c r="P112" s="9">
        <v>0.89269900000000002</v>
      </c>
    </row>
    <row r="113" spans="2:16" x14ac:dyDescent="0.2">
      <c r="B113" s="9" t="s">
        <v>812</v>
      </c>
      <c r="C113" s="9">
        <v>6</v>
      </c>
      <c r="D113" s="9">
        <v>4</v>
      </c>
      <c r="E113" s="9" t="s">
        <v>35</v>
      </c>
      <c r="F113" s="9" t="s">
        <v>40</v>
      </c>
      <c r="G113" s="9" t="s">
        <v>804</v>
      </c>
      <c r="H113" s="42" t="s">
        <v>813</v>
      </c>
      <c r="I113" s="9">
        <v>100</v>
      </c>
      <c r="J113" s="9" t="s">
        <v>814</v>
      </c>
      <c r="K113" s="9" t="s">
        <v>456</v>
      </c>
      <c r="L113" s="39">
        <v>0.30615199999999998</v>
      </c>
      <c r="M113" s="39">
        <v>0.33440500000000001</v>
      </c>
      <c r="N113" s="9" t="s">
        <v>457</v>
      </c>
      <c r="O113" s="9">
        <v>0.87678800000000001</v>
      </c>
      <c r="P113" s="9">
        <v>1.0323610000000001</v>
      </c>
    </row>
    <row r="114" spans="2:16" x14ac:dyDescent="0.2">
      <c r="B114" s="9" t="s">
        <v>815</v>
      </c>
      <c r="C114" s="9">
        <v>6</v>
      </c>
      <c r="D114" s="9">
        <v>5</v>
      </c>
      <c r="E114" s="9" t="s">
        <v>52</v>
      </c>
      <c r="F114" s="9" t="s">
        <v>24</v>
      </c>
      <c r="G114" s="9" t="s">
        <v>804</v>
      </c>
      <c r="H114" s="42" t="s">
        <v>816</v>
      </c>
      <c r="I114" s="9">
        <v>100</v>
      </c>
      <c r="J114" s="9" t="s">
        <v>817</v>
      </c>
      <c r="K114" s="9" t="s">
        <v>456</v>
      </c>
      <c r="L114" s="39">
        <v>0.26824599999999998</v>
      </c>
      <c r="M114" s="39">
        <v>0.29281800000000002</v>
      </c>
      <c r="N114" s="9" t="s">
        <v>457</v>
      </c>
      <c r="O114" s="9">
        <v>0.72638000000000003</v>
      </c>
      <c r="P114" s="9">
        <v>0.85385200000000006</v>
      </c>
    </row>
    <row r="115" spans="2:16" x14ac:dyDescent="0.2">
      <c r="B115" s="9" t="s">
        <v>818</v>
      </c>
      <c r="C115" s="9">
        <v>6</v>
      </c>
      <c r="D115" s="9">
        <v>6</v>
      </c>
      <c r="E115" s="9" t="s">
        <v>52</v>
      </c>
      <c r="F115" s="9" t="s">
        <v>36</v>
      </c>
      <c r="G115" s="9" t="s">
        <v>804</v>
      </c>
      <c r="H115" s="42" t="s">
        <v>819</v>
      </c>
      <c r="I115" s="9">
        <v>100</v>
      </c>
      <c r="J115" s="9" t="s">
        <v>820</v>
      </c>
      <c r="K115" s="9" t="s">
        <v>456</v>
      </c>
      <c r="L115" s="39">
        <v>0.35811100000000001</v>
      </c>
      <c r="M115" s="39">
        <v>0.36569800000000002</v>
      </c>
      <c r="N115" s="9" t="s">
        <v>457</v>
      </c>
      <c r="O115" s="9">
        <v>1.132682</v>
      </c>
      <c r="P115" s="9">
        <v>1.1781509999999999</v>
      </c>
    </row>
    <row r="116" spans="2:16" x14ac:dyDescent="0.2">
      <c r="B116" s="9" t="s">
        <v>821</v>
      </c>
      <c r="C116" s="9">
        <v>6</v>
      </c>
      <c r="D116" s="9">
        <v>7</v>
      </c>
      <c r="E116" s="9" t="s">
        <v>52</v>
      </c>
      <c r="F116" s="9" t="s">
        <v>38</v>
      </c>
      <c r="G116" s="9" t="s">
        <v>804</v>
      </c>
      <c r="H116" s="42" t="s">
        <v>822</v>
      </c>
      <c r="I116" s="9">
        <v>100</v>
      </c>
      <c r="J116" s="9" t="s">
        <v>823</v>
      </c>
      <c r="K116" s="9" t="s">
        <v>456</v>
      </c>
      <c r="L116" s="39">
        <v>0.29150900000000002</v>
      </c>
      <c r="M116" s="39">
        <v>0.30399599999999999</v>
      </c>
      <c r="N116" s="9" t="s">
        <v>457</v>
      </c>
      <c r="O116" s="9">
        <v>0.83263299999999996</v>
      </c>
      <c r="P116" s="9">
        <v>0.90340600000000004</v>
      </c>
    </row>
    <row r="117" spans="2:16" x14ac:dyDescent="0.2">
      <c r="B117" s="9" t="s">
        <v>824</v>
      </c>
      <c r="C117" s="9">
        <v>6</v>
      </c>
      <c r="D117" s="9">
        <v>8</v>
      </c>
      <c r="E117" s="9" t="s">
        <v>52</v>
      </c>
      <c r="F117" s="9" t="s">
        <v>40</v>
      </c>
      <c r="G117" s="9" t="s">
        <v>804</v>
      </c>
      <c r="H117" s="42" t="s">
        <v>825</v>
      </c>
      <c r="I117" s="9">
        <v>100</v>
      </c>
      <c r="J117" s="9" t="s">
        <v>826</v>
      </c>
      <c r="K117" s="9" t="s">
        <v>456</v>
      </c>
      <c r="L117" s="39">
        <v>0.30830400000000002</v>
      </c>
      <c r="M117" s="39">
        <v>0.33482400000000001</v>
      </c>
      <c r="N117" s="9" t="s">
        <v>457</v>
      </c>
      <c r="O117" s="9">
        <v>0.89066699999999999</v>
      </c>
      <c r="P117" s="9">
        <v>1.0373790000000001</v>
      </c>
    </row>
    <row r="118" spans="2:16" x14ac:dyDescent="0.2">
      <c r="B118" s="9" t="s">
        <v>827</v>
      </c>
      <c r="C118" s="9">
        <v>6</v>
      </c>
      <c r="D118" s="9">
        <v>9</v>
      </c>
      <c r="E118" s="9" t="s">
        <v>7</v>
      </c>
      <c r="F118" s="9" t="s">
        <v>24</v>
      </c>
      <c r="G118" s="9" t="s">
        <v>804</v>
      </c>
      <c r="H118" s="42" t="s">
        <v>828</v>
      </c>
      <c r="I118" s="9">
        <v>100</v>
      </c>
      <c r="J118" s="9" t="s">
        <v>778</v>
      </c>
      <c r="K118" s="9" t="s">
        <v>456</v>
      </c>
      <c r="L118" s="39">
        <v>0.26824599999999998</v>
      </c>
      <c r="M118" s="39">
        <v>0.29281800000000002</v>
      </c>
      <c r="N118" s="9" t="s">
        <v>457</v>
      </c>
      <c r="O118" s="9">
        <v>0.72638000000000003</v>
      </c>
      <c r="P118" s="9">
        <v>0.85385200000000006</v>
      </c>
    </row>
    <row r="119" spans="2:16" x14ac:dyDescent="0.2">
      <c r="B119" s="9" t="s">
        <v>829</v>
      </c>
      <c r="C119" s="9">
        <v>6</v>
      </c>
      <c r="D119" s="9">
        <v>10</v>
      </c>
      <c r="E119" s="9" t="s">
        <v>7</v>
      </c>
      <c r="F119" s="9" t="s">
        <v>36</v>
      </c>
      <c r="G119" s="9" t="s">
        <v>804</v>
      </c>
      <c r="H119" s="42" t="s">
        <v>830</v>
      </c>
      <c r="I119" s="9">
        <v>100</v>
      </c>
      <c r="J119" s="9" t="s">
        <v>831</v>
      </c>
      <c r="K119" s="9" t="s">
        <v>456</v>
      </c>
      <c r="L119" s="39">
        <v>0.35811100000000001</v>
      </c>
      <c r="M119" s="39">
        <v>0.36569800000000002</v>
      </c>
      <c r="N119" s="9" t="s">
        <v>457</v>
      </c>
      <c r="O119" s="9">
        <v>1.132682</v>
      </c>
      <c r="P119" s="9">
        <v>1.1781509999999999</v>
      </c>
    </row>
    <row r="120" spans="2:16" x14ac:dyDescent="0.2">
      <c r="B120" s="9" t="s">
        <v>832</v>
      </c>
      <c r="C120" s="9">
        <v>6</v>
      </c>
      <c r="D120" s="9">
        <v>11</v>
      </c>
      <c r="E120" s="9" t="s">
        <v>7</v>
      </c>
      <c r="F120" s="9" t="s">
        <v>38</v>
      </c>
      <c r="G120" s="9" t="s">
        <v>804</v>
      </c>
      <c r="H120" s="42" t="s">
        <v>833</v>
      </c>
      <c r="I120" s="9">
        <v>100</v>
      </c>
      <c r="J120" s="9" t="s">
        <v>834</v>
      </c>
      <c r="K120" s="9" t="s">
        <v>456</v>
      </c>
      <c r="L120" s="39">
        <v>0.29150900000000002</v>
      </c>
      <c r="M120" s="39">
        <v>0.30399599999999999</v>
      </c>
      <c r="N120" s="9" t="s">
        <v>457</v>
      </c>
      <c r="O120" s="9">
        <v>0.83263299999999996</v>
      </c>
      <c r="P120" s="9">
        <v>0.90340600000000004</v>
      </c>
    </row>
    <row r="121" spans="2:16" x14ac:dyDescent="0.2">
      <c r="B121" s="9" t="s">
        <v>835</v>
      </c>
      <c r="C121" s="9">
        <v>6</v>
      </c>
      <c r="D121" s="9">
        <v>12</v>
      </c>
      <c r="E121" s="9" t="s">
        <v>7</v>
      </c>
      <c r="F121" s="9" t="s">
        <v>40</v>
      </c>
      <c r="G121" s="9" t="s">
        <v>804</v>
      </c>
      <c r="H121" s="42" t="s">
        <v>836</v>
      </c>
      <c r="I121" s="9">
        <v>100</v>
      </c>
      <c r="J121" s="9" t="s">
        <v>799</v>
      </c>
      <c r="K121" s="9" t="s">
        <v>456</v>
      </c>
      <c r="L121" s="39">
        <v>0.30830400000000002</v>
      </c>
      <c r="M121" s="39">
        <v>0.33482400000000001</v>
      </c>
      <c r="N121" s="9" t="s">
        <v>457</v>
      </c>
      <c r="O121" s="9">
        <v>0.89066699999999999</v>
      </c>
      <c r="P121" s="9">
        <v>1.0373790000000001</v>
      </c>
    </row>
    <row r="122" spans="2:16" x14ac:dyDescent="0.2">
      <c r="B122" s="12" t="s">
        <v>837</v>
      </c>
      <c r="C122" s="12">
        <v>6</v>
      </c>
      <c r="D122" s="12">
        <v>13</v>
      </c>
      <c r="E122" s="12" t="s">
        <v>35</v>
      </c>
      <c r="F122" s="12" t="s">
        <v>24</v>
      </c>
      <c r="G122" s="12" t="s">
        <v>804</v>
      </c>
      <c r="H122" s="42" t="s">
        <v>838</v>
      </c>
      <c r="I122" s="12">
        <v>100</v>
      </c>
      <c r="J122" s="12" t="s">
        <v>839</v>
      </c>
      <c r="K122" s="12" t="s">
        <v>456</v>
      </c>
      <c r="L122" s="41">
        <v>0.26492100000000002</v>
      </c>
      <c r="M122" s="41">
        <v>0.29173399999999999</v>
      </c>
      <c r="N122" s="12" t="s">
        <v>457</v>
      </c>
      <c r="O122" s="12">
        <v>0.70819600000000005</v>
      </c>
      <c r="P122" s="12">
        <v>0.84640099999999996</v>
      </c>
    </row>
  </sheetData>
  <conditionalFormatting sqref="L18:L96">
    <cfRule type="colorScale" priority="5">
      <colorScale>
        <cfvo type="min"/>
        <cfvo type="max"/>
        <color theme="4" tint="0.39997558519241921"/>
        <color theme="2"/>
      </colorScale>
    </cfRule>
  </conditionalFormatting>
  <conditionalFormatting sqref="M18:M96">
    <cfRule type="colorScale" priority="4">
      <colorScale>
        <cfvo type="min"/>
        <cfvo type="max"/>
        <color theme="4" tint="0.39997558519241921"/>
        <color theme="2"/>
      </colorScale>
    </cfRule>
  </conditionalFormatting>
  <conditionalFormatting sqref="O18:O96">
    <cfRule type="colorScale" priority="2">
      <colorScale>
        <cfvo type="min"/>
        <cfvo type="max"/>
        <color theme="4" tint="0.39997558519241921"/>
        <color theme="2"/>
      </colorScale>
    </cfRule>
  </conditionalFormatting>
  <conditionalFormatting sqref="P18:P96">
    <cfRule type="colorScale" priority="1">
      <colorScale>
        <cfvo type="min"/>
        <cfvo type="max"/>
        <color theme="4" tint="0.39997558519241921"/>
        <color theme="2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BI65"/>
  <sheetViews>
    <sheetView showGridLines="0" zoomScale="75" workbookViewId="0"/>
  </sheetViews>
  <sheetFormatPr baseColWidth="10" defaultColWidth="8.83203125" defaultRowHeight="15" x14ac:dyDescent="0.2"/>
  <cols>
    <col min="1" max="1" width="3.5" customWidth="1"/>
    <col min="2" max="2" width="23.1640625" bestFit="1" customWidth="1"/>
    <col min="3" max="3" width="15.5" bestFit="1" customWidth="1"/>
    <col min="5" max="5" width="11.1640625" bestFit="1" customWidth="1"/>
    <col min="8" max="8" width="11.1640625" bestFit="1" customWidth="1"/>
  </cols>
  <sheetData>
    <row r="1" spans="1:6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</row>
    <row r="2" spans="1:61" s="8" customFormat="1" ht="22" customHeight="1" x14ac:dyDescent="0.3">
      <c r="B2" s="8" t="s">
        <v>439</v>
      </c>
    </row>
    <row r="3" spans="1:61" s="1" customFormat="1" x14ac:dyDescent="0.2"/>
    <row r="5" spans="1:61" s="1" customFormat="1" x14ac:dyDescent="0.2">
      <c r="B5" s="1" t="s">
        <v>440</v>
      </c>
    </row>
    <row r="7" spans="1:61" x14ac:dyDescent="0.2">
      <c r="B7" s="1" t="s">
        <v>441</v>
      </c>
      <c r="C7" s="13" t="s">
        <v>442</v>
      </c>
      <c r="E7" s="1" t="s">
        <v>17</v>
      </c>
      <c r="F7" s="4" t="e">
        <f>INDEX('General inputs'!$B$5:$M$1048576, MATCH($C$7, 'General inputs'!$B$5:$B$1048576, 0), MATCH($E$7, 'General inputs'!$B$5:$M$5, 0))</f>
        <v>#N/A</v>
      </c>
      <c r="H7" s="1" t="s">
        <v>20</v>
      </c>
      <c r="I7" s="4" t="e">
        <f>INDEX('General inputs'!$B$5:$M$1048576, MATCH($C$7, 'General inputs'!$B$5:$B$1048576, 0), MATCH($H$7, 'General inputs'!$B$5:$M$5, 0))</f>
        <v>#N/A</v>
      </c>
    </row>
    <row r="8" spans="1:61" ht="3" customHeight="1" x14ac:dyDescent="0.2"/>
    <row r="9" spans="1:61" x14ac:dyDescent="0.2">
      <c r="B9" s="1" t="s">
        <v>16</v>
      </c>
      <c r="C9" s="4" t="e">
        <f>INDEX('General inputs'!$B$5:$M$1048576, MATCH($C$7, 'General inputs'!$B$5:$B$1048576, 0), MATCH($B$9, 'General inputs'!$B$5:$M$5, 0))</f>
        <v>#N/A</v>
      </c>
      <c r="E9" s="1" t="s">
        <v>18</v>
      </c>
      <c r="F9" s="19" t="e">
        <f>INDEX('General inputs'!$B$5:$M$1048576, MATCH($C$7, 'General inputs'!$B$5:$B$1048576, 0), MATCH($E$9, 'General inputs'!$B$5:$M$5, 0))</f>
        <v>#N/A</v>
      </c>
      <c r="H9" s="1" t="s">
        <v>21</v>
      </c>
      <c r="I9" s="4" t="e">
        <f>INDEX('General inputs'!$B$5:$M$1048576, MATCH($C$7, 'General inputs'!$B$5:$B$1048576, 0), MATCH($H$9, 'General inputs'!$B$5:$M$5, 0))</f>
        <v>#N/A</v>
      </c>
    </row>
    <row r="10" spans="1:61" ht="3" customHeight="1" x14ac:dyDescent="0.2">
      <c r="F10" s="20"/>
    </row>
    <row r="11" spans="1:61" x14ac:dyDescent="0.2">
      <c r="B11" s="1" t="s">
        <v>443</v>
      </c>
      <c r="C11" s="4" t="e">
        <f>INDEX('General inputs'!$B$5:$M$1048576, MATCH($C$7, 'General inputs'!$B$5:$B$1048576, 0), MATCH($B$11, 'General inputs'!$B$5:$M$5, 0))</f>
        <v>#N/A</v>
      </c>
      <c r="E11" s="1" t="s">
        <v>19</v>
      </c>
      <c r="F11" s="19" t="e">
        <f>INDEX('General inputs'!$B$5:$M$1048576, MATCH($C$7, 'General inputs'!$B$5:$B$1048576, 0), MATCH($E$11, 'General inputs'!$B$5:$M$5, 0))</f>
        <v>#N/A</v>
      </c>
      <c r="H11" s="1" t="s">
        <v>22</v>
      </c>
      <c r="I11" s="4" t="e">
        <f>INDEX('General inputs'!$B$5:$M$1048576, MATCH($C$7, 'General inputs'!$B$5:$B$1048576, 0), MATCH($H$11, 'General inputs'!$B$5:$M$5, 0))</f>
        <v>#N/A</v>
      </c>
    </row>
    <row r="12" spans="1:61" ht="3" customHeight="1" x14ac:dyDescent="0.2">
      <c r="F12" s="20"/>
    </row>
    <row r="13" spans="1:61" x14ac:dyDescent="0.2">
      <c r="B13" s="1" t="s">
        <v>444</v>
      </c>
      <c r="C13" s="4" t="e">
        <f>INDEX('General inputs'!$B$5:$M$1048576, MATCH($C$7, 'General inputs'!$B$5:$B$1048576, 0), MATCH($B$13, 'General inputs'!$B$5:$M$5, 0))</f>
        <v>#N/A</v>
      </c>
      <c r="F13" s="20"/>
    </row>
    <row r="14" spans="1:61" ht="3" customHeight="1" x14ac:dyDescent="0.2">
      <c r="B14" s="18"/>
    </row>
    <row r="15" spans="1:61" x14ac:dyDescent="0.2">
      <c r="B15" s="1" t="s">
        <v>15</v>
      </c>
      <c r="C15" s="4" t="e">
        <f>INDEX('General inputs'!$B$5:$M$1048576, MATCH($C$7, 'General inputs'!$B$5:$B$1048576, 0), MATCH($B$15, 'General inputs'!$B$5:$M$5, 0))</f>
        <v>#N/A</v>
      </c>
    </row>
    <row r="17" spans="2:15" x14ac:dyDescent="0.2">
      <c r="B17" s="1" t="s">
        <v>12</v>
      </c>
      <c r="C17" s="4" t="e">
        <f>INDEX('General inputs'!$B$5:$M$1048576, MATCH($C$7, 'General inputs'!$B$5:$B$1048576, 0), MATCH($B$17, 'General inputs'!$B$5:$M$5, 0))</f>
        <v>#N/A</v>
      </c>
    </row>
    <row r="20" spans="2:15" s="1" customFormat="1" x14ac:dyDescent="0.2">
      <c r="B20" s="1" t="s">
        <v>445</v>
      </c>
    </row>
    <row r="22" spans="2:15" x14ac:dyDescent="0.2">
      <c r="D22" s="26" t="s">
        <v>446</v>
      </c>
      <c r="E22" s="26"/>
      <c r="F22" s="26"/>
      <c r="G22" s="26"/>
      <c r="H22" s="26"/>
      <c r="K22" s="26" t="s">
        <v>447</v>
      </c>
      <c r="L22" s="26"/>
      <c r="M22" s="26"/>
      <c r="N22" s="26"/>
      <c r="O22" s="26"/>
    </row>
    <row r="23" spans="2:15" ht="3" customHeight="1" x14ac:dyDescent="0.2">
      <c r="D23" s="25"/>
      <c r="E23" s="25"/>
      <c r="F23" s="25"/>
      <c r="G23" s="25"/>
      <c r="H23" s="25"/>
      <c r="K23" s="25"/>
      <c r="L23" s="25"/>
      <c r="M23" s="25"/>
      <c r="N23" s="25"/>
      <c r="O23" s="25"/>
    </row>
    <row r="24" spans="2:15" x14ac:dyDescent="0.2">
      <c r="C24" s="27"/>
      <c r="D24" s="28">
        <v>1</v>
      </c>
      <c r="E24" s="28">
        <v>2</v>
      </c>
      <c r="F24" s="28">
        <v>3</v>
      </c>
      <c r="G24" s="28">
        <v>4</v>
      </c>
      <c r="H24" s="29">
        <v>5</v>
      </c>
      <c r="J24" s="27"/>
      <c r="K24" s="28">
        <v>1</v>
      </c>
      <c r="L24" s="28">
        <v>2</v>
      </c>
      <c r="M24" s="28">
        <v>3</v>
      </c>
      <c r="N24" s="28">
        <v>4</v>
      </c>
      <c r="O24" s="29">
        <v>5</v>
      </c>
    </row>
    <row r="25" spans="2:15" x14ac:dyDescent="0.2">
      <c r="C25" s="30">
        <f>C26+1</f>
        <v>5</v>
      </c>
      <c r="D25" s="31">
        <f>COUNTIFS(_xlfn.ANCHORARRAY(Dropdowns!$F$9), Dashboard!D$24, Dropdowns!$H$9:$H$307, Dashboard!$C25) / COUNTA(_xlfn.ANCHORARRAY(Dropdowns!$F$9))</f>
        <v>0</v>
      </c>
      <c r="E25" s="31">
        <f>COUNTIFS(_xlfn.ANCHORARRAY(Dropdowns!$F$9), Dashboard!E$24, Dropdowns!$H$9:$H$307, Dashboard!$C25) / COUNTA(_xlfn.ANCHORARRAY(Dropdowns!$F$9))</f>
        <v>0</v>
      </c>
      <c r="F25" s="31">
        <f>COUNTIFS(_xlfn.ANCHORARRAY(Dropdowns!$F$9), Dashboard!F$24, Dropdowns!$H$9:$H$307, Dashboard!$C25) / COUNTA(_xlfn.ANCHORARRAY(Dropdowns!$F$9))</f>
        <v>3.3444816053511705E-3</v>
      </c>
      <c r="G25" s="31">
        <f>COUNTIFS(_xlfn.ANCHORARRAY(Dropdowns!$F$9), Dashboard!G$24, Dropdowns!$H$9:$H$307, Dashboard!$C25) / COUNTA(_xlfn.ANCHORARRAY(Dropdowns!$F$9))</f>
        <v>3.3444816053511704E-2</v>
      </c>
      <c r="H25" s="32">
        <f>COUNTIFS(_xlfn.ANCHORARRAY(Dropdowns!$F$9), Dashboard!H$24, Dropdowns!$H$9:$H$307, Dashboard!$C25) / COUNTA(_xlfn.ANCHORARRAY(Dropdowns!$F$9))</f>
        <v>4.0133779264214048E-2</v>
      </c>
      <c r="J25" s="30">
        <f>C25</f>
        <v>5</v>
      </c>
      <c r="K25" s="31">
        <f>COUNTIFS(_xlfn.ANCHORARRAY(Dropdowns!$J$9), Dashboard!K$24, Dropdowns!$L$9:$L$307, Dashboard!$J25) / COUNTA(_xlfn.ANCHORARRAY(Dropdowns!$J$9))</f>
        <v>0</v>
      </c>
      <c r="L25" s="31">
        <f>COUNTIFS(_xlfn.ANCHORARRAY(Dropdowns!$J$9), Dashboard!L$24, Dropdowns!$L$9:$L$307, Dashboard!$J25) / COUNTA(_xlfn.ANCHORARRAY(Dropdowns!$J$9))</f>
        <v>0</v>
      </c>
      <c r="M25" s="31">
        <f>COUNTIFS(_xlfn.ANCHORARRAY(Dropdowns!$J$9), Dashboard!M$24, Dropdowns!$L$9:$L$307, Dashboard!$J25) / COUNTA(_xlfn.ANCHORARRAY(Dropdowns!$J$9))</f>
        <v>6.688963210702341E-3</v>
      </c>
      <c r="N25" s="31">
        <f>COUNTIFS(_xlfn.ANCHORARRAY(Dropdowns!$J$9), Dashboard!N$24, Dropdowns!$L$9:$L$307, Dashboard!$J25) / COUNTA(_xlfn.ANCHORARRAY(Dropdowns!$J$9))</f>
        <v>3.0100334448160536E-2</v>
      </c>
      <c r="O25" s="32">
        <f>COUNTIFS(_xlfn.ANCHORARRAY(Dropdowns!$J$9), Dashboard!O$24, Dropdowns!$L$9:$L$307, Dashboard!$J25) / COUNTA(_xlfn.ANCHORARRAY(Dropdowns!$J$9))</f>
        <v>6.6889632107023408E-2</v>
      </c>
    </row>
    <row r="26" spans="2:15" x14ac:dyDescent="0.2">
      <c r="C26" s="30">
        <f>C27+1</f>
        <v>4</v>
      </c>
      <c r="D26" s="31">
        <f>COUNTIFS(_xlfn.ANCHORARRAY(Dropdowns!$F$9), Dashboard!D$24, Dropdowns!$H$9:$H$307, Dashboard!$C26) / COUNTA(_xlfn.ANCHORARRAY(Dropdowns!$F$9))</f>
        <v>2.0066889632107024E-2</v>
      </c>
      <c r="E26" s="31">
        <f>COUNTIFS(_xlfn.ANCHORARRAY(Dropdowns!$F$9), Dashboard!E$24, Dropdowns!$H$9:$H$307, Dashboard!$C26) / COUNTA(_xlfn.ANCHORARRAY(Dropdowns!$F$9))</f>
        <v>3.0100334448160536E-2</v>
      </c>
      <c r="F26" s="31">
        <f>COUNTIFS(_xlfn.ANCHORARRAY(Dropdowns!$F$9), Dashboard!F$24, Dropdowns!$H$9:$H$307, Dashboard!$C26) / COUNTA(_xlfn.ANCHORARRAY(Dropdowns!$F$9))</f>
        <v>9.6989966555183951E-2</v>
      </c>
      <c r="G26" s="31">
        <f>COUNTIFS(_xlfn.ANCHORARRAY(Dropdowns!$F$9), Dashboard!G$24, Dropdowns!$H$9:$H$307, Dashboard!$C26) / COUNTA(_xlfn.ANCHORARRAY(Dropdowns!$F$9))</f>
        <v>0.23411371237458195</v>
      </c>
      <c r="H26" s="32">
        <f>COUNTIFS(_xlfn.ANCHORARRAY(Dropdowns!$F$9), Dashboard!H$24, Dropdowns!$H$9:$H$307, Dashboard!$C26) / COUNTA(_xlfn.ANCHORARRAY(Dropdowns!$F$9))</f>
        <v>0.21739130434782608</v>
      </c>
      <c r="J26" s="30">
        <f>C26</f>
        <v>4</v>
      </c>
      <c r="K26" s="31">
        <f>COUNTIFS(_xlfn.ANCHORARRAY(Dropdowns!$J$9), Dashboard!K$24, Dropdowns!$L$9:$L$307, Dashboard!$J26) / COUNTA(_xlfn.ANCHORARRAY(Dropdowns!$J$9))</f>
        <v>3.3444816053511704E-2</v>
      </c>
      <c r="L26" s="31">
        <f>COUNTIFS(_xlfn.ANCHORARRAY(Dropdowns!$J$9), Dashboard!L$24, Dropdowns!$L$9:$L$307, Dashboard!$J26) / COUNTA(_xlfn.ANCHORARRAY(Dropdowns!$J$9))</f>
        <v>4.3478260869565216E-2</v>
      </c>
      <c r="M26" s="31">
        <f>COUNTIFS(_xlfn.ANCHORARRAY(Dropdowns!$J$9), Dashboard!M$24, Dropdowns!$L$9:$L$307, Dashboard!$J26) / COUNTA(_xlfn.ANCHORARRAY(Dropdowns!$J$9))</f>
        <v>0.12040133779264214</v>
      </c>
      <c r="N26" s="31">
        <f>COUNTIFS(_xlfn.ANCHORARRAY(Dropdowns!$J$9), Dashboard!N$24, Dropdowns!$L$9:$L$307, Dashboard!$J26) / COUNTA(_xlfn.ANCHORARRAY(Dropdowns!$J$9))</f>
        <v>0.20401337792642141</v>
      </c>
      <c r="O26" s="32">
        <f>COUNTIFS(_xlfn.ANCHORARRAY(Dropdowns!$J$9), Dashboard!O$24, Dropdowns!$L$9:$L$307, Dashboard!$J26) / COUNTA(_xlfn.ANCHORARRAY(Dropdowns!$J$9))</f>
        <v>0.17391304347826086</v>
      </c>
    </row>
    <row r="27" spans="2:15" x14ac:dyDescent="0.2">
      <c r="C27" s="30">
        <f>C28+1</f>
        <v>3</v>
      </c>
      <c r="D27" s="31">
        <f>COUNTIFS(_xlfn.ANCHORARRAY(Dropdowns!$F$9), Dashboard!D$24, Dropdowns!$H$9:$H$307, Dashboard!$C27) / COUNTA(_xlfn.ANCHORARRAY(Dropdowns!$F$9))</f>
        <v>2.0066889632107024E-2</v>
      </c>
      <c r="E27" s="31">
        <f>COUNTIFS(_xlfn.ANCHORARRAY(Dropdowns!$F$9), Dashboard!E$24, Dropdowns!$H$9:$H$307, Dashboard!$C27) / COUNTA(_xlfn.ANCHORARRAY(Dropdowns!$F$9))</f>
        <v>2.0066889632107024E-2</v>
      </c>
      <c r="F27" s="31">
        <f>COUNTIFS(_xlfn.ANCHORARRAY(Dropdowns!$F$9), Dashboard!F$24, Dropdowns!$H$9:$H$307, Dashboard!$C27) / COUNTA(_xlfn.ANCHORARRAY(Dropdowns!$F$9))</f>
        <v>7.0234113712374577E-2</v>
      </c>
      <c r="G27" s="31">
        <f>COUNTIFS(_xlfn.ANCHORARRAY(Dropdowns!$F$9), Dashboard!G$24, Dropdowns!$H$9:$H$307, Dashboard!$C27) / COUNTA(_xlfn.ANCHORARRAY(Dropdowns!$F$9))</f>
        <v>7.3578595317725759E-2</v>
      </c>
      <c r="H27" s="32">
        <f>COUNTIFS(_xlfn.ANCHORARRAY(Dropdowns!$F$9), Dashboard!H$24, Dropdowns!$H$9:$H$307, Dashboard!$C27) / COUNTA(_xlfn.ANCHORARRAY(Dropdowns!$F$9))</f>
        <v>5.016722408026756E-2</v>
      </c>
      <c r="J27" s="30">
        <f>C27</f>
        <v>3</v>
      </c>
      <c r="K27" s="31">
        <f>COUNTIFS(_xlfn.ANCHORARRAY(Dropdowns!$J$9), Dashboard!K$24, Dropdowns!$L$9:$L$307, Dashboard!$J27) / COUNTA(_xlfn.ANCHORARRAY(Dropdowns!$J$9))</f>
        <v>2.0066889632107024E-2</v>
      </c>
      <c r="L27" s="31">
        <f>COUNTIFS(_xlfn.ANCHORARRAY(Dropdowns!$J$9), Dashboard!L$24, Dropdowns!$L$9:$L$307, Dashboard!$J27) / COUNTA(_xlfn.ANCHORARRAY(Dropdowns!$J$9))</f>
        <v>3.3444816053511704E-2</v>
      </c>
      <c r="M27" s="31">
        <f>COUNTIFS(_xlfn.ANCHORARRAY(Dropdowns!$J$9), Dashboard!M$24, Dropdowns!$L$9:$L$307, Dashboard!$J27) / COUNTA(_xlfn.ANCHORARRAY(Dropdowns!$J$9))</f>
        <v>7.6923076923076927E-2</v>
      </c>
      <c r="N27" s="31">
        <f>COUNTIFS(_xlfn.ANCHORARRAY(Dropdowns!$J$9), Dashboard!N$24, Dropdowns!$L$9:$L$307, Dashboard!$J27) / COUNTA(_xlfn.ANCHORARRAY(Dropdowns!$J$9))</f>
        <v>6.6889632107023408E-2</v>
      </c>
      <c r="O27" s="32">
        <f>COUNTIFS(_xlfn.ANCHORARRAY(Dropdowns!$J$9), Dashboard!O$24, Dropdowns!$L$9:$L$307, Dashboard!$J27) / COUNTA(_xlfn.ANCHORARRAY(Dropdowns!$J$9))</f>
        <v>3.3444816053511704E-2</v>
      </c>
    </row>
    <row r="28" spans="2:15" x14ac:dyDescent="0.2">
      <c r="C28" s="30">
        <f>C29+1</f>
        <v>2</v>
      </c>
      <c r="D28" s="31">
        <f>COUNTIFS(_xlfn.ANCHORARRAY(Dropdowns!$F$9), Dashboard!D$24, Dropdowns!$H$9:$H$307, Dashboard!$C28) / COUNTA(_xlfn.ANCHORARRAY(Dropdowns!$F$9))</f>
        <v>3.0100334448160536E-2</v>
      </c>
      <c r="E28" s="31">
        <f>COUNTIFS(_xlfn.ANCHORARRAY(Dropdowns!$F$9), Dashboard!E$24, Dropdowns!$H$9:$H$307, Dashboard!$C28) / COUNTA(_xlfn.ANCHORARRAY(Dropdowns!$F$9))</f>
        <v>3.0100334448160536E-2</v>
      </c>
      <c r="F28" s="31">
        <f>COUNTIFS(_xlfn.ANCHORARRAY(Dropdowns!$F$9), Dashboard!F$24, Dropdowns!$H$9:$H$307, Dashboard!$C28) / COUNTA(_xlfn.ANCHORARRAY(Dropdowns!$F$9))</f>
        <v>1.6722408026755852E-2</v>
      </c>
      <c r="G28" s="31">
        <f>COUNTIFS(_xlfn.ANCHORARRAY(Dropdowns!$F$9), Dashboard!G$24, Dropdowns!$H$9:$H$307, Dashboard!$C28) / COUNTA(_xlfn.ANCHORARRAY(Dropdowns!$F$9))</f>
        <v>3.3444816053511705E-3</v>
      </c>
      <c r="H28" s="32">
        <f>COUNTIFS(_xlfn.ANCHORARRAY(Dropdowns!$F$9), Dashboard!H$24, Dropdowns!$H$9:$H$307, Dashboard!$C28) / COUNTA(_xlfn.ANCHORARRAY(Dropdowns!$F$9))</f>
        <v>0</v>
      </c>
      <c r="J28" s="30">
        <f>C28</f>
        <v>2</v>
      </c>
      <c r="K28" s="31">
        <f>COUNTIFS(_xlfn.ANCHORARRAY(Dropdowns!$J$9), Dashboard!K$24, Dropdowns!$L$9:$L$307, Dashboard!$J28) / COUNTA(_xlfn.ANCHORARRAY(Dropdowns!$J$9))</f>
        <v>3.678929765886288E-2</v>
      </c>
      <c r="L28" s="31">
        <f>COUNTIFS(_xlfn.ANCHORARRAY(Dropdowns!$J$9), Dashboard!L$24, Dropdowns!$L$9:$L$307, Dashboard!$J28) / COUNTA(_xlfn.ANCHORARRAY(Dropdowns!$J$9))</f>
        <v>2.3411371237458192E-2</v>
      </c>
      <c r="M28" s="31">
        <f>COUNTIFS(_xlfn.ANCHORARRAY(Dropdowns!$J$9), Dashboard!M$24, Dropdowns!$L$9:$L$307, Dashboard!$J28) / COUNTA(_xlfn.ANCHORARRAY(Dropdowns!$J$9))</f>
        <v>3.3444816053511705E-3</v>
      </c>
      <c r="N28" s="31">
        <f>COUNTIFS(_xlfn.ANCHORARRAY(Dropdowns!$J$9), Dashboard!N$24, Dropdowns!$L$9:$L$307, Dashboard!$J28) / COUNTA(_xlfn.ANCHORARRAY(Dropdowns!$J$9))</f>
        <v>1.0033444816053512E-2</v>
      </c>
      <c r="O28" s="32">
        <f>COUNTIFS(_xlfn.ANCHORARRAY(Dropdowns!$J$9), Dashboard!O$24, Dropdowns!$L$9:$L$307, Dashboard!$J28) / COUNTA(_xlfn.ANCHORARRAY(Dropdowns!$J$9))</f>
        <v>3.3444816053511705E-3</v>
      </c>
    </row>
    <row r="29" spans="2:15" x14ac:dyDescent="0.2">
      <c r="C29" s="33">
        <v>1</v>
      </c>
      <c r="D29" s="34">
        <f>COUNTIFS(_xlfn.ANCHORARRAY(Dropdowns!$F$9), Dashboard!D$24, Dropdowns!$H$9:$H$307, Dashboard!$C29) / COUNTA(_xlfn.ANCHORARRAY(Dropdowns!$F$9))</f>
        <v>1.0033444816053512E-2</v>
      </c>
      <c r="E29" s="34">
        <f>COUNTIFS(_xlfn.ANCHORARRAY(Dropdowns!$F$9), Dashboard!E$24, Dropdowns!$H$9:$H$307, Dashboard!$C29) / COUNTA(_xlfn.ANCHORARRAY(Dropdowns!$F$9))</f>
        <v>0</v>
      </c>
      <c r="F29" s="34">
        <f>COUNTIFS(_xlfn.ANCHORARRAY(Dropdowns!$F$9), Dashboard!F$24, Dropdowns!$H$9:$H$307, Dashboard!$C29) / COUNTA(_xlfn.ANCHORARRAY(Dropdowns!$F$9))</f>
        <v>0</v>
      </c>
      <c r="G29" s="34">
        <f>COUNTIFS(_xlfn.ANCHORARRAY(Dropdowns!$F$9), Dashboard!G$24, Dropdowns!$H$9:$H$307, Dashboard!$C29) / COUNTA(_xlfn.ANCHORARRAY(Dropdowns!$F$9))</f>
        <v>0</v>
      </c>
      <c r="H29" s="35">
        <f>COUNTIFS(_xlfn.ANCHORARRAY(Dropdowns!$F$9), Dashboard!H$24, Dropdowns!$H$9:$H$307, Dashboard!$C29) / COUNTA(_xlfn.ANCHORARRAY(Dropdowns!$F$9))</f>
        <v>0</v>
      </c>
      <c r="J29" s="33">
        <f>C29</f>
        <v>1</v>
      </c>
      <c r="K29" s="34">
        <f>COUNTIFS(_xlfn.ANCHORARRAY(Dropdowns!$J$9), Dashboard!K$24, Dropdowns!$L$9:$L$307, Dashboard!$J29) / COUNTA(_xlfn.ANCHORARRAY(Dropdowns!$J$9))</f>
        <v>6.688963210702341E-3</v>
      </c>
      <c r="L29" s="34">
        <f>COUNTIFS(_xlfn.ANCHORARRAY(Dropdowns!$J$9), Dashboard!L$24, Dropdowns!$L$9:$L$307, Dashboard!$J29) / COUNTA(_xlfn.ANCHORARRAY(Dropdowns!$J$9))</f>
        <v>3.3444816053511705E-3</v>
      </c>
      <c r="M29" s="34">
        <f>COUNTIFS(_xlfn.ANCHORARRAY(Dropdowns!$J$9), Dashboard!M$24, Dropdowns!$L$9:$L$307, Dashboard!$J29) / COUNTA(_xlfn.ANCHORARRAY(Dropdowns!$J$9))</f>
        <v>3.3444816053511705E-3</v>
      </c>
      <c r="N29" s="34">
        <f>COUNTIFS(_xlfn.ANCHORARRAY(Dropdowns!$J$9), Dashboard!N$24, Dropdowns!$L$9:$L$307, Dashboard!$J29) / COUNTA(_xlfn.ANCHORARRAY(Dropdowns!$J$9))</f>
        <v>0</v>
      </c>
      <c r="O29" s="35">
        <f>COUNTIFS(_xlfn.ANCHORARRAY(Dropdowns!$J$9), Dashboard!O$24, Dropdowns!$L$9:$L$307, Dashboard!$J29) / COUNTA(_xlfn.ANCHORARRAY(Dropdowns!$J$9))</f>
        <v>0</v>
      </c>
    </row>
    <row r="63" spans="2:2" s="1" customFormat="1" x14ac:dyDescent="0.2">
      <c r="B63" s="1" t="s">
        <v>448</v>
      </c>
    </row>
    <row r="65" spans="2:3" x14ac:dyDescent="0.2">
      <c r="B65" s="1" t="s">
        <v>449</v>
      </c>
      <c r="C65" s="13" t="s">
        <v>450</v>
      </c>
    </row>
  </sheetData>
  <conditionalFormatting sqref="D25:H29">
    <cfRule type="colorScale" priority="2">
      <colorScale>
        <cfvo type="num" val="0"/>
        <cfvo type="max"/>
        <color theme="0"/>
        <color theme="3" tint="0.499984740745262"/>
      </colorScale>
    </cfRule>
  </conditionalFormatting>
  <conditionalFormatting sqref="K25:O29">
    <cfRule type="colorScale" priority="1">
      <colorScale>
        <cfvo type="num" val="0"/>
        <cfvo type="max"/>
        <color theme="0"/>
        <color theme="3" tint="0.499984740745262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1"/>
  <sheetViews>
    <sheetView workbookViewId="0">
      <selection activeCell="U34" sqref="U34"/>
    </sheetView>
  </sheetViews>
  <sheetFormatPr baseColWidth="10" defaultColWidth="8.83203125" defaultRowHeight="15" x14ac:dyDescent="0.2"/>
  <cols>
    <col min="1" max="5" width="8.83203125" style="13" customWidth="1"/>
    <col min="6" max="16384" width="8.83203125" style="13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1:BO49"/>
  <sheetViews>
    <sheetView showGridLines="0" topLeftCell="A10" zoomScale="93" workbookViewId="0">
      <selection activeCell="O39" sqref="O39"/>
    </sheetView>
  </sheetViews>
  <sheetFormatPr baseColWidth="10" defaultColWidth="8.83203125" defaultRowHeight="15" x14ac:dyDescent="0.2"/>
  <cols>
    <col min="1" max="1" width="3.5" customWidth="1"/>
    <col min="2" max="2" width="15.6640625" bestFit="1" customWidth="1"/>
    <col min="3" max="3" width="9.83203125" bestFit="1" customWidth="1"/>
    <col min="4" max="4" width="4.33203125" bestFit="1" customWidth="1"/>
    <col min="5" max="5" width="24.1640625" bestFit="1" customWidth="1"/>
    <col min="6" max="6" width="14.1640625" bestFit="1" customWidth="1"/>
    <col min="7" max="7" width="9.1640625" bestFit="1" customWidth="1"/>
    <col min="8" max="8" width="7.5" bestFit="1" customWidth="1"/>
    <col min="9" max="9" width="11.6640625" bestFit="1" customWidth="1"/>
    <col min="10" max="10" width="11" bestFit="1" customWidth="1"/>
    <col min="11" max="11" width="7.5" bestFit="1" customWidth="1"/>
    <col min="12" max="12" width="11.6640625" bestFit="1" customWidth="1"/>
    <col min="13" max="13" width="11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451</v>
      </c>
    </row>
    <row r="3" spans="1:67" s="1" customFormat="1" x14ac:dyDescent="0.2"/>
    <row r="5" spans="1:67" x14ac:dyDescent="0.2">
      <c r="B5" s="1" t="s">
        <v>441</v>
      </c>
      <c r="C5" s="1" t="s">
        <v>443</v>
      </c>
      <c r="D5" s="1" t="s">
        <v>12</v>
      </c>
      <c r="E5" s="1" t="s">
        <v>15</v>
      </c>
      <c r="F5" s="1" t="s">
        <v>444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452</v>
      </c>
      <c r="O5" s="1" t="s">
        <v>453</v>
      </c>
    </row>
    <row r="6" spans="1:67" x14ac:dyDescent="0.2">
      <c r="B6" s="14" t="s">
        <v>26</v>
      </c>
      <c r="C6" s="14" t="s">
        <v>454</v>
      </c>
      <c r="D6" s="14" t="s">
        <v>24</v>
      </c>
      <c r="E6" s="14">
        <v>13</v>
      </c>
      <c r="F6" s="14">
        <v>5</v>
      </c>
      <c r="G6" s="14" t="s">
        <v>455</v>
      </c>
      <c r="H6" s="14" t="s">
        <v>456</v>
      </c>
      <c r="I6" s="14">
        <v>0.39357844281338772</v>
      </c>
      <c r="J6" s="14">
        <v>0.39258056962086479</v>
      </c>
      <c r="K6" s="14" t="s">
        <v>457</v>
      </c>
      <c r="L6" s="14">
        <v>1.2648363325721881</v>
      </c>
      <c r="M6" s="14">
        <v>1.2554473673814559</v>
      </c>
      <c r="O6" s="43" t="str">
        <f t="shared" ref="O6:O18" si="0">IF(COUNTIFS($B:$B, B6), "OK", "ERROR")</f>
        <v>OK</v>
      </c>
    </row>
    <row r="7" spans="1:67" x14ac:dyDescent="0.2">
      <c r="B7" s="14" t="s">
        <v>37</v>
      </c>
      <c r="C7" s="14" t="s">
        <v>454</v>
      </c>
      <c r="D7" s="14" t="s">
        <v>116</v>
      </c>
      <c r="E7" s="14">
        <v>13</v>
      </c>
      <c r="F7" s="14">
        <v>5</v>
      </c>
      <c r="G7" s="14" t="s">
        <v>458</v>
      </c>
      <c r="H7" s="14" t="s">
        <v>456</v>
      </c>
      <c r="I7" s="14">
        <v>0.38768021639377981</v>
      </c>
      <c r="J7" s="14">
        <v>0.38665350994971132</v>
      </c>
      <c r="K7" s="14" t="s">
        <v>457</v>
      </c>
      <c r="L7" s="14">
        <v>1.270775908261252</v>
      </c>
      <c r="M7" s="14">
        <v>1.265189593742692</v>
      </c>
      <c r="O7" s="43" t="str">
        <f t="shared" si="0"/>
        <v>OK</v>
      </c>
    </row>
    <row r="8" spans="1:67" x14ac:dyDescent="0.2">
      <c r="B8" s="14" t="s">
        <v>39</v>
      </c>
      <c r="C8" s="14" t="s">
        <v>454</v>
      </c>
      <c r="D8" s="14" t="s">
        <v>116</v>
      </c>
      <c r="E8" s="14">
        <v>13</v>
      </c>
      <c r="F8" s="14">
        <v>5</v>
      </c>
      <c r="G8" s="14" t="s">
        <v>459</v>
      </c>
      <c r="H8" s="14" t="s">
        <v>456</v>
      </c>
      <c r="I8" s="14">
        <v>0.31882030465431538</v>
      </c>
      <c r="J8" s="14">
        <v>0.31726548448014569</v>
      </c>
      <c r="K8" s="14" t="s">
        <v>457</v>
      </c>
      <c r="L8" s="14">
        <v>0.94561314337116043</v>
      </c>
      <c r="M8" s="14">
        <v>0.93654473501205926</v>
      </c>
      <c r="O8" s="43" t="str">
        <f t="shared" si="0"/>
        <v>OK</v>
      </c>
    </row>
    <row r="9" spans="1:67" x14ac:dyDescent="0.2">
      <c r="B9" s="14" t="s">
        <v>41</v>
      </c>
      <c r="C9" s="14" t="s">
        <v>454</v>
      </c>
      <c r="D9" s="14" t="s">
        <v>116</v>
      </c>
      <c r="E9" s="14">
        <v>13</v>
      </c>
      <c r="F9" s="14">
        <v>5</v>
      </c>
      <c r="G9" s="14" t="s">
        <v>460</v>
      </c>
      <c r="H9" s="14" t="s">
        <v>456</v>
      </c>
      <c r="I9" s="14">
        <v>0.32776883291610742</v>
      </c>
      <c r="J9" s="14">
        <v>0.32730335584076831</v>
      </c>
      <c r="K9" s="14" t="s">
        <v>457</v>
      </c>
      <c r="L9" s="14">
        <v>0.98759442866014058</v>
      </c>
      <c r="M9" s="14">
        <v>0.98485882880926601</v>
      </c>
      <c r="O9" s="43" t="str">
        <f t="shared" si="0"/>
        <v>OK</v>
      </c>
    </row>
    <row r="10" spans="1:67" x14ac:dyDescent="0.2">
      <c r="B10" s="14" t="s">
        <v>53</v>
      </c>
      <c r="C10" s="14" t="s">
        <v>454</v>
      </c>
      <c r="D10" s="14" t="s">
        <v>24</v>
      </c>
      <c r="E10" s="14">
        <v>13</v>
      </c>
      <c r="F10" s="14">
        <v>5</v>
      </c>
      <c r="G10" s="14" t="s">
        <v>461</v>
      </c>
      <c r="H10" s="14" t="s">
        <v>456</v>
      </c>
      <c r="I10" s="14">
        <v>0.32494821150922759</v>
      </c>
      <c r="J10" s="14">
        <v>0.32335531021110459</v>
      </c>
      <c r="K10" s="14" t="s">
        <v>457</v>
      </c>
      <c r="L10" s="14">
        <v>0.97166755265193738</v>
      </c>
      <c r="M10" s="14">
        <v>0.96458194542101228</v>
      </c>
      <c r="O10" s="43" t="str">
        <f t="shared" si="0"/>
        <v>OK</v>
      </c>
    </row>
    <row r="11" spans="1:67" x14ac:dyDescent="0.2">
      <c r="B11" s="14" t="s">
        <v>54</v>
      </c>
      <c r="C11" s="14" t="s">
        <v>454</v>
      </c>
      <c r="D11" s="14" t="s">
        <v>116</v>
      </c>
      <c r="E11" s="14">
        <v>13</v>
      </c>
      <c r="F11" s="14">
        <v>5</v>
      </c>
      <c r="G11" s="14" t="s">
        <v>462</v>
      </c>
      <c r="H11" s="14" t="s">
        <v>456</v>
      </c>
      <c r="I11" s="14">
        <v>0.39398793125049608</v>
      </c>
      <c r="J11" s="14">
        <v>0.39305207653590563</v>
      </c>
      <c r="K11" s="14" t="s">
        <v>457</v>
      </c>
      <c r="L11" s="14">
        <v>1.307070176626866</v>
      </c>
      <c r="M11" s="14">
        <v>1.301948085743297</v>
      </c>
      <c r="O11" s="43" t="str">
        <f t="shared" si="0"/>
        <v>OK</v>
      </c>
    </row>
    <row r="12" spans="1:67" x14ac:dyDescent="0.2">
      <c r="B12" s="14" t="s">
        <v>55</v>
      </c>
      <c r="C12" s="14" t="s">
        <v>454</v>
      </c>
      <c r="D12" s="14" t="s">
        <v>116</v>
      </c>
      <c r="E12" s="14">
        <v>13</v>
      </c>
      <c r="F12" s="14">
        <v>5</v>
      </c>
      <c r="G12" s="14" t="s">
        <v>463</v>
      </c>
      <c r="H12" s="14" t="s">
        <v>456</v>
      </c>
      <c r="I12" s="14">
        <v>0.35182603889536168</v>
      </c>
      <c r="J12" s="14">
        <v>0.34985910890651861</v>
      </c>
      <c r="K12" s="14" t="s">
        <v>457</v>
      </c>
      <c r="L12" s="14">
        <v>1.09620284658504</v>
      </c>
      <c r="M12" s="14">
        <v>1.0851924275040961</v>
      </c>
      <c r="O12" s="43" t="str">
        <f t="shared" si="0"/>
        <v>OK</v>
      </c>
    </row>
    <row r="13" spans="1:67" x14ac:dyDescent="0.2">
      <c r="B13" s="14" t="s">
        <v>56</v>
      </c>
      <c r="C13" s="14" t="s">
        <v>454</v>
      </c>
      <c r="D13" s="14" t="s">
        <v>116</v>
      </c>
      <c r="E13" s="14">
        <v>13</v>
      </c>
      <c r="F13" s="14">
        <v>5</v>
      </c>
      <c r="G13" s="14" t="s">
        <v>464</v>
      </c>
      <c r="H13" s="14" t="s">
        <v>456</v>
      </c>
      <c r="I13" s="14">
        <v>0.36839915330896628</v>
      </c>
      <c r="J13" s="14">
        <v>0.36746158234892889</v>
      </c>
      <c r="K13" s="14" t="s">
        <v>457</v>
      </c>
      <c r="L13" s="14">
        <v>1.1774077315477389</v>
      </c>
      <c r="M13" s="14">
        <v>1.1734015096821859</v>
      </c>
      <c r="O13" s="43" t="str">
        <f t="shared" si="0"/>
        <v>OK</v>
      </c>
    </row>
    <row r="14" spans="1:67" x14ac:dyDescent="0.2">
      <c r="B14" s="14" t="s">
        <v>65</v>
      </c>
      <c r="C14" s="14" t="s">
        <v>454</v>
      </c>
      <c r="D14" s="14" t="s">
        <v>24</v>
      </c>
      <c r="E14" s="14">
        <v>13</v>
      </c>
      <c r="F14" s="14">
        <v>5</v>
      </c>
      <c r="G14" s="14" t="s">
        <v>465</v>
      </c>
      <c r="H14" s="14" t="s">
        <v>456</v>
      </c>
      <c r="I14" s="14">
        <v>0.29383479393349082</v>
      </c>
      <c r="J14" s="14">
        <v>0.29274130148473337</v>
      </c>
      <c r="K14" s="14" t="s">
        <v>457</v>
      </c>
      <c r="L14" s="14">
        <v>0.8355839798446798</v>
      </c>
      <c r="M14" s="14">
        <v>0.830117120474409</v>
      </c>
      <c r="O14" s="43" t="str">
        <f t="shared" si="0"/>
        <v>OK</v>
      </c>
    </row>
    <row r="15" spans="1:67" x14ac:dyDescent="0.2">
      <c r="B15" s="14" t="s">
        <v>66</v>
      </c>
      <c r="C15" s="14" t="s">
        <v>454</v>
      </c>
      <c r="D15" s="14" t="s">
        <v>116</v>
      </c>
      <c r="E15" s="14">
        <v>13</v>
      </c>
      <c r="F15" s="14">
        <v>5</v>
      </c>
      <c r="G15" s="14" t="s">
        <v>466</v>
      </c>
      <c r="H15" s="14" t="s">
        <v>456</v>
      </c>
      <c r="I15" s="14">
        <v>0.39110276193471838</v>
      </c>
      <c r="J15" s="14">
        <v>0.39017205473886007</v>
      </c>
      <c r="K15" s="14" t="s">
        <v>457</v>
      </c>
      <c r="L15" s="14">
        <v>1.2872962056354651</v>
      </c>
      <c r="M15" s="14">
        <v>1.283043427653098</v>
      </c>
      <c r="O15" s="43" t="str">
        <f t="shared" si="0"/>
        <v>OK</v>
      </c>
    </row>
    <row r="16" spans="1:67" x14ac:dyDescent="0.2">
      <c r="B16" s="14" t="s">
        <v>67</v>
      </c>
      <c r="C16" s="14" t="s">
        <v>454</v>
      </c>
      <c r="D16" s="14" t="s">
        <v>116</v>
      </c>
      <c r="E16" s="14">
        <v>13</v>
      </c>
      <c r="F16" s="14">
        <v>5</v>
      </c>
      <c r="G16" s="14" t="s">
        <v>467</v>
      </c>
      <c r="H16" s="14" t="s">
        <v>456</v>
      </c>
      <c r="I16" s="14">
        <v>0.32168880011987322</v>
      </c>
      <c r="J16" s="14">
        <v>0.32007847546912138</v>
      </c>
      <c r="K16" s="14" t="s">
        <v>457</v>
      </c>
      <c r="L16" s="14">
        <v>0.95935080669647665</v>
      </c>
      <c r="M16" s="14">
        <v>0.95070873231670194</v>
      </c>
      <c r="O16" s="43" t="str">
        <f t="shared" si="0"/>
        <v>OK</v>
      </c>
    </row>
    <row r="17" spans="2:15" x14ac:dyDescent="0.2">
      <c r="B17" s="13" t="s">
        <v>68</v>
      </c>
      <c r="C17" s="13" t="s">
        <v>454</v>
      </c>
      <c r="D17" s="13" t="s">
        <v>116</v>
      </c>
      <c r="E17" s="13">
        <v>13</v>
      </c>
      <c r="F17" s="13">
        <v>5</v>
      </c>
      <c r="G17" s="13" t="s">
        <v>468</v>
      </c>
      <c r="H17" s="13" t="s">
        <v>456</v>
      </c>
      <c r="I17" s="13">
        <v>0.32987973839037321</v>
      </c>
      <c r="J17" s="13">
        <v>0.32923259060730559</v>
      </c>
      <c r="K17" s="13" t="s">
        <v>457</v>
      </c>
      <c r="L17" s="13">
        <v>0.99697193076010049</v>
      </c>
      <c r="M17" s="13">
        <v>0.99434617740772679</v>
      </c>
      <c r="O17" s="43" t="str">
        <f t="shared" si="0"/>
        <v>OK</v>
      </c>
    </row>
    <row r="18" spans="2:15" x14ac:dyDescent="0.2">
      <c r="B18" s="13" t="s">
        <v>77</v>
      </c>
      <c r="C18" s="13" t="s">
        <v>454</v>
      </c>
      <c r="D18" s="13" t="s">
        <v>24</v>
      </c>
      <c r="E18" s="13">
        <v>13</v>
      </c>
      <c r="F18" s="13">
        <v>5</v>
      </c>
      <c r="G18" s="13" t="s">
        <v>469</v>
      </c>
      <c r="H18" s="13" t="s">
        <v>456</v>
      </c>
      <c r="I18" s="13">
        <v>0.29121445413880881</v>
      </c>
      <c r="J18" s="13">
        <v>0.29036630201053792</v>
      </c>
      <c r="K18" s="13" t="s">
        <v>457</v>
      </c>
      <c r="L18" s="13">
        <v>0.82350807052371655</v>
      </c>
      <c r="M18" s="13">
        <v>0.81797461699392648</v>
      </c>
      <c r="O18" s="43" t="str">
        <f t="shared" si="0"/>
        <v>OK</v>
      </c>
    </row>
    <row r="19" spans="2:15" x14ac:dyDescent="0.2">
      <c r="B19" s="13" t="s">
        <v>34</v>
      </c>
      <c r="C19" s="13" t="s">
        <v>470</v>
      </c>
      <c r="D19" s="13" t="s">
        <v>24</v>
      </c>
      <c r="E19" s="13">
        <v>100</v>
      </c>
      <c r="F19" s="13">
        <v>5</v>
      </c>
      <c r="G19" s="13" t="s">
        <v>471</v>
      </c>
      <c r="H19" s="13" t="s">
        <v>456</v>
      </c>
      <c r="I19" s="13">
        <v>0.32069999999999999</v>
      </c>
      <c r="J19" s="13">
        <v>0.32700000000000001</v>
      </c>
      <c r="K19" s="13" t="s">
        <v>457</v>
      </c>
      <c r="L19" s="13">
        <v>0.9597</v>
      </c>
      <c r="M19" s="13">
        <v>0.99690000000000001</v>
      </c>
      <c r="O19" s="43" t="str">
        <f t="shared" ref="O19:O45" si="1">IF(B19="", "", IF(COUNTIFS($B:$B, B19), "OK", "ERROR"))</f>
        <v>OK</v>
      </c>
    </row>
    <row r="20" spans="2:15" x14ac:dyDescent="0.2">
      <c r="B20" s="13" t="s">
        <v>48</v>
      </c>
      <c r="C20" s="13" t="s">
        <v>470</v>
      </c>
      <c r="D20" s="13" t="s">
        <v>116</v>
      </c>
      <c r="E20" s="13">
        <v>100</v>
      </c>
      <c r="F20" s="13">
        <v>5</v>
      </c>
      <c r="G20" s="13" t="s">
        <v>472</v>
      </c>
      <c r="H20" s="13" t="s">
        <v>456</v>
      </c>
      <c r="I20" s="13">
        <v>0.3327</v>
      </c>
      <c r="J20" s="13">
        <v>0.35170000000000001</v>
      </c>
      <c r="K20" s="13" t="s">
        <v>457</v>
      </c>
      <c r="L20" s="13">
        <v>1.0033000000000001</v>
      </c>
      <c r="M20" s="13">
        <v>1.1111</v>
      </c>
      <c r="O20" s="43" t="str">
        <f t="shared" si="1"/>
        <v>OK</v>
      </c>
    </row>
    <row r="21" spans="2:15" x14ac:dyDescent="0.2">
      <c r="B21" s="13" t="s">
        <v>49</v>
      </c>
      <c r="C21" s="13" t="s">
        <v>470</v>
      </c>
      <c r="D21" s="13" t="s">
        <v>116</v>
      </c>
      <c r="E21" s="13">
        <v>100</v>
      </c>
      <c r="F21" s="13">
        <v>5</v>
      </c>
      <c r="G21" s="13" t="s">
        <v>473</v>
      </c>
      <c r="H21" s="13" t="s">
        <v>456</v>
      </c>
      <c r="I21" s="13">
        <v>0.25190000000000001</v>
      </c>
      <c r="J21" s="13">
        <v>0.27689999999999998</v>
      </c>
      <c r="K21" s="13" t="s">
        <v>457</v>
      </c>
      <c r="L21" s="13">
        <v>0.65359999999999996</v>
      </c>
      <c r="M21" s="13">
        <v>0.77749999999999997</v>
      </c>
      <c r="O21" s="43" t="str">
        <f t="shared" si="1"/>
        <v>OK</v>
      </c>
    </row>
    <row r="22" spans="2:15" x14ac:dyDescent="0.2">
      <c r="B22" s="13" t="s">
        <v>50</v>
      </c>
      <c r="C22" s="13" t="s">
        <v>470</v>
      </c>
      <c r="D22" s="13" t="s">
        <v>116</v>
      </c>
      <c r="E22" s="13">
        <v>100</v>
      </c>
      <c r="F22" s="13">
        <v>5</v>
      </c>
      <c r="G22" s="13" t="s">
        <v>474</v>
      </c>
      <c r="H22" s="13" t="s">
        <v>456</v>
      </c>
      <c r="I22" s="13">
        <v>0.23549999999999999</v>
      </c>
      <c r="J22" s="13">
        <v>0.2873</v>
      </c>
      <c r="K22" s="13" t="s">
        <v>457</v>
      </c>
      <c r="L22" s="13">
        <v>0.57210000000000005</v>
      </c>
      <c r="M22" s="13">
        <v>0.82289999999999996</v>
      </c>
      <c r="O22" s="43" t="str">
        <f t="shared" si="1"/>
        <v>OK</v>
      </c>
    </row>
    <row r="23" spans="2:15" x14ac:dyDescent="0.2">
      <c r="B23" s="13" t="s">
        <v>61</v>
      </c>
      <c r="C23" s="13" t="s">
        <v>470</v>
      </c>
      <c r="D23" s="13" t="s">
        <v>24</v>
      </c>
      <c r="E23" s="13">
        <v>100</v>
      </c>
      <c r="F23" s="13">
        <v>5</v>
      </c>
      <c r="G23" s="13" t="s">
        <v>475</v>
      </c>
      <c r="H23" s="13" t="s">
        <v>456</v>
      </c>
      <c r="I23" s="13">
        <v>0.23860000000000001</v>
      </c>
      <c r="J23" s="13">
        <v>0.27410000000000001</v>
      </c>
      <c r="K23" s="13" t="s">
        <v>457</v>
      </c>
      <c r="L23" s="13">
        <v>0.5988</v>
      </c>
      <c r="M23" s="13">
        <v>0.76870000000000005</v>
      </c>
      <c r="O23" s="43" t="str">
        <f t="shared" si="1"/>
        <v>OK</v>
      </c>
    </row>
    <row r="24" spans="2:15" x14ac:dyDescent="0.2">
      <c r="B24" s="13" t="s">
        <v>62</v>
      </c>
      <c r="C24" s="13" t="s">
        <v>470</v>
      </c>
      <c r="D24" s="13" t="s">
        <v>116</v>
      </c>
      <c r="E24" s="13">
        <v>100</v>
      </c>
      <c r="F24" s="13">
        <v>5</v>
      </c>
      <c r="G24" s="13" t="s">
        <v>476</v>
      </c>
      <c r="H24" s="13" t="s">
        <v>456</v>
      </c>
      <c r="I24" s="13">
        <v>0.34810000000000002</v>
      </c>
      <c r="J24" s="13">
        <v>0.36170000000000002</v>
      </c>
      <c r="K24" s="13" t="s">
        <v>457</v>
      </c>
      <c r="L24" s="13">
        <v>1.0880000000000001</v>
      </c>
      <c r="M24" s="13">
        <v>1.1661999999999999</v>
      </c>
      <c r="O24" s="43" t="str">
        <f t="shared" si="1"/>
        <v>OK</v>
      </c>
    </row>
    <row r="25" spans="2:15" x14ac:dyDescent="0.2">
      <c r="B25" s="13" t="s">
        <v>63</v>
      </c>
      <c r="C25" s="13" t="s">
        <v>470</v>
      </c>
      <c r="D25" s="13" t="s">
        <v>116</v>
      </c>
      <c r="E25" s="13">
        <v>100</v>
      </c>
      <c r="F25" s="13">
        <v>5</v>
      </c>
      <c r="G25" s="13" t="s">
        <v>477</v>
      </c>
      <c r="H25" s="13" t="s">
        <v>456</v>
      </c>
      <c r="I25" s="13">
        <v>0.27350000000000002</v>
      </c>
      <c r="J25" s="13">
        <v>0.2949</v>
      </c>
      <c r="K25" s="13" t="s">
        <v>457</v>
      </c>
      <c r="L25" s="13">
        <v>0.74919999999999998</v>
      </c>
      <c r="M25" s="13">
        <v>0.86250000000000004</v>
      </c>
      <c r="O25" s="43" t="str">
        <f t="shared" si="1"/>
        <v>OK</v>
      </c>
    </row>
    <row r="26" spans="2:15" x14ac:dyDescent="0.2">
      <c r="B26" s="13" t="s">
        <v>64</v>
      </c>
      <c r="C26" s="13" t="s">
        <v>470</v>
      </c>
      <c r="D26" s="13" t="s">
        <v>116</v>
      </c>
      <c r="E26" s="13">
        <v>100</v>
      </c>
      <c r="F26" s="13">
        <v>5</v>
      </c>
      <c r="G26" s="13" t="s">
        <v>478</v>
      </c>
      <c r="H26" s="13" t="s">
        <v>456</v>
      </c>
      <c r="I26" s="13">
        <v>0.26390000000000002</v>
      </c>
      <c r="J26" s="13">
        <v>0.31490000000000001</v>
      </c>
      <c r="K26" s="13" t="s">
        <v>457</v>
      </c>
      <c r="L26" s="13">
        <v>0.68569999999999998</v>
      </c>
      <c r="M26" s="13">
        <v>0.94899999999999995</v>
      </c>
      <c r="O26" s="43" t="str">
        <f t="shared" si="1"/>
        <v>OK</v>
      </c>
    </row>
    <row r="27" spans="2:15" x14ac:dyDescent="0.2">
      <c r="B27" s="13" t="s">
        <v>73</v>
      </c>
      <c r="C27" s="13" t="s">
        <v>470</v>
      </c>
      <c r="D27" s="13" t="s">
        <v>24</v>
      </c>
      <c r="E27" s="13">
        <v>100</v>
      </c>
      <c r="F27" s="13">
        <v>5</v>
      </c>
      <c r="G27" s="13" t="s">
        <v>479</v>
      </c>
      <c r="H27" s="13" t="s">
        <v>456</v>
      </c>
      <c r="I27" s="13">
        <v>0.21690000000000001</v>
      </c>
      <c r="J27" s="13">
        <v>0.25779999999999997</v>
      </c>
      <c r="K27" s="13" t="s">
        <v>457</v>
      </c>
      <c r="L27" s="13">
        <v>0.51149999999999995</v>
      </c>
      <c r="M27" s="13">
        <v>0.6986</v>
      </c>
      <c r="O27" s="43" t="str">
        <f t="shared" si="1"/>
        <v>OK</v>
      </c>
    </row>
    <row r="28" spans="2:15" x14ac:dyDescent="0.2">
      <c r="B28" s="13" t="s">
        <v>74</v>
      </c>
      <c r="C28" s="13" t="s">
        <v>470</v>
      </c>
      <c r="D28" s="13" t="s">
        <v>116</v>
      </c>
      <c r="E28" s="13">
        <v>100</v>
      </c>
      <c r="F28" s="13">
        <v>5</v>
      </c>
      <c r="G28" s="13" t="s">
        <v>480</v>
      </c>
      <c r="H28" s="13" t="s">
        <v>456</v>
      </c>
      <c r="I28" s="13">
        <v>0.34399999999999997</v>
      </c>
      <c r="J28" s="13">
        <v>0.35959999999999998</v>
      </c>
      <c r="K28" s="13" t="s">
        <v>457</v>
      </c>
      <c r="L28" s="13">
        <v>1.0641</v>
      </c>
      <c r="M28" s="13">
        <v>1.1535</v>
      </c>
      <c r="O28" s="43" t="str">
        <f t="shared" si="1"/>
        <v>OK</v>
      </c>
    </row>
    <row r="29" spans="2:15" x14ac:dyDescent="0.2">
      <c r="B29" s="13" t="s">
        <v>75</v>
      </c>
      <c r="C29" s="13" t="s">
        <v>470</v>
      </c>
      <c r="D29" s="13" t="s">
        <v>116</v>
      </c>
      <c r="E29" s="13">
        <v>100</v>
      </c>
      <c r="F29" s="13">
        <v>5</v>
      </c>
      <c r="G29" s="13" t="s">
        <v>481</v>
      </c>
      <c r="H29" s="13" t="s">
        <v>456</v>
      </c>
      <c r="I29" s="13">
        <v>0.25840000000000002</v>
      </c>
      <c r="J29" s="13">
        <v>0.28070000000000001</v>
      </c>
      <c r="K29" s="13" t="s">
        <v>457</v>
      </c>
      <c r="L29" s="13">
        <v>0.68489999999999995</v>
      </c>
      <c r="M29" s="13">
        <v>0.7984</v>
      </c>
      <c r="O29" s="43" t="str">
        <f t="shared" si="1"/>
        <v>OK</v>
      </c>
    </row>
    <row r="30" spans="2:15" x14ac:dyDescent="0.2">
      <c r="B30" s="13" t="s">
        <v>76</v>
      </c>
      <c r="C30" s="13" t="s">
        <v>470</v>
      </c>
      <c r="D30" s="13" t="s">
        <v>116</v>
      </c>
      <c r="E30" s="13">
        <v>100</v>
      </c>
      <c r="F30" s="13">
        <v>5</v>
      </c>
      <c r="G30" s="13" t="s">
        <v>482</v>
      </c>
      <c r="H30" s="13" t="s">
        <v>456</v>
      </c>
      <c r="I30" s="13">
        <v>0.26529999999999998</v>
      </c>
      <c r="J30" s="13">
        <v>0.2928</v>
      </c>
      <c r="K30" s="13" t="s">
        <v>457</v>
      </c>
      <c r="L30" s="13">
        <v>0.70040000000000002</v>
      </c>
      <c r="M30" s="13">
        <v>0.84219999999999995</v>
      </c>
      <c r="O30" s="43" t="str">
        <f t="shared" si="1"/>
        <v>OK</v>
      </c>
    </row>
    <row r="31" spans="2:15" x14ac:dyDescent="0.2">
      <c r="B31" s="13" t="s">
        <v>79</v>
      </c>
      <c r="C31" s="13" t="s">
        <v>470</v>
      </c>
      <c r="D31" s="13" t="s">
        <v>24</v>
      </c>
      <c r="E31" s="13">
        <v>100</v>
      </c>
      <c r="F31" s="13">
        <v>5</v>
      </c>
      <c r="G31" s="13" t="s">
        <v>483</v>
      </c>
      <c r="H31" s="13" t="s">
        <v>456</v>
      </c>
      <c r="I31" s="13">
        <v>0.21129999999999999</v>
      </c>
      <c r="J31" s="13">
        <v>0.255</v>
      </c>
      <c r="K31" s="13" t="s">
        <v>457</v>
      </c>
      <c r="L31" s="13">
        <v>0.48799999999999999</v>
      </c>
      <c r="M31" s="13">
        <v>0.68279999999999996</v>
      </c>
      <c r="O31" s="43" t="str">
        <f t="shared" si="1"/>
        <v>OK</v>
      </c>
    </row>
    <row r="32" spans="2:15" x14ac:dyDescent="0.2">
      <c r="B32" s="13" t="s">
        <v>29</v>
      </c>
      <c r="C32" s="13" t="s">
        <v>484</v>
      </c>
      <c r="D32" s="13" t="s">
        <v>24</v>
      </c>
      <c r="E32" s="13">
        <v>50</v>
      </c>
      <c r="F32" s="13">
        <v>5</v>
      </c>
      <c r="G32" s="13" t="s">
        <v>485</v>
      </c>
      <c r="H32" s="13" t="s">
        <v>456</v>
      </c>
      <c r="I32" s="13">
        <v>0.33479999999999999</v>
      </c>
      <c r="J32" s="13">
        <v>0.34089999999999998</v>
      </c>
      <c r="K32" s="13" t="s">
        <v>457</v>
      </c>
      <c r="L32" s="13">
        <v>1.0367</v>
      </c>
      <c r="M32" s="13">
        <v>1.0706</v>
      </c>
      <c r="O32" s="43" t="str">
        <f t="shared" si="1"/>
        <v>OK</v>
      </c>
    </row>
    <row r="33" spans="2:15" x14ac:dyDescent="0.2">
      <c r="B33" s="13" t="s">
        <v>42</v>
      </c>
      <c r="C33" s="13" t="s">
        <v>484</v>
      </c>
      <c r="D33" s="13" t="s">
        <v>116</v>
      </c>
      <c r="E33" s="13">
        <v>50</v>
      </c>
      <c r="F33" s="13">
        <v>5</v>
      </c>
      <c r="G33" s="13" t="s">
        <v>486</v>
      </c>
      <c r="H33" s="13" t="s">
        <v>456</v>
      </c>
      <c r="I33" s="13">
        <v>0.36299999999999999</v>
      </c>
      <c r="J33" s="13">
        <v>0.3715</v>
      </c>
      <c r="K33" s="13" t="s">
        <v>457</v>
      </c>
      <c r="L33" s="13">
        <v>1.1752</v>
      </c>
      <c r="M33" s="13">
        <v>1.2243999999999999</v>
      </c>
      <c r="O33" s="43" t="str">
        <f t="shared" si="1"/>
        <v>OK</v>
      </c>
    </row>
    <row r="34" spans="2:15" x14ac:dyDescent="0.2">
      <c r="B34" s="13" t="s">
        <v>43</v>
      </c>
      <c r="C34" s="13" t="s">
        <v>484</v>
      </c>
      <c r="D34" s="13" t="s">
        <v>116</v>
      </c>
      <c r="E34" s="13">
        <v>50</v>
      </c>
      <c r="F34" s="13">
        <v>5</v>
      </c>
      <c r="G34" s="13" t="s">
        <v>487</v>
      </c>
      <c r="H34" s="13" t="s">
        <v>456</v>
      </c>
      <c r="I34" s="13">
        <v>0.29670000000000002</v>
      </c>
      <c r="J34" s="13">
        <v>0.30830000000000002</v>
      </c>
      <c r="K34" s="13" t="s">
        <v>457</v>
      </c>
      <c r="L34" s="13">
        <v>0.88280000000000003</v>
      </c>
      <c r="M34" s="13">
        <v>0.9415</v>
      </c>
      <c r="O34" s="43" t="str">
        <f t="shared" si="1"/>
        <v>OK</v>
      </c>
    </row>
    <row r="35" spans="2:15" x14ac:dyDescent="0.2">
      <c r="B35" s="13" t="s">
        <v>44</v>
      </c>
      <c r="C35" s="13" t="s">
        <v>484</v>
      </c>
      <c r="D35" s="13" t="s">
        <v>116</v>
      </c>
      <c r="E35" s="13">
        <v>50</v>
      </c>
      <c r="F35" s="13">
        <v>5</v>
      </c>
      <c r="G35" s="13" t="s">
        <v>488</v>
      </c>
      <c r="H35" s="13" t="s">
        <v>456</v>
      </c>
      <c r="I35" s="13">
        <v>0.318</v>
      </c>
      <c r="J35" s="13">
        <v>0.33169999999999999</v>
      </c>
      <c r="K35" s="13" t="s">
        <v>457</v>
      </c>
      <c r="L35" s="13">
        <v>0.96509999999999996</v>
      </c>
      <c r="M35" s="13">
        <v>1.0439000000000001</v>
      </c>
      <c r="O35" s="43" t="str">
        <f t="shared" si="1"/>
        <v>OK</v>
      </c>
    </row>
    <row r="36" spans="2:15" x14ac:dyDescent="0.2">
      <c r="B36" s="13" t="s">
        <v>57</v>
      </c>
      <c r="C36" s="13" t="s">
        <v>484</v>
      </c>
      <c r="D36" s="13" t="s">
        <v>24</v>
      </c>
      <c r="E36" s="13">
        <v>50</v>
      </c>
      <c r="F36" s="13">
        <v>5</v>
      </c>
      <c r="G36" s="13" t="s">
        <v>489</v>
      </c>
      <c r="H36" s="13" t="s">
        <v>456</v>
      </c>
      <c r="I36" s="13">
        <v>0.30470000000000003</v>
      </c>
      <c r="J36" s="13">
        <v>0.31569999999999998</v>
      </c>
      <c r="K36" s="13" t="s">
        <v>457</v>
      </c>
      <c r="L36" s="13">
        <v>0.91539999999999999</v>
      </c>
      <c r="M36" s="13">
        <v>0.97</v>
      </c>
      <c r="O36" s="43" t="str">
        <f t="shared" si="1"/>
        <v>OK</v>
      </c>
    </row>
    <row r="37" spans="2:15" x14ac:dyDescent="0.2">
      <c r="B37" s="13" t="s">
        <v>58</v>
      </c>
      <c r="C37" s="13" t="s">
        <v>484</v>
      </c>
      <c r="D37" s="13" t="s">
        <v>116</v>
      </c>
      <c r="E37" s="13">
        <v>50</v>
      </c>
      <c r="F37" s="13">
        <v>5</v>
      </c>
      <c r="G37" s="13" t="s">
        <v>490</v>
      </c>
      <c r="H37" s="13" t="s">
        <v>456</v>
      </c>
      <c r="I37" s="13">
        <v>0.36509999999999998</v>
      </c>
      <c r="J37" s="13">
        <v>0.372</v>
      </c>
      <c r="K37" s="13" t="s">
        <v>457</v>
      </c>
      <c r="L37" s="13">
        <v>1.1894</v>
      </c>
      <c r="M37" s="13">
        <v>1.2265999999999999</v>
      </c>
      <c r="O37" s="43" t="str">
        <f t="shared" si="1"/>
        <v>OK</v>
      </c>
    </row>
    <row r="38" spans="2:15" x14ac:dyDescent="0.2">
      <c r="B38" s="13" t="s">
        <v>59</v>
      </c>
      <c r="C38" s="13" t="s">
        <v>484</v>
      </c>
      <c r="D38" s="13" t="s">
        <v>116</v>
      </c>
      <c r="E38" s="13">
        <v>50</v>
      </c>
      <c r="F38" s="13">
        <v>5</v>
      </c>
      <c r="G38" s="13" t="s">
        <v>491</v>
      </c>
      <c r="H38" s="13" t="s">
        <v>456</v>
      </c>
      <c r="I38" s="13">
        <v>0.30930000000000002</v>
      </c>
      <c r="J38" s="13">
        <v>0.31900000000000001</v>
      </c>
      <c r="K38" s="13" t="s">
        <v>457</v>
      </c>
      <c r="L38" s="13">
        <v>0.94120000000000004</v>
      </c>
      <c r="M38" s="13">
        <v>0.9919</v>
      </c>
      <c r="O38" s="43" t="str">
        <f t="shared" si="1"/>
        <v>OK</v>
      </c>
    </row>
    <row r="39" spans="2:15" x14ac:dyDescent="0.2">
      <c r="B39" s="13" t="s">
        <v>60</v>
      </c>
      <c r="C39" s="13" t="s">
        <v>484</v>
      </c>
      <c r="D39" s="13" t="s">
        <v>116</v>
      </c>
      <c r="E39" s="13">
        <v>50</v>
      </c>
      <c r="F39" s="13">
        <v>5</v>
      </c>
      <c r="G39" s="13" t="s">
        <v>492</v>
      </c>
      <c r="H39" s="13" t="s">
        <v>456</v>
      </c>
      <c r="I39" s="13">
        <v>0.34250000000000003</v>
      </c>
      <c r="J39" s="13">
        <v>0.35410000000000003</v>
      </c>
      <c r="K39" s="13" t="s">
        <v>457</v>
      </c>
      <c r="L39" s="13">
        <v>1.0747</v>
      </c>
      <c r="M39" s="13">
        <v>1.1453</v>
      </c>
      <c r="O39" s="43" t="str">
        <f t="shared" si="1"/>
        <v>OK</v>
      </c>
    </row>
    <row r="40" spans="2:15" x14ac:dyDescent="0.2">
      <c r="B40" s="13" t="s">
        <v>69</v>
      </c>
      <c r="C40" s="13" t="s">
        <v>484</v>
      </c>
      <c r="D40" s="13" t="s">
        <v>24</v>
      </c>
      <c r="E40" s="13">
        <v>50</v>
      </c>
      <c r="F40" s="13">
        <v>5</v>
      </c>
      <c r="G40" s="13" t="s">
        <v>493</v>
      </c>
      <c r="H40" s="13" t="s">
        <v>456</v>
      </c>
      <c r="I40" s="13">
        <v>0.29099999999999998</v>
      </c>
      <c r="J40" s="13">
        <v>0.30270000000000002</v>
      </c>
      <c r="K40" s="13" t="s">
        <v>457</v>
      </c>
      <c r="L40" s="13">
        <v>0.85629999999999995</v>
      </c>
      <c r="M40" s="13">
        <v>0.91610000000000003</v>
      </c>
      <c r="O40" s="43" t="str">
        <f t="shared" si="1"/>
        <v>OK</v>
      </c>
    </row>
    <row r="41" spans="2:15" x14ac:dyDescent="0.2">
      <c r="B41" s="13" t="s">
        <v>70</v>
      </c>
      <c r="C41" s="13" t="s">
        <v>484</v>
      </c>
      <c r="D41" s="13" t="s">
        <v>116</v>
      </c>
      <c r="E41" s="13">
        <v>50</v>
      </c>
      <c r="F41" s="13">
        <v>5</v>
      </c>
      <c r="G41" s="13" t="s">
        <v>494</v>
      </c>
      <c r="H41" s="13" t="s">
        <v>456</v>
      </c>
      <c r="I41" s="13">
        <v>0.36380000000000001</v>
      </c>
      <c r="J41" s="13">
        <v>0.3715</v>
      </c>
      <c r="K41" s="13" t="s">
        <v>457</v>
      </c>
      <c r="L41" s="13">
        <v>1.1807000000000001</v>
      </c>
      <c r="M41" s="13">
        <v>1.2252000000000001</v>
      </c>
      <c r="O41" s="43" t="str">
        <f t="shared" si="1"/>
        <v>OK</v>
      </c>
    </row>
    <row r="42" spans="2:15" x14ac:dyDescent="0.2">
      <c r="B42" s="13" t="s">
        <v>71</v>
      </c>
      <c r="C42" s="13" t="s">
        <v>484</v>
      </c>
      <c r="D42" s="13" t="s">
        <v>116</v>
      </c>
      <c r="E42" s="13">
        <v>50</v>
      </c>
      <c r="F42" s="13">
        <v>5</v>
      </c>
      <c r="G42" s="13" t="s">
        <v>495</v>
      </c>
      <c r="H42" s="13" t="s">
        <v>456</v>
      </c>
      <c r="I42" s="13">
        <v>0.29720000000000002</v>
      </c>
      <c r="J42" s="13">
        <v>0.30869999999999997</v>
      </c>
      <c r="K42" s="13" t="s">
        <v>457</v>
      </c>
      <c r="L42" s="13">
        <v>0.88480000000000003</v>
      </c>
      <c r="M42" s="13">
        <v>0.94189999999999996</v>
      </c>
      <c r="O42" s="43" t="str">
        <f t="shared" si="1"/>
        <v>OK</v>
      </c>
    </row>
    <row r="43" spans="2:15" x14ac:dyDescent="0.2">
      <c r="B43" s="13" t="s">
        <v>72</v>
      </c>
      <c r="C43" s="13" t="s">
        <v>484</v>
      </c>
      <c r="D43" s="13" t="s">
        <v>116</v>
      </c>
      <c r="E43" s="13">
        <v>50</v>
      </c>
      <c r="F43" s="13">
        <v>5</v>
      </c>
      <c r="G43" s="13" t="s">
        <v>496</v>
      </c>
      <c r="H43" s="13" t="s">
        <v>456</v>
      </c>
      <c r="I43" s="13">
        <v>0.31790000000000002</v>
      </c>
      <c r="J43" s="13">
        <v>0.33110000000000001</v>
      </c>
      <c r="K43" s="13" t="s">
        <v>457</v>
      </c>
      <c r="L43" s="13">
        <v>0.96540000000000004</v>
      </c>
      <c r="M43" s="13">
        <v>1.0409999999999999</v>
      </c>
      <c r="O43" s="43" t="str">
        <f t="shared" si="1"/>
        <v>OK</v>
      </c>
    </row>
    <row r="44" spans="2:15" x14ac:dyDescent="0.2">
      <c r="B44" s="13" t="s">
        <v>78</v>
      </c>
      <c r="C44" s="13" t="s">
        <v>484</v>
      </c>
      <c r="D44" s="13" t="s">
        <v>24</v>
      </c>
      <c r="E44" s="13">
        <v>50</v>
      </c>
      <c r="F44" s="13">
        <v>5</v>
      </c>
      <c r="G44" s="13" t="s">
        <v>497</v>
      </c>
      <c r="H44" s="13" t="s">
        <v>456</v>
      </c>
      <c r="I44" s="13">
        <v>0.29089999999999999</v>
      </c>
      <c r="J44" s="13">
        <v>0.30309999999999998</v>
      </c>
      <c r="K44" s="13" t="s">
        <v>457</v>
      </c>
      <c r="L44" s="13">
        <v>0.85580000000000001</v>
      </c>
      <c r="M44" s="13">
        <v>0.91690000000000005</v>
      </c>
      <c r="O44" s="43" t="str">
        <f t="shared" si="1"/>
        <v>OK</v>
      </c>
    </row>
    <row r="45" spans="2:15" x14ac:dyDescent="0.2">
      <c r="B45" s="13" t="s">
        <v>51</v>
      </c>
      <c r="C45" s="13" t="s">
        <v>470</v>
      </c>
      <c r="D45" s="13" t="s">
        <v>116</v>
      </c>
      <c r="E45" s="13">
        <v>100</v>
      </c>
      <c r="F45" s="13">
        <v>5</v>
      </c>
      <c r="G45" s="13" t="s">
        <v>498</v>
      </c>
      <c r="H45" s="13" t="s">
        <v>456</v>
      </c>
      <c r="I45" s="13">
        <v>0.21199999999999999</v>
      </c>
      <c r="J45" s="13">
        <v>0.28749999999999998</v>
      </c>
      <c r="K45" s="13" t="s">
        <v>457</v>
      </c>
      <c r="L45" s="13">
        <v>0.47110000000000002</v>
      </c>
      <c r="M45" s="13">
        <v>0.81759999999999999</v>
      </c>
      <c r="O45" s="43" t="str">
        <f t="shared" si="1"/>
        <v>OK</v>
      </c>
    </row>
    <row r="46" spans="2:15" x14ac:dyDescent="0.2">
      <c r="B46" t="s">
        <v>31</v>
      </c>
      <c r="C46" t="s">
        <v>499</v>
      </c>
      <c r="D46" t="s">
        <v>24</v>
      </c>
      <c r="E46">
        <v>50</v>
      </c>
      <c r="F46">
        <v>5</v>
      </c>
      <c r="G46" t="s">
        <v>500</v>
      </c>
      <c r="H46" t="s">
        <v>456</v>
      </c>
      <c r="I46">
        <v>0.26939999999999997</v>
      </c>
      <c r="J46">
        <v>0.33169999999999999</v>
      </c>
      <c r="K46" t="s">
        <v>457</v>
      </c>
      <c r="L46">
        <v>0.69299999999999995</v>
      </c>
      <c r="M46">
        <v>1.0195000000000001</v>
      </c>
    </row>
    <row r="47" spans="2:15" x14ac:dyDescent="0.2">
      <c r="B47" t="s">
        <v>45</v>
      </c>
      <c r="C47" t="s">
        <v>499</v>
      </c>
      <c r="D47" t="s">
        <v>116</v>
      </c>
      <c r="E47">
        <v>50</v>
      </c>
      <c r="F47">
        <v>5</v>
      </c>
      <c r="G47" t="s">
        <v>501</v>
      </c>
      <c r="H47" t="s">
        <v>456</v>
      </c>
      <c r="I47">
        <v>0.2301</v>
      </c>
      <c r="J47">
        <v>0.36280000000000001</v>
      </c>
      <c r="K47" t="s">
        <v>457</v>
      </c>
      <c r="L47">
        <v>0.46800000000000003</v>
      </c>
      <c r="M47">
        <v>1.1518999999999999</v>
      </c>
    </row>
    <row r="48" spans="2:15" x14ac:dyDescent="0.2">
      <c r="B48" t="s">
        <v>46</v>
      </c>
      <c r="C48" t="s">
        <v>499</v>
      </c>
      <c r="D48" t="s">
        <v>116</v>
      </c>
      <c r="E48">
        <v>50</v>
      </c>
      <c r="F48">
        <v>5</v>
      </c>
      <c r="G48" t="s">
        <v>502</v>
      </c>
      <c r="H48" t="s">
        <v>456</v>
      </c>
      <c r="I48">
        <v>0.15010000000000001</v>
      </c>
      <c r="J48">
        <v>0.29189999999999999</v>
      </c>
      <c r="K48" t="s">
        <v>457</v>
      </c>
      <c r="L48">
        <v>0.2253</v>
      </c>
      <c r="M48">
        <v>0.83189999999999997</v>
      </c>
    </row>
    <row r="49" spans="2:13" x14ac:dyDescent="0.2">
      <c r="B49" t="s">
        <v>47</v>
      </c>
      <c r="C49" t="s">
        <v>499</v>
      </c>
      <c r="D49" t="s">
        <v>116</v>
      </c>
      <c r="E49">
        <v>50</v>
      </c>
      <c r="F49">
        <v>5</v>
      </c>
      <c r="G49" t="s">
        <v>503</v>
      </c>
      <c r="H49" t="s">
        <v>456</v>
      </c>
      <c r="I49">
        <v>0.13669999999999999</v>
      </c>
      <c r="J49">
        <v>0.312</v>
      </c>
      <c r="K49" t="s">
        <v>457</v>
      </c>
      <c r="L49">
        <v>0.17549999999999999</v>
      </c>
      <c r="M49">
        <v>0.89880000000000004</v>
      </c>
    </row>
  </sheetData>
  <conditionalFormatting sqref="O6:O1048576">
    <cfRule type="containsText" dxfId="0" priority="1" operator="containsText" text="ERROR">
      <formula>NOT(ISERROR(SEARCH("ERROR",O6)))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BO304"/>
  <sheetViews>
    <sheetView showGridLines="0" workbookViewId="0"/>
  </sheetViews>
  <sheetFormatPr baseColWidth="10" defaultColWidth="8.83203125" defaultRowHeight="15" x14ac:dyDescent="0.2"/>
  <cols>
    <col min="1" max="1" width="3.5" customWidth="1"/>
    <col min="2" max="2" width="19.83203125" bestFit="1" customWidth="1"/>
    <col min="3" max="3" width="24.3320312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504</v>
      </c>
    </row>
    <row r="3" spans="1:67" s="1" customFormat="1" x14ac:dyDescent="0.2"/>
    <row r="5" spans="1:67" x14ac:dyDescent="0.2">
      <c r="B5" s="21" t="s">
        <v>505</v>
      </c>
      <c r="C5" s="21" t="s">
        <v>506</v>
      </c>
      <c r="D5" s="21" t="s">
        <v>507</v>
      </c>
      <c r="E5" s="21" t="s">
        <v>508</v>
      </c>
      <c r="F5" s="21" t="s">
        <v>509</v>
      </c>
      <c r="G5" s="21" t="s">
        <v>510</v>
      </c>
      <c r="H5" s="21" t="s">
        <v>511</v>
      </c>
      <c r="I5" s="21" t="s">
        <v>512</v>
      </c>
      <c r="J5" s="21" t="s">
        <v>513</v>
      </c>
      <c r="K5" s="21" t="s">
        <v>514</v>
      </c>
      <c r="L5" s="21" t="s">
        <v>515</v>
      </c>
      <c r="M5" s="21" t="s">
        <v>516</v>
      </c>
      <c r="N5" s="21" t="s">
        <v>517</v>
      </c>
      <c r="O5" s="21" t="s">
        <v>518</v>
      </c>
      <c r="P5" s="21" t="s">
        <v>519</v>
      </c>
      <c r="Q5" s="21" t="s">
        <v>520</v>
      </c>
      <c r="R5" s="21" t="s">
        <v>521</v>
      </c>
      <c r="S5" s="21" t="s">
        <v>522</v>
      </c>
      <c r="T5" s="21" t="s">
        <v>523</v>
      </c>
      <c r="U5" s="21" t="s">
        <v>524</v>
      </c>
      <c r="V5" s="21" t="s">
        <v>525</v>
      </c>
      <c r="W5" s="21" t="s">
        <v>526</v>
      </c>
      <c r="X5" s="21" t="s">
        <v>527</v>
      </c>
      <c r="Y5" s="21" t="s">
        <v>528</v>
      </c>
      <c r="Z5" s="21" t="s">
        <v>529</v>
      </c>
      <c r="AA5" s="21" t="s">
        <v>530</v>
      </c>
      <c r="AB5" s="21" t="s">
        <v>531</v>
      </c>
      <c r="AC5" s="21" t="s">
        <v>532</v>
      </c>
      <c r="AD5" s="21" t="s">
        <v>533</v>
      </c>
      <c r="AE5" s="21" t="s">
        <v>534</v>
      </c>
    </row>
    <row r="6" spans="1:67" x14ac:dyDescent="0.2">
      <c r="B6" s="15">
        <v>3</v>
      </c>
      <c r="C6" s="15">
        <v>3.6386098501855351</v>
      </c>
      <c r="D6" s="15">
        <v>3</v>
      </c>
      <c r="E6" s="15">
        <v>3.64</v>
      </c>
      <c r="F6" s="15">
        <v>3</v>
      </c>
      <c r="G6" s="15">
        <v>3.6235865695673799</v>
      </c>
      <c r="H6" s="15">
        <v>3</v>
      </c>
      <c r="I6" s="15">
        <v>3.3647306000000001</v>
      </c>
      <c r="J6" s="15">
        <v>3</v>
      </c>
      <c r="K6" s="15">
        <v>3.6386098501855351</v>
      </c>
      <c r="L6" s="15">
        <v>3</v>
      </c>
      <c r="M6" s="15">
        <v>3.831386441976254</v>
      </c>
      <c r="N6" s="15">
        <v>3</v>
      </c>
      <c r="O6" s="15">
        <v>3.94397289383839</v>
      </c>
      <c r="P6" s="15">
        <v>3</v>
      </c>
      <c r="Q6" s="15">
        <v>3.8185030464538898</v>
      </c>
      <c r="R6" s="15">
        <v>3</v>
      </c>
      <c r="S6" s="15">
        <v>4.1140028142202016</v>
      </c>
      <c r="T6" s="15">
        <v>3</v>
      </c>
      <c r="U6" s="15">
        <v>3</v>
      </c>
      <c r="V6" s="15">
        <v>4</v>
      </c>
      <c r="W6" s="15">
        <v>3.8742506504058838</v>
      </c>
      <c r="X6" s="15">
        <v>3</v>
      </c>
      <c r="Y6" s="15">
        <v>3.9672666385163202</v>
      </c>
      <c r="Z6" s="15">
        <v>3</v>
      </c>
      <c r="AA6" s="15">
        <v>4.087761402130127</v>
      </c>
      <c r="AB6" s="15">
        <v>3</v>
      </c>
      <c r="AC6" s="15">
        <v>3.395916666666666</v>
      </c>
      <c r="AD6" s="15">
        <v>3</v>
      </c>
      <c r="AE6" s="15">
        <v>3.398416666666666</v>
      </c>
    </row>
    <row r="7" spans="1:67" x14ac:dyDescent="0.2">
      <c r="B7" s="15">
        <v>5</v>
      </c>
      <c r="C7" s="15">
        <v>4.2773779349296692</v>
      </c>
      <c r="D7" s="15">
        <v>5</v>
      </c>
      <c r="E7" s="15">
        <v>4.38</v>
      </c>
      <c r="F7" s="15">
        <v>5</v>
      </c>
      <c r="G7" s="15">
        <v>4.2837511033815439</v>
      </c>
      <c r="H7" s="15">
        <v>5</v>
      </c>
      <c r="I7" s="15">
        <v>4.3741764999999999</v>
      </c>
      <c r="J7" s="15">
        <v>5</v>
      </c>
      <c r="K7" s="15">
        <v>4.2773779349296692</v>
      </c>
      <c r="L7" s="15">
        <v>5</v>
      </c>
      <c r="M7" s="15">
        <v>4.6177241740954376</v>
      </c>
      <c r="N7" s="15">
        <v>5</v>
      </c>
      <c r="O7" s="15">
        <v>3.7930802801296681</v>
      </c>
      <c r="P7" s="15">
        <v>5</v>
      </c>
      <c r="Q7" s="15">
        <v>4.4966345473669476</v>
      </c>
      <c r="R7" s="15">
        <v>5</v>
      </c>
      <c r="S7" s="15">
        <v>4.169186638611845</v>
      </c>
      <c r="T7" s="15">
        <v>5</v>
      </c>
      <c r="U7" s="15">
        <v>5</v>
      </c>
      <c r="V7" s="15">
        <v>5</v>
      </c>
      <c r="W7" s="15">
        <v>3.3504707813262939</v>
      </c>
      <c r="X7" s="15">
        <v>5</v>
      </c>
      <c r="Y7" s="15">
        <v>3.7115522806454728</v>
      </c>
      <c r="Z7" s="15">
        <v>5</v>
      </c>
      <c r="AA7" s="15">
        <v>3.682992696762085</v>
      </c>
      <c r="AB7" s="15">
        <v>5</v>
      </c>
      <c r="AC7" s="15">
        <v>4.8341666666666674</v>
      </c>
      <c r="AD7" s="15">
        <v>5</v>
      </c>
      <c r="AE7" s="15">
        <v>4.6722380952380949</v>
      </c>
    </row>
    <row r="8" spans="1:67" x14ac:dyDescent="0.2">
      <c r="B8" s="15">
        <v>3</v>
      </c>
      <c r="C8" s="15">
        <v>3.393521514820006</v>
      </c>
      <c r="D8" s="15">
        <v>3</v>
      </c>
      <c r="E8" s="15">
        <v>3.16</v>
      </c>
      <c r="F8" s="15">
        <v>3</v>
      </c>
      <c r="G8" s="15">
        <v>2.8209815113007939</v>
      </c>
      <c r="H8" s="15">
        <v>3</v>
      </c>
      <c r="I8" s="15">
        <v>2.8082880000000001</v>
      </c>
      <c r="J8" s="15">
        <v>3</v>
      </c>
      <c r="K8" s="15">
        <v>3.393521514820006</v>
      </c>
      <c r="L8" s="15">
        <v>3</v>
      </c>
      <c r="M8" s="15">
        <v>3.3430637386181039</v>
      </c>
      <c r="N8" s="15">
        <v>3</v>
      </c>
      <c r="O8" s="15">
        <v>3.3603407982347449</v>
      </c>
      <c r="P8" s="15">
        <v>3</v>
      </c>
      <c r="Q8" s="15">
        <v>3.373618121863776</v>
      </c>
      <c r="R8" s="15">
        <v>3</v>
      </c>
      <c r="S8" s="15">
        <v>3.6503677078081691</v>
      </c>
      <c r="T8" s="15">
        <v>3</v>
      </c>
      <c r="U8" s="15">
        <v>3</v>
      </c>
      <c r="V8" s="15">
        <v>3</v>
      </c>
      <c r="W8" s="15">
        <v>3.324692010879517</v>
      </c>
      <c r="X8" s="15">
        <v>3</v>
      </c>
      <c r="Y8" s="15">
        <v>3.399983338322329</v>
      </c>
      <c r="Z8" s="15">
        <v>3</v>
      </c>
      <c r="AA8" s="15">
        <v>3.062677145004272</v>
      </c>
      <c r="AB8" s="15">
        <v>3</v>
      </c>
      <c r="AC8" s="15">
        <v>3.0954166666666669</v>
      </c>
      <c r="AD8" s="15">
        <v>3</v>
      </c>
      <c r="AE8" s="15">
        <v>3.1783571428571431</v>
      </c>
    </row>
    <row r="9" spans="1:67" x14ac:dyDescent="0.2">
      <c r="B9" s="15">
        <v>3</v>
      </c>
      <c r="C9" s="15">
        <v>3.784206201305309</v>
      </c>
      <c r="D9" s="15">
        <v>3</v>
      </c>
      <c r="E9" s="15">
        <v>4.0199999999999996</v>
      </c>
      <c r="F9" s="15">
        <v>3</v>
      </c>
      <c r="G9" s="15">
        <v>4.0989250376710302</v>
      </c>
      <c r="H9" s="15">
        <v>3</v>
      </c>
      <c r="I9" s="15">
        <v>4.2254452999999996</v>
      </c>
      <c r="J9" s="15">
        <v>3</v>
      </c>
      <c r="K9" s="15">
        <v>3.784206201305309</v>
      </c>
      <c r="L9" s="15">
        <v>3</v>
      </c>
      <c r="M9" s="15">
        <v>4.2791702679343127</v>
      </c>
      <c r="N9" s="15">
        <v>3</v>
      </c>
      <c r="O9" s="15">
        <v>4.2200997095573074</v>
      </c>
      <c r="P9" s="15">
        <v>3</v>
      </c>
      <c r="Q9" s="15">
        <v>3.3291963665479209</v>
      </c>
      <c r="R9" s="15">
        <v>3</v>
      </c>
      <c r="S9" s="15">
        <v>3.7755840733565198</v>
      </c>
      <c r="T9" s="15">
        <v>3</v>
      </c>
      <c r="U9" s="15">
        <v>3</v>
      </c>
      <c r="V9" s="15">
        <v>5</v>
      </c>
      <c r="W9" s="15">
        <v>3.3453719615936279</v>
      </c>
      <c r="X9" s="15">
        <v>3</v>
      </c>
      <c r="Y9" s="15">
        <v>3.884884739154205</v>
      </c>
      <c r="Z9" s="15">
        <v>3</v>
      </c>
      <c r="AA9" s="15">
        <v>4.2996306419372559</v>
      </c>
      <c r="AB9" s="15">
        <v>3</v>
      </c>
      <c r="AC9" s="15">
        <v>3.2701309523809532</v>
      </c>
      <c r="AD9" s="15">
        <v>3</v>
      </c>
      <c r="AE9" s="15">
        <v>3.35136544011544</v>
      </c>
    </row>
    <row r="10" spans="1:67" x14ac:dyDescent="0.2">
      <c r="B10" s="15">
        <v>4</v>
      </c>
      <c r="C10" s="15">
        <v>3.753631863630952</v>
      </c>
      <c r="D10" s="15">
        <v>4</v>
      </c>
      <c r="E10" s="15">
        <v>3.77</v>
      </c>
      <c r="F10" s="15">
        <v>4</v>
      </c>
      <c r="G10" s="15">
        <v>4.0118970751180676</v>
      </c>
      <c r="H10" s="15">
        <v>4</v>
      </c>
      <c r="I10" s="15">
        <v>4.0832623999999997</v>
      </c>
      <c r="J10" s="15">
        <v>4</v>
      </c>
      <c r="K10" s="15">
        <v>3.753631863630952</v>
      </c>
      <c r="L10" s="15">
        <v>4</v>
      </c>
      <c r="M10" s="15">
        <v>3.859941844364442</v>
      </c>
      <c r="N10" s="15">
        <v>4</v>
      </c>
      <c r="O10" s="15">
        <v>3.8757481378945058</v>
      </c>
      <c r="P10" s="15">
        <v>4</v>
      </c>
      <c r="Q10" s="15">
        <v>4.1081304533688678</v>
      </c>
      <c r="R10" s="15">
        <v>4</v>
      </c>
      <c r="S10" s="15">
        <v>4.0294751942942462</v>
      </c>
      <c r="T10" s="15">
        <v>4</v>
      </c>
      <c r="U10" s="15">
        <v>4</v>
      </c>
      <c r="V10" s="15">
        <v>2</v>
      </c>
      <c r="W10" s="15">
        <v>3.4894013404846191</v>
      </c>
      <c r="X10" s="15">
        <v>4</v>
      </c>
      <c r="Y10" s="15">
        <v>4.3084537935419229</v>
      </c>
      <c r="Z10" s="15">
        <v>4</v>
      </c>
      <c r="AA10" s="15">
        <v>4.2756466865539551</v>
      </c>
      <c r="AB10" s="15">
        <v>4</v>
      </c>
      <c r="AC10" s="15">
        <v>4.1112499999999992</v>
      </c>
      <c r="AD10" s="15">
        <v>4</v>
      </c>
      <c r="AE10" s="15">
        <v>4.1610952380952382</v>
      </c>
    </row>
    <row r="11" spans="1:67" x14ac:dyDescent="0.2">
      <c r="B11" s="15">
        <v>3</v>
      </c>
      <c r="C11" s="15">
        <v>3.844912871788726</v>
      </c>
      <c r="D11" s="15">
        <v>3</v>
      </c>
      <c r="E11" s="15">
        <v>4.17</v>
      </c>
      <c r="F11" s="15">
        <v>3</v>
      </c>
      <c r="G11" s="15">
        <v>4.0685013099121328</v>
      </c>
      <c r="H11" s="15">
        <v>3</v>
      </c>
      <c r="I11" s="15">
        <v>4.1902245999999996</v>
      </c>
      <c r="J11" s="15">
        <v>3</v>
      </c>
      <c r="K11" s="15">
        <v>3.844912871788726</v>
      </c>
      <c r="L11" s="15">
        <v>3</v>
      </c>
      <c r="M11" s="15">
        <v>4.297595585337012</v>
      </c>
      <c r="N11" s="15">
        <v>3</v>
      </c>
      <c r="O11" s="15">
        <v>3.134277263931839</v>
      </c>
      <c r="P11" s="15">
        <v>3</v>
      </c>
      <c r="Q11" s="15">
        <v>3.2911643757561522</v>
      </c>
      <c r="R11" s="15">
        <v>3</v>
      </c>
      <c r="S11" s="15">
        <v>3.63380009284807</v>
      </c>
      <c r="T11" s="15">
        <v>3</v>
      </c>
      <c r="U11" s="15">
        <v>3</v>
      </c>
      <c r="V11" s="15">
        <v>5</v>
      </c>
      <c r="W11" s="15">
        <v>4.6307501792907706</v>
      </c>
      <c r="X11" s="15">
        <v>3</v>
      </c>
      <c r="Y11" s="15">
        <v>3.0201264702717991</v>
      </c>
      <c r="Z11" s="15">
        <v>3</v>
      </c>
      <c r="AA11" s="15">
        <v>2.7910361289978032</v>
      </c>
      <c r="AB11" s="15">
        <v>3</v>
      </c>
      <c r="AC11" s="15">
        <v>3.2643181818181821</v>
      </c>
      <c r="AD11" s="15">
        <v>3</v>
      </c>
      <c r="AE11" s="15">
        <v>3.13375</v>
      </c>
    </row>
    <row r="12" spans="1:67" x14ac:dyDescent="0.2">
      <c r="B12" s="15">
        <v>2</v>
      </c>
      <c r="C12" s="15">
        <v>2.790594663358966</v>
      </c>
      <c r="D12" s="15">
        <v>2</v>
      </c>
      <c r="E12" s="15">
        <v>2.16</v>
      </c>
      <c r="F12" s="15">
        <v>2</v>
      </c>
      <c r="G12" s="15">
        <v>2.3221083680800971</v>
      </c>
      <c r="H12" s="15">
        <v>2</v>
      </c>
      <c r="I12" s="15">
        <v>2.1649487000000001</v>
      </c>
      <c r="J12" s="15">
        <v>2</v>
      </c>
      <c r="K12" s="15">
        <v>2.790594663358966</v>
      </c>
      <c r="L12" s="15">
        <v>2</v>
      </c>
      <c r="M12" s="15">
        <v>2.0354879594423321</v>
      </c>
      <c r="N12" s="15">
        <v>2</v>
      </c>
      <c r="O12" s="15">
        <v>3.4779526168385919</v>
      </c>
      <c r="P12" s="15">
        <v>2</v>
      </c>
      <c r="Q12" s="15">
        <v>2.725010386684767</v>
      </c>
      <c r="R12" s="15">
        <v>2</v>
      </c>
      <c r="S12" s="15">
        <v>2.928225939869705</v>
      </c>
      <c r="T12" s="15">
        <v>2</v>
      </c>
      <c r="U12" s="15">
        <v>2</v>
      </c>
      <c r="V12" s="15">
        <v>1</v>
      </c>
      <c r="W12" s="15">
        <v>2.3013660907745361</v>
      </c>
      <c r="X12" s="15">
        <v>2</v>
      </c>
      <c r="Y12" s="15">
        <v>2.6878517954630108</v>
      </c>
      <c r="Z12" s="15">
        <v>2</v>
      </c>
      <c r="AA12" s="15">
        <v>2.893222332000732</v>
      </c>
      <c r="AB12" s="15">
        <v>2</v>
      </c>
      <c r="AC12" s="15">
        <v>1.9576861471861471</v>
      </c>
      <c r="AD12" s="15">
        <v>2</v>
      </c>
      <c r="AE12" s="15">
        <v>2.1036666666666668</v>
      </c>
    </row>
    <row r="13" spans="1:67" x14ac:dyDescent="0.2">
      <c r="B13" s="15">
        <v>5</v>
      </c>
      <c r="C13" s="15">
        <v>3.7184848075741561</v>
      </c>
      <c r="D13" s="15">
        <v>5</v>
      </c>
      <c r="E13" s="15">
        <v>4.53</v>
      </c>
      <c r="F13" s="15">
        <v>5</v>
      </c>
      <c r="G13" s="15">
        <v>4.2531862808046714</v>
      </c>
      <c r="H13" s="15">
        <v>5</v>
      </c>
      <c r="I13" s="15">
        <v>4.3592829999999996</v>
      </c>
      <c r="J13" s="15">
        <v>5</v>
      </c>
      <c r="K13" s="15">
        <v>3.7184848075741561</v>
      </c>
      <c r="L13" s="15">
        <v>5</v>
      </c>
      <c r="M13" s="15">
        <v>3.859941844364442</v>
      </c>
      <c r="N13" s="15">
        <v>5</v>
      </c>
      <c r="O13" s="15">
        <v>4.2594196652521701</v>
      </c>
      <c r="P13" s="15">
        <v>5</v>
      </c>
      <c r="Q13" s="15">
        <v>3.2562870478313402</v>
      </c>
      <c r="R13" s="15">
        <v>5</v>
      </c>
      <c r="S13" s="15">
        <v>3.559697998065789</v>
      </c>
      <c r="T13" s="15">
        <v>5</v>
      </c>
      <c r="U13" s="15">
        <v>5</v>
      </c>
      <c r="V13" s="15">
        <v>1</v>
      </c>
      <c r="W13" s="15">
        <v>1.723267793655396</v>
      </c>
      <c r="X13" s="15">
        <v>5</v>
      </c>
      <c r="Y13" s="15">
        <v>4.3345036811462192</v>
      </c>
      <c r="Z13" s="15">
        <v>5</v>
      </c>
      <c r="AA13" s="15">
        <v>4.3341760635375977</v>
      </c>
      <c r="AB13" s="15">
        <v>5</v>
      </c>
      <c r="AC13" s="15">
        <v>4.5503333333333336</v>
      </c>
      <c r="AD13" s="15">
        <v>5</v>
      </c>
      <c r="AE13" s="15">
        <v>4.4669285714285714</v>
      </c>
    </row>
    <row r="14" spans="1:67" x14ac:dyDescent="0.2">
      <c r="B14" s="15">
        <v>4</v>
      </c>
      <c r="C14" s="15">
        <v>4.1716572070363283</v>
      </c>
      <c r="D14" s="15">
        <v>4</v>
      </c>
      <c r="E14" s="15">
        <v>4.43</v>
      </c>
      <c r="F14" s="15">
        <v>4</v>
      </c>
      <c r="G14" s="15">
        <v>4.702850277469377</v>
      </c>
      <c r="H14" s="15">
        <v>4</v>
      </c>
      <c r="I14" s="15">
        <v>4.7625630000000001</v>
      </c>
      <c r="J14" s="15">
        <v>4</v>
      </c>
      <c r="K14" s="15">
        <v>4.1716572070363283</v>
      </c>
      <c r="L14" s="15">
        <v>4</v>
      </c>
      <c r="M14" s="15">
        <v>4.5788177339901477</v>
      </c>
      <c r="N14" s="15">
        <v>4</v>
      </c>
      <c r="O14" s="15">
        <v>4.3647176412042716</v>
      </c>
      <c r="P14" s="15">
        <v>4</v>
      </c>
      <c r="Q14" s="15">
        <v>4.4246626021016811</v>
      </c>
      <c r="R14" s="15">
        <v>4</v>
      </c>
      <c r="S14" s="15">
        <v>4.8045877778621167</v>
      </c>
      <c r="T14" s="15">
        <v>4</v>
      </c>
      <c r="U14" s="15">
        <v>4</v>
      </c>
      <c r="V14" s="15">
        <v>1</v>
      </c>
      <c r="W14" s="15">
        <v>2.5662245750427251</v>
      </c>
      <c r="X14" s="15">
        <v>4</v>
      </c>
      <c r="Y14" s="15">
        <v>4.1271536468559082</v>
      </c>
      <c r="Z14" s="15">
        <v>4</v>
      </c>
      <c r="AA14" s="15">
        <v>4.204521656036377</v>
      </c>
      <c r="AB14" s="15">
        <v>4</v>
      </c>
      <c r="AC14" s="15">
        <v>4.1727380952380946</v>
      </c>
      <c r="AD14" s="15">
        <v>4</v>
      </c>
      <c r="AE14" s="15">
        <v>4.12</v>
      </c>
    </row>
    <row r="15" spans="1:67" x14ac:dyDescent="0.2">
      <c r="B15" s="15">
        <v>4</v>
      </c>
      <c r="C15" s="15">
        <v>3.9057278728895199</v>
      </c>
      <c r="D15" s="15">
        <v>4</v>
      </c>
      <c r="E15" s="15">
        <v>4.41</v>
      </c>
      <c r="F15" s="15">
        <v>4</v>
      </c>
      <c r="G15" s="15">
        <v>4.2988495037307102</v>
      </c>
      <c r="H15" s="15">
        <v>4</v>
      </c>
      <c r="I15" s="15">
        <v>4.4991890000000003</v>
      </c>
      <c r="J15" s="15">
        <v>4</v>
      </c>
      <c r="K15" s="15">
        <v>3.9057278728895199</v>
      </c>
      <c r="L15" s="15">
        <v>4</v>
      </c>
      <c r="M15" s="15">
        <v>4.1486227721313886</v>
      </c>
      <c r="N15" s="15">
        <v>4</v>
      </c>
      <c r="O15" s="15">
        <v>4.3959245264161746</v>
      </c>
      <c r="P15" s="15">
        <v>4</v>
      </c>
      <c r="Q15" s="15">
        <v>4.2400431696627718</v>
      </c>
      <c r="R15" s="15">
        <v>4</v>
      </c>
      <c r="S15" s="15">
        <v>4.4111359075896264</v>
      </c>
      <c r="T15" s="15">
        <v>4</v>
      </c>
      <c r="U15" s="15">
        <v>4</v>
      </c>
      <c r="V15" s="15">
        <v>3</v>
      </c>
      <c r="W15" s="15">
        <v>3.6815943717956539</v>
      </c>
      <c r="X15" s="15">
        <v>4</v>
      </c>
      <c r="Y15" s="15">
        <v>4.1120539375418748</v>
      </c>
      <c r="Z15" s="15">
        <v>4</v>
      </c>
      <c r="AA15" s="15">
        <v>4.1236109733581543</v>
      </c>
      <c r="AB15" s="15">
        <v>4</v>
      </c>
      <c r="AC15" s="15">
        <v>4.1445476190476187</v>
      </c>
      <c r="AD15" s="15">
        <v>4</v>
      </c>
      <c r="AE15" s="15">
        <v>4.0255238095238104</v>
      </c>
    </row>
    <row r="16" spans="1:67" x14ac:dyDescent="0.2">
      <c r="B16" s="15">
        <v>2</v>
      </c>
      <c r="C16" s="15">
        <v>3.6898797584792811</v>
      </c>
      <c r="D16" s="15">
        <v>2</v>
      </c>
      <c r="E16" s="15">
        <v>3.86</v>
      </c>
      <c r="F16" s="15">
        <v>2</v>
      </c>
      <c r="G16" s="15">
        <v>3.7711691350849019</v>
      </c>
      <c r="H16" s="15">
        <v>2</v>
      </c>
      <c r="I16" s="15">
        <v>3.6603520000000001</v>
      </c>
      <c r="J16" s="15">
        <v>2</v>
      </c>
      <c r="K16" s="15">
        <v>3.6898797584792811</v>
      </c>
      <c r="L16" s="15">
        <v>2</v>
      </c>
      <c r="M16" s="15">
        <v>3.831386441976254</v>
      </c>
      <c r="N16" s="15">
        <v>2</v>
      </c>
      <c r="O16" s="15">
        <v>3.47144573512514</v>
      </c>
      <c r="P16" s="15">
        <v>2</v>
      </c>
      <c r="Q16" s="15">
        <v>3.0063749236690258</v>
      </c>
      <c r="R16" s="15">
        <v>2</v>
      </c>
      <c r="S16" s="15">
        <v>2.8364845358281991</v>
      </c>
      <c r="T16" s="15">
        <v>2</v>
      </c>
      <c r="U16" s="15">
        <v>2</v>
      </c>
      <c r="V16" s="15">
        <v>5</v>
      </c>
      <c r="W16" s="15">
        <v>4.6824936866760254</v>
      </c>
      <c r="X16" s="15">
        <v>2</v>
      </c>
      <c r="Y16" s="15">
        <v>3.431854304869316</v>
      </c>
      <c r="Z16" s="15">
        <v>2</v>
      </c>
      <c r="AA16" s="15">
        <v>3.496616125106812</v>
      </c>
      <c r="AB16" s="15">
        <v>2</v>
      </c>
      <c r="AC16" s="15">
        <v>2.48379365079365</v>
      </c>
      <c r="AD16" s="15">
        <v>2</v>
      </c>
      <c r="AE16" s="15">
        <v>2.4301150793650801</v>
      </c>
    </row>
    <row r="17" spans="2:31" x14ac:dyDescent="0.2">
      <c r="B17" s="15">
        <v>3</v>
      </c>
      <c r="C17" s="15">
        <v>3.4106040515443179</v>
      </c>
      <c r="D17" s="15">
        <v>3</v>
      </c>
      <c r="E17" s="15">
        <v>3.03</v>
      </c>
      <c r="F17" s="15">
        <v>3</v>
      </c>
      <c r="G17" s="15">
        <v>2.9086682285829331</v>
      </c>
      <c r="H17" s="15">
        <v>3</v>
      </c>
      <c r="I17" s="15">
        <v>2.7960148</v>
      </c>
      <c r="J17" s="15">
        <v>3</v>
      </c>
      <c r="K17" s="15">
        <v>3.4106040515443179</v>
      </c>
      <c r="L17" s="15">
        <v>3</v>
      </c>
      <c r="M17" s="15">
        <v>2.8082987551867218</v>
      </c>
      <c r="N17" s="15">
        <v>3</v>
      </c>
      <c r="O17" s="15">
        <v>3.3738165176465071</v>
      </c>
      <c r="P17" s="15">
        <v>3</v>
      </c>
      <c r="Q17" s="15">
        <v>3.297319461149641</v>
      </c>
      <c r="R17" s="15">
        <v>3</v>
      </c>
      <c r="S17" s="15">
        <v>3.474074249148567</v>
      </c>
      <c r="T17" s="15">
        <v>3</v>
      </c>
      <c r="U17" s="15">
        <v>3</v>
      </c>
      <c r="V17" s="15">
        <v>3</v>
      </c>
      <c r="W17" s="15">
        <v>3.3885304927825932</v>
      </c>
      <c r="X17" s="15">
        <v>3</v>
      </c>
      <c r="Y17" s="15">
        <v>3.3928050375273471</v>
      </c>
      <c r="Z17" s="15">
        <v>3</v>
      </c>
      <c r="AA17" s="15">
        <v>3.52199387550354</v>
      </c>
      <c r="AB17" s="15">
        <v>3</v>
      </c>
      <c r="AC17" s="15">
        <v>2.935392857142856</v>
      </c>
      <c r="AD17" s="15">
        <v>3</v>
      </c>
      <c r="AE17" s="15">
        <v>3.138253968253967</v>
      </c>
    </row>
    <row r="18" spans="2:31" x14ac:dyDescent="0.2">
      <c r="B18" s="15">
        <v>1</v>
      </c>
      <c r="C18" s="15">
        <v>2.008052965644334</v>
      </c>
      <c r="D18" s="15">
        <v>1</v>
      </c>
      <c r="E18" s="15">
        <v>1.63</v>
      </c>
      <c r="F18" s="15">
        <v>1</v>
      </c>
      <c r="G18" s="15">
        <v>1.483715057379464</v>
      </c>
      <c r="H18" s="15">
        <v>1</v>
      </c>
      <c r="I18" s="15">
        <v>1.3468715</v>
      </c>
      <c r="J18" s="15">
        <v>1</v>
      </c>
      <c r="K18" s="15">
        <v>2.008052965644334</v>
      </c>
      <c r="L18" s="15">
        <v>1</v>
      </c>
      <c r="M18" s="15">
        <v>1.5931863727454909</v>
      </c>
      <c r="N18" s="15">
        <v>1</v>
      </c>
      <c r="O18" s="15">
        <v>2.2460984972584441</v>
      </c>
      <c r="P18" s="15">
        <v>1</v>
      </c>
      <c r="Q18" s="15">
        <v>1.7507417682300981</v>
      </c>
      <c r="R18" s="15">
        <v>1</v>
      </c>
      <c r="S18" s="15">
        <v>2.271110612587282</v>
      </c>
      <c r="T18" s="15">
        <v>1</v>
      </c>
      <c r="U18" s="15">
        <v>1</v>
      </c>
      <c r="V18" s="15">
        <v>5</v>
      </c>
      <c r="W18" s="15">
        <v>4.1425108909606934</v>
      </c>
      <c r="X18" s="15">
        <v>1</v>
      </c>
      <c r="Y18" s="15">
        <v>1.975689878759846</v>
      </c>
      <c r="Z18" s="15">
        <v>1</v>
      </c>
      <c r="AA18" s="15">
        <v>1.8721034526824949</v>
      </c>
      <c r="AB18" s="15">
        <v>1</v>
      </c>
      <c r="AC18" s="15">
        <v>1.3168571428571429</v>
      </c>
      <c r="AD18" s="15">
        <v>1</v>
      </c>
      <c r="AE18" s="15">
        <v>1.42675</v>
      </c>
    </row>
    <row r="19" spans="2:31" x14ac:dyDescent="0.2">
      <c r="B19" s="15">
        <v>3</v>
      </c>
      <c r="C19" s="15">
        <v>3.757870590843877</v>
      </c>
      <c r="D19" s="15">
        <v>3</v>
      </c>
      <c r="E19" s="15">
        <v>3.82</v>
      </c>
      <c r="F19" s="15">
        <v>3</v>
      </c>
      <c r="G19" s="15">
        <v>3.4859485260796159</v>
      </c>
      <c r="H19" s="15">
        <v>3</v>
      </c>
      <c r="I19" s="15">
        <v>3.4593731999999999</v>
      </c>
      <c r="J19" s="15">
        <v>3</v>
      </c>
      <c r="K19" s="15">
        <v>3.757870590843877</v>
      </c>
      <c r="L19" s="15">
        <v>3</v>
      </c>
      <c r="M19" s="15">
        <v>3.8227938549481961</v>
      </c>
      <c r="N19" s="15">
        <v>3</v>
      </c>
      <c r="O19" s="15">
        <v>4.008968240261475</v>
      </c>
      <c r="P19" s="15">
        <v>3</v>
      </c>
      <c r="Q19" s="15">
        <v>3.9947179424302162</v>
      </c>
      <c r="R19" s="15">
        <v>3</v>
      </c>
      <c r="S19" s="15">
        <v>3.980489822974592</v>
      </c>
      <c r="T19" s="15">
        <v>3</v>
      </c>
      <c r="U19" s="15">
        <v>3</v>
      </c>
      <c r="V19" s="15">
        <v>5</v>
      </c>
      <c r="W19" s="15">
        <v>3.7078626155853271</v>
      </c>
      <c r="X19" s="15">
        <v>3</v>
      </c>
      <c r="Y19" s="15">
        <v>3.80695390885721</v>
      </c>
      <c r="Z19" s="15">
        <v>3</v>
      </c>
      <c r="AA19" s="15">
        <v>3.88111424446106</v>
      </c>
      <c r="AB19" s="15">
        <v>3</v>
      </c>
      <c r="AC19" s="15">
        <v>3.4435833333333332</v>
      </c>
      <c r="AD19" s="15">
        <v>3</v>
      </c>
      <c r="AE19" s="15">
        <v>3.4181785714285722</v>
      </c>
    </row>
    <row r="20" spans="2:31" x14ac:dyDescent="0.2">
      <c r="B20" s="15">
        <v>5</v>
      </c>
      <c r="C20" s="15">
        <v>3.7947835599709361</v>
      </c>
      <c r="D20" s="15">
        <v>5</v>
      </c>
      <c r="E20" s="15">
        <v>3.31</v>
      </c>
      <c r="F20" s="15">
        <v>5</v>
      </c>
      <c r="G20" s="15">
        <v>3.7445844873296181</v>
      </c>
      <c r="H20" s="15">
        <v>5</v>
      </c>
      <c r="I20" s="15">
        <v>3.4699285</v>
      </c>
      <c r="J20" s="15">
        <v>5</v>
      </c>
      <c r="K20" s="15">
        <v>3.7947835599709361</v>
      </c>
      <c r="L20" s="15">
        <v>5</v>
      </c>
      <c r="M20" s="15">
        <v>3.607255948611237</v>
      </c>
      <c r="N20" s="15">
        <v>5</v>
      </c>
      <c r="O20" s="15">
        <v>3.606813262226837</v>
      </c>
      <c r="P20" s="15">
        <v>5</v>
      </c>
      <c r="Q20" s="15">
        <v>3.6740122006529652</v>
      </c>
      <c r="R20" s="15">
        <v>5</v>
      </c>
      <c r="S20" s="15">
        <v>3.4547003801354461</v>
      </c>
      <c r="T20" s="15">
        <v>5</v>
      </c>
      <c r="U20" s="15">
        <v>5</v>
      </c>
      <c r="V20" s="15">
        <v>2</v>
      </c>
      <c r="W20" s="15">
        <v>2.6187772750854492</v>
      </c>
      <c r="X20" s="15">
        <v>5</v>
      </c>
      <c r="Y20" s="15">
        <v>3.8438633804784068</v>
      </c>
      <c r="Z20" s="15">
        <v>5</v>
      </c>
      <c r="AA20" s="15">
        <v>4.065089225769043</v>
      </c>
      <c r="AB20" s="15">
        <v>5</v>
      </c>
      <c r="AC20" s="15">
        <v>4.4394285714285724</v>
      </c>
      <c r="AD20" s="15">
        <v>5</v>
      </c>
      <c r="AE20" s="15">
        <v>4.6180000000000003</v>
      </c>
    </row>
    <row r="21" spans="2:31" x14ac:dyDescent="0.2">
      <c r="B21" s="15">
        <v>5</v>
      </c>
      <c r="C21" s="15">
        <v>3.7244746336073278</v>
      </c>
      <c r="D21" s="15">
        <v>5</v>
      </c>
      <c r="E21" s="15">
        <v>4.3499999999999996</v>
      </c>
      <c r="F21" s="15">
        <v>5</v>
      </c>
      <c r="G21" s="15">
        <v>4.2765276422219687</v>
      </c>
      <c r="H21" s="15">
        <v>5</v>
      </c>
      <c r="I21" s="15">
        <v>4.1329092999999997</v>
      </c>
      <c r="J21" s="15">
        <v>5</v>
      </c>
      <c r="K21" s="15">
        <v>3.7244746336073278</v>
      </c>
      <c r="L21" s="15">
        <v>5</v>
      </c>
      <c r="M21" s="15">
        <v>4.2636709069882706</v>
      </c>
      <c r="N21" s="15">
        <v>5</v>
      </c>
      <c r="O21" s="15">
        <v>3.9503139544499208</v>
      </c>
      <c r="P21" s="15">
        <v>5</v>
      </c>
      <c r="Q21" s="15">
        <v>3.981397200257895</v>
      </c>
      <c r="R21" s="15">
        <v>5</v>
      </c>
      <c r="S21" s="15">
        <v>4.0752421409014827</v>
      </c>
      <c r="T21" s="15">
        <v>5</v>
      </c>
      <c r="U21" s="15">
        <v>5</v>
      </c>
      <c r="V21" s="15">
        <v>3</v>
      </c>
      <c r="W21" s="15">
        <v>4.0984654426574707</v>
      </c>
      <c r="X21" s="15">
        <v>5</v>
      </c>
      <c r="Y21" s="15">
        <v>4.0917474619306287</v>
      </c>
      <c r="Z21" s="15">
        <v>5</v>
      </c>
      <c r="AA21" s="15">
        <v>3.970258474349976</v>
      </c>
      <c r="AB21" s="15">
        <v>5</v>
      </c>
      <c r="AC21" s="15">
        <v>4.549547619047619</v>
      </c>
      <c r="AD21" s="15">
        <v>5</v>
      </c>
      <c r="AE21" s="15">
        <v>4.5653333333333332</v>
      </c>
    </row>
    <row r="22" spans="2:31" x14ac:dyDescent="0.2">
      <c r="B22" s="15">
        <v>5</v>
      </c>
      <c r="C22" s="15">
        <v>4.0283893677475318</v>
      </c>
      <c r="D22" s="15">
        <v>5</v>
      </c>
      <c r="E22" s="15">
        <v>4.38</v>
      </c>
      <c r="F22" s="15">
        <v>5</v>
      </c>
      <c r="G22" s="15">
        <v>4.3648603574128764</v>
      </c>
      <c r="H22" s="15">
        <v>5</v>
      </c>
      <c r="I22" s="15">
        <v>4.5013866</v>
      </c>
      <c r="J22" s="15">
        <v>5</v>
      </c>
      <c r="K22" s="15">
        <v>4.0283893677475318</v>
      </c>
      <c r="L22" s="15">
        <v>5</v>
      </c>
      <c r="M22" s="15">
        <v>4.0155208964264082</v>
      </c>
      <c r="N22" s="15">
        <v>5</v>
      </c>
      <c r="O22" s="15">
        <v>3.507539589863895</v>
      </c>
      <c r="P22" s="15">
        <v>5</v>
      </c>
      <c r="Q22" s="15">
        <v>4.1575487915865459</v>
      </c>
      <c r="R22" s="15">
        <v>5</v>
      </c>
      <c r="S22" s="15">
        <v>4.6042468135384382</v>
      </c>
      <c r="T22" s="15">
        <v>5</v>
      </c>
      <c r="U22" s="15">
        <v>5</v>
      </c>
      <c r="V22" s="15">
        <v>5</v>
      </c>
      <c r="W22" s="15">
        <v>4.6160879135131836</v>
      </c>
      <c r="X22" s="15">
        <v>5</v>
      </c>
      <c r="Y22" s="15">
        <v>3.5754877792690629</v>
      </c>
      <c r="Z22" s="15">
        <v>5</v>
      </c>
      <c r="AA22" s="15">
        <v>3.4870181083679199</v>
      </c>
      <c r="AB22" s="15">
        <v>5</v>
      </c>
      <c r="AC22" s="15">
        <v>4.7296666666666667</v>
      </c>
      <c r="AD22" s="15">
        <v>5</v>
      </c>
      <c r="AE22" s="15">
        <v>4.7038214285714286</v>
      </c>
    </row>
    <row r="23" spans="2:31" x14ac:dyDescent="0.2">
      <c r="B23" s="15">
        <v>5</v>
      </c>
      <c r="C23" s="15">
        <v>3.808824837513539</v>
      </c>
      <c r="D23" s="15">
        <v>5</v>
      </c>
      <c r="E23" s="15">
        <v>4.0999999999999996</v>
      </c>
      <c r="F23" s="15">
        <v>5</v>
      </c>
      <c r="G23" s="15">
        <v>3.9926491479680188</v>
      </c>
      <c r="H23" s="15">
        <v>5</v>
      </c>
      <c r="I23" s="15">
        <v>4.0105466999999999</v>
      </c>
      <c r="J23" s="15">
        <v>5</v>
      </c>
      <c r="K23" s="15">
        <v>3.808824837513539</v>
      </c>
      <c r="L23" s="15">
        <v>5</v>
      </c>
      <c r="M23" s="15">
        <v>3.7917898193760262</v>
      </c>
      <c r="N23" s="15">
        <v>5</v>
      </c>
      <c r="O23" s="15">
        <v>3.892658623554615</v>
      </c>
      <c r="P23" s="15">
        <v>5</v>
      </c>
      <c r="Q23" s="15">
        <v>3.983695625196161</v>
      </c>
      <c r="R23" s="15">
        <v>5</v>
      </c>
      <c r="S23" s="15">
        <v>4.2579853902970477</v>
      </c>
      <c r="T23" s="15">
        <v>5</v>
      </c>
      <c r="U23" s="15">
        <v>5</v>
      </c>
      <c r="V23" s="15">
        <v>4</v>
      </c>
      <c r="W23" s="15">
        <v>4.3616232872009277</v>
      </c>
      <c r="X23" s="15">
        <v>5</v>
      </c>
      <c r="Y23" s="15">
        <v>4.2672475537959151</v>
      </c>
      <c r="Z23" s="15">
        <v>5</v>
      </c>
      <c r="AA23" s="15">
        <v>4.1647133827209473</v>
      </c>
      <c r="AB23" s="15">
        <v>5</v>
      </c>
      <c r="AC23" s="15">
        <v>4.7350833333333329</v>
      </c>
      <c r="AD23" s="15">
        <v>5</v>
      </c>
      <c r="AE23" s="15">
        <v>4.7061666666666664</v>
      </c>
    </row>
    <row r="24" spans="2:31" x14ac:dyDescent="0.2">
      <c r="B24" s="15">
        <v>5</v>
      </c>
      <c r="C24" s="15">
        <v>3.7500321536786498</v>
      </c>
      <c r="D24" s="15">
        <v>5</v>
      </c>
      <c r="E24" s="15">
        <v>3.75</v>
      </c>
      <c r="F24" s="15">
        <v>5</v>
      </c>
      <c r="G24" s="15">
        <v>3.7182133216737649</v>
      </c>
      <c r="H24" s="15">
        <v>5</v>
      </c>
      <c r="I24" s="15">
        <v>3.7893829999999999</v>
      </c>
      <c r="J24" s="15">
        <v>5</v>
      </c>
      <c r="K24" s="15">
        <v>3.7500321536786512</v>
      </c>
      <c r="L24" s="15">
        <v>5</v>
      </c>
      <c r="M24" s="15">
        <v>3.859941844364442</v>
      </c>
      <c r="N24" s="15">
        <v>5</v>
      </c>
      <c r="O24" s="15">
        <v>3.616996781435291</v>
      </c>
      <c r="P24" s="15">
        <v>5</v>
      </c>
      <c r="Q24" s="15">
        <v>3.2813258900174849</v>
      </c>
      <c r="R24" s="15">
        <v>5</v>
      </c>
      <c r="S24" s="15">
        <v>3.21736431345983</v>
      </c>
      <c r="T24" s="15">
        <v>5</v>
      </c>
      <c r="U24" s="15">
        <v>5</v>
      </c>
      <c r="V24" s="15">
        <v>2</v>
      </c>
      <c r="W24" s="15">
        <v>1.256274461746216</v>
      </c>
      <c r="X24" s="15">
        <v>5</v>
      </c>
      <c r="Y24" s="15">
        <v>3.5524987756062658</v>
      </c>
      <c r="Z24" s="15">
        <v>5</v>
      </c>
      <c r="AA24" s="15">
        <v>4.3466024398803711</v>
      </c>
      <c r="AB24" s="15">
        <v>5</v>
      </c>
      <c r="AC24" s="15">
        <v>4.2108928571428574</v>
      </c>
      <c r="AD24" s="15">
        <v>5</v>
      </c>
      <c r="AE24" s="15">
        <v>4.2605833333333329</v>
      </c>
    </row>
    <row r="25" spans="2:31" x14ac:dyDescent="0.2">
      <c r="B25" s="15">
        <v>2</v>
      </c>
      <c r="C25" s="15">
        <v>3.5464187127588729</v>
      </c>
      <c r="D25" s="15">
        <v>2</v>
      </c>
      <c r="E25" s="15">
        <v>2.88</v>
      </c>
      <c r="F25" s="15">
        <v>2</v>
      </c>
      <c r="G25" s="15">
        <v>2.684280125958288</v>
      </c>
      <c r="H25" s="15">
        <v>2</v>
      </c>
      <c r="I25" s="15">
        <v>2.9605904000000001</v>
      </c>
      <c r="J25" s="15">
        <v>2</v>
      </c>
      <c r="K25" s="15">
        <v>3.5464187127588729</v>
      </c>
      <c r="L25" s="15">
        <v>2</v>
      </c>
      <c r="M25" s="15">
        <v>2.3134796238244508</v>
      </c>
      <c r="N25" s="15">
        <v>2</v>
      </c>
      <c r="O25" s="15">
        <v>4.1963737404667594</v>
      </c>
      <c r="P25" s="15">
        <v>2</v>
      </c>
      <c r="Q25" s="15">
        <v>3.5170511041676442</v>
      </c>
      <c r="R25" s="15">
        <v>2</v>
      </c>
      <c r="S25" s="15">
        <v>3.2376255409638199</v>
      </c>
      <c r="T25" s="15">
        <v>2</v>
      </c>
      <c r="U25" s="15">
        <v>2</v>
      </c>
      <c r="V25" s="15">
        <v>4</v>
      </c>
      <c r="W25" s="15">
        <v>3.7648665904998779</v>
      </c>
      <c r="X25" s="15">
        <v>2</v>
      </c>
      <c r="Y25" s="15">
        <v>3.894273138435723</v>
      </c>
      <c r="Z25" s="15">
        <v>2</v>
      </c>
      <c r="AA25" s="15">
        <v>4.050933837890625</v>
      </c>
      <c r="AB25" s="15">
        <v>2</v>
      </c>
      <c r="AC25" s="15">
        <v>2.4136904761904758</v>
      </c>
      <c r="AD25" s="15">
        <v>2</v>
      </c>
      <c r="AE25" s="15">
        <v>2.4784166666666669</v>
      </c>
    </row>
    <row r="26" spans="2:31" x14ac:dyDescent="0.2">
      <c r="B26" s="15">
        <v>5</v>
      </c>
      <c r="C26" s="15">
        <v>3.7699904118034131</v>
      </c>
      <c r="D26" s="15">
        <v>5</v>
      </c>
      <c r="E26" s="15">
        <v>4.34</v>
      </c>
      <c r="F26" s="15">
        <v>5</v>
      </c>
      <c r="G26" s="15">
        <v>4.443927265685141</v>
      </c>
      <c r="H26" s="15">
        <v>5</v>
      </c>
      <c r="I26" s="15">
        <v>4.3689203000000001</v>
      </c>
      <c r="J26" s="15">
        <v>5</v>
      </c>
      <c r="K26" s="15">
        <v>3.7699904118034131</v>
      </c>
      <c r="L26" s="15">
        <v>5</v>
      </c>
      <c r="M26" s="15">
        <v>4.2636709069882706</v>
      </c>
      <c r="N26" s="15">
        <v>5</v>
      </c>
      <c r="O26" s="15">
        <v>4.1531664297364328</v>
      </c>
      <c r="P26" s="15">
        <v>5</v>
      </c>
      <c r="Q26" s="15">
        <v>4.3917632556395878</v>
      </c>
      <c r="R26" s="15">
        <v>5</v>
      </c>
      <c r="S26" s="15">
        <v>4.5117086805694342</v>
      </c>
      <c r="T26" s="15">
        <v>5</v>
      </c>
      <c r="U26" s="15">
        <v>5</v>
      </c>
      <c r="V26" s="15">
        <v>3</v>
      </c>
      <c r="W26" s="15">
        <v>3.6138424873352051</v>
      </c>
      <c r="X26" s="15">
        <v>5</v>
      </c>
      <c r="Y26" s="15">
        <v>4.4193861439058626</v>
      </c>
      <c r="Z26" s="15">
        <v>5</v>
      </c>
      <c r="AA26" s="15">
        <v>4.5739598274230957</v>
      </c>
      <c r="AB26" s="15">
        <v>5</v>
      </c>
      <c r="AC26" s="15">
        <v>4.9050000000000002</v>
      </c>
      <c r="AD26" s="15">
        <v>5</v>
      </c>
      <c r="AE26" s="15">
        <v>4.892261904761904</v>
      </c>
    </row>
    <row r="27" spans="2:31" x14ac:dyDescent="0.2">
      <c r="B27" s="15">
        <v>1</v>
      </c>
      <c r="C27" s="15">
        <v>3.544397071137865</v>
      </c>
      <c r="D27" s="15">
        <v>1</v>
      </c>
      <c r="E27" s="15">
        <v>3.06</v>
      </c>
      <c r="F27" s="15">
        <v>1</v>
      </c>
      <c r="G27" s="15">
        <v>2.8988040766260448</v>
      </c>
      <c r="H27" s="15">
        <v>1</v>
      </c>
      <c r="I27" s="15">
        <v>3.0835533000000002</v>
      </c>
      <c r="J27" s="15">
        <v>1</v>
      </c>
      <c r="K27" s="15">
        <v>3.544397071137865</v>
      </c>
      <c r="L27" s="15">
        <v>1</v>
      </c>
      <c r="M27" s="15">
        <v>3.1163594470046081</v>
      </c>
      <c r="N27" s="15">
        <v>1</v>
      </c>
      <c r="O27" s="15">
        <v>2.5629699554906531</v>
      </c>
      <c r="P27" s="15">
        <v>1</v>
      </c>
      <c r="Q27" s="15">
        <v>2.1537146780346088</v>
      </c>
      <c r="R27" s="15">
        <v>1</v>
      </c>
      <c r="S27" s="15">
        <v>2.416116306648004</v>
      </c>
      <c r="T27" s="15">
        <v>1</v>
      </c>
      <c r="U27" s="15">
        <v>1</v>
      </c>
      <c r="V27" s="15">
        <v>5</v>
      </c>
      <c r="W27" s="15">
        <v>3.850560188293457</v>
      </c>
      <c r="X27" s="15">
        <v>1</v>
      </c>
      <c r="Y27" s="15">
        <v>2.021334996747894</v>
      </c>
      <c r="Z27" s="15">
        <v>1</v>
      </c>
      <c r="AA27" s="15">
        <v>1.833188056945801</v>
      </c>
      <c r="AB27" s="15">
        <v>1</v>
      </c>
      <c r="AC27" s="15">
        <v>1.2022380952380951</v>
      </c>
      <c r="AD27" s="15">
        <v>1</v>
      </c>
      <c r="AE27" s="15">
        <v>1.191916666666667</v>
      </c>
    </row>
    <row r="28" spans="2:31" x14ac:dyDescent="0.2">
      <c r="B28" s="15">
        <v>4</v>
      </c>
      <c r="C28" s="15">
        <v>3.9339370680905899</v>
      </c>
      <c r="D28" s="15">
        <v>4</v>
      </c>
      <c r="E28" s="15">
        <v>4.1399999999999997</v>
      </c>
      <c r="F28" s="15">
        <v>4</v>
      </c>
      <c r="G28" s="15">
        <v>4.0975268353023804</v>
      </c>
      <c r="H28" s="15">
        <v>4</v>
      </c>
      <c r="I28" s="15">
        <v>4.3013386999999996</v>
      </c>
      <c r="J28" s="15">
        <v>4</v>
      </c>
      <c r="K28" s="15">
        <v>3.9339370680905899</v>
      </c>
      <c r="L28" s="15">
        <v>4</v>
      </c>
      <c r="M28" s="15">
        <v>4.1486227721313886</v>
      </c>
      <c r="N28" s="15">
        <v>4</v>
      </c>
      <c r="O28" s="15">
        <v>3.7652380568737089</v>
      </c>
      <c r="P28" s="15">
        <v>4</v>
      </c>
      <c r="Q28" s="15">
        <v>3.7985269343701349</v>
      </c>
      <c r="R28" s="15">
        <v>4</v>
      </c>
      <c r="S28" s="15">
        <v>3.6353310096920919</v>
      </c>
      <c r="T28" s="15">
        <v>4</v>
      </c>
      <c r="U28" s="15">
        <v>4</v>
      </c>
      <c r="V28" s="15">
        <v>3</v>
      </c>
      <c r="W28" s="15">
        <v>3.390322208404541</v>
      </c>
      <c r="X28" s="15">
        <v>4</v>
      </c>
      <c r="Y28" s="15">
        <v>3.9679865564160939</v>
      </c>
      <c r="Z28" s="15">
        <v>4</v>
      </c>
      <c r="AA28" s="15">
        <v>4.0957298278808594</v>
      </c>
      <c r="AB28" s="15">
        <v>4</v>
      </c>
      <c r="AC28" s="15">
        <v>4.067499999999999</v>
      </c>
      <c r="AD28" s="15">
        <v>4</v>
      </c>
      <c r="AE28" s="15">
        <v>3.9536666666666669</v>
      </c>
    </row>
    <row r="29" spans="2:31" x14ac:dyDescent="0.2">
      <c r="B29" s="15">
        <v>4</v>
      </c>
      <c r="C29" s="15">
        <v>3.482015759444173</v>
      </c>
      <c r="D29" s="15">
        <v>4</v>
      </c>
      <c r="E29" s="15">
        <v>2.83</v>
      </c>
      <c r="F29" s="15">
        <v>4</v>
      </c>
      <c r="G29" s="15">
        <v>2.6526044524883612</v>
      </c>
      <c r="H29" s="15">
        <v>4</v>
      </c>
      <c r="I29" s="15">
        <v>2.3461927999999999</v>
      </c>
      <c r="J29" s="15">
        <v>4</v>
      </c>
      <c r="K29" s="15">
        <v>3.482015759444173</v>
      </c>
      <c r="L29" s="15">
        <v>4</v>
      </c>
      <c r="M29" s="15">
        <v>2.5758620689655172</v>
      </c>
      <c r="N29" s="15">
        <v>4</v>
      </c>
      <c r="O29" s="15">
        <v>4.08815575776649</v>
      </c>
      <c r="P29" s="15">
        <v>4</v>
      </c>
      <c r="Q29" s="15">
        <v>3.8661138075022148</v>
      </c>
      <c r="R29" s="15">
        <v>4</v>
      </c>
      <c r="S29" s="15">
        <v>3.9879118566646481</v>
      </c>
      <c r="T29" s="15">
        <v>4</v>
      </c>
      <c r="U29" s="15">
        <v>4</v>
      </c>
      <c r="V29" s="15">
        <v>1</v>
      </c>
      <c r="W29" s="15">
        <v>1.9847466945648189</v>
      </c>
      <c r="X29" s="15">
        <v>4</v>
      </c>
      <c r="Y29" s="15">
        <v>4.2110874108210261</v>
      </c>
      <c r="Z29" s="15">
        <v>4</v>
      </c>
      <c r="AA29" s="15">
        <v>4.3401727676391602</v>
      </c>
      <c r="AB29" s="15">
        <v>4</v>
      </c>
      <c r="AC29" s="15">
        <v>4.0548015873015881</v>
      </c>
      <c r="AD29" s="15">
        <v>4</v>
      </c>
      <c r="AE29" s="15">
        <v>3.91261507936508</v>
      </c>
    </row>
    <row r="30" spans="2:31" x14ac:dyDescent="0.2">
      <c r="B30" s="15">
        <v>4</v>
      </c>
      <c r="C30" s="15">
        <v>3.7404988372101782</v>
      </c>
      <c r="D30" s="15">
        <v>4</v>
      </c>
      <c r="E30" s="15">
        <v>3.91</v>
      </c>
      <c r="F30" s="15">
        <v>4</v>
      </c>
      <c r="G30" s="15">
        <v>3.7969001406528839</v>
      </c>
      <c r="H30" s="15">
        <v>4</v>
      </c>
      <c r="I30" s="15">
        <v>3.9366976999999999</v>
      </c>
      <c r="J30" s="15">
        <v>4</v>
      </c>
      <c r="K30" s="15">
        <v>3.7404988372101782</v>
      </c>
      <c r="L30" s="15">
        <v>4</v>
      </c>
      <c r="M30" s="15">
        <v>3.5249487354750508</v>
      </c>
      <c r="N30" s="15">
        <v>4</v>
      </c>
      <c r="O30" s="15">
        <v>4.0241783072123649</v>
      </c>
      <c r="P30" s="15">
        <v>4</v>
      </c>
      <c r="Q30" s="15">
        <v>3.5725582374873248</v>
      </c>
      <c r="R30" s="15">
        <v>4</v>
      </c>
      <c r="S30" s="15">
        <v>3.6169039499940672</v>
      </c>
      <c r="T30" s="15">
        <v>4</v>
      </c>
      <c r="U30" s="15">
        <v>4</v>
      </c>
      <c r="V30" s="15">
        <v>3</v>
      </c>
      <c r="W30" s="15">
        <v>3.1236662864685059</v>
      </c>
      <c r="X30" s="15">
        <v>4</v>
      </c>
      <c r="Y30" s="15">
        <v>3.9468426606775489</v>
      </c>
      <c r="Z30" s="15">
        <v>4</v>
      </c>
      <c r="AA30" s="15">
        <v>3.8218562602996831</v>
      </c>
      <c r="AB30" s="15">
        <v>4</v>
      </c>
      <c r="AC30" s="15">
        <v>3.81</v>
      </c>
      <c r="AD30" s="15">
        <v>4</v>
      </c>
      <c r="AE30" s="15">
        <v>3.7495952380952389</v>
      </c>
    </row>
    <row r="31" spans="2:31" x14ac:dyDescent="0.2">
      <c r="B31" s="15">
        <v>5</v>
      </c>
      <c r="C31" s="15">
        <v>3.9237478778600199</v>
      </c>
      <c r="D31" s="15">
        <v>5</v>
      </c>
      <c r="E31" s="15">
        <v>4.2300000000000004</v>
      </c>
      <c r="F31" s="15">
        <v>5</v>
      </c>
      <c r="G31" s="15">
        <v>4.271492591580536</v>
      </c>
      <c r="H31" s="15">
        <v>5</v>
      </c>
      <c r="I31" s="15">
        <v>4.2503310000000001</v>
      </c>
      <c r="J31" s="15">
        <v>5</v>
      </c>
      <c r="K31" s="15">
        <v>3.9237478778600199</v>
      </c>
      <c r="L31" s="15">
        <v>5</v>
      </c>
      <c r="M31" s="15">
        <v>4.3469162995594717</v>
      </c>
      <c r="N31" s="15">
        <v>5</v>
      </c>
      <c r="O31" s="15">
        <v>2.5369080407988651</v>
      </c>
      <c r="P31" s="15">
        <v>5</v>
      </c>
      <c r="Q31" s="15">
        <v>2.9582614303173789</v>
      </c>
      <c r="R31" s="15">
        <v>5</v>
      </c>
      <c r="S31" s="15">
        <v>2.7252339153981122</v>
      </c>
      <c r="T31" s="15">
        <v>5</v>
      </c>
      <c r="U31" s="15">
        <v>5</v>
      </c>
      <c r="V31" s="15">
        <v>3</v>
      </c>
      <c r="W31" s="15">
        <v>2.3177468776702881</v>
      </c>
      <c r="X31" s="15">
        <v>5</v>
      </c>
      <c r="Y31" s="15">
        <v>2.6073988081565762</v>
      </c>
      <c r="Z31" s="15">
        <v>5</v>
      </c>
      <c r="AA31" s="15">
        <v>3.273768424987793</v>
      </c>
      <c r="AB31" s="15">
        <v>5</v>
      </c>
      <c r="AC31" s="15">
        <v>4.2686428571428578</v>
      </c>
      <c r="AD31" s="15">
        <v>5</v>
      </c>
      <c r="AE31" s="15">
        <v>4.1443484848484848</v>
      </c>
    </row>
    <row r="32" spans="2:31" x14ac:dyDescent="0.2">
      <c r="B32" s="15">
        <v>4</v>
      </c>
      <c r="C32" s="15">
        <v>3.6548461254595872</v>
      </c>
      <c r="D32" s="15">
        <v>4</v>
      </c>
      <c r="E32" s="15">
        <v>3.85</v>
      </c>
      <c r="F32" s="15">
        <v>4</v>
      </c>
      <c r="G32" s="15">
        <v>4.1293766241125356</v>
      </c>
      <c r="H32" s="15">
        <v>4</v>
      </c>
      <c r="I32" s="15">
        <v>4.0923020000000001</v>
      </c>
      <c r="J32" s="15">
        <v>4</v>
      </c>
      <c r="K32" s="15">
        <v>3.6548461254595872</v>
      </c>
      <c r="L32" s="15">
        <v>4</v>
      </c>
      <c r="M32" s="15">
        <v>4.4168314035583167</v>
      </c>
      <c r="N32" s="15">
        <v>4</v>
      </c>
      <c r="O32" s="15">
        <v>3.880589337822498</v>
      </c>
      <c r="P32" s="15">
        <v>4</v>
      </c>
      <c r="Q32" s="15">
        <v>4.1011255450243489</v>
      </c>
      <c r="R32" s="15">
        <v>4</v>
      </c>
      <c r="S32" s="15">
        <v>3.9605410646135022</v>
      </c>
      <c r="T32" s="15">
        <v>4</v>
      </c>
      <c r="U32" s="15">
        <v>4</v>
      </c>
      <c r="V32" s="15">
        <v>4</v>
      </c>
      <c r="W32" s="15">
        <v>4.386681079864502</v>
      </c>
      <c r="X32" s="15">
        <v>4</v>
      </c>
      <c r="Y32" s="15">
        <v>4.2272159037391024</v>
      </c>
      <c r="Z32" s="15">
        <v>4</v>
      </c>
      <c r="AA32" s="15">
        <v>4.5242633819580078</v>
      </c>
      <c r="AB32" s="15">
        <v>4</v>
      </c>
      <c r="AC32" s="15">
        <v>4.0280714285714279</v>
      </c>
      <c r="AD32" s="15">
        <v>4</v>
      </c>
      <c r="AE32" s="15">
        <v>4.0419404761904758</v>
      </c>
    </row>
    <row r="33" spans="2:31" x14ac:dyDescent="0.2">
      <c r="B33" s="15">
        <v>5</v>
      </c>
      <c r="C33" s="15">
        <v>3.8074288235463758</v>
      </c>
      <c r="D33" s="15">
        <v>5</v>
      </c>
      <c r="E33" s="15">
        <v>3.99</v>
      </c>
      <c r="F33" s="15">
        <v>5</v>
      </c>
      <c r="G33" s="15">
        <v>3.9955654509847438</v>
      </c>
      <c r="H33" s="15">
        <v>5</v>
      </c>
      <c r="I33" s="15">
        <v>3.9137602</v>
      </c>
      <c r="J33" s="15">
        <v>5</v>
      </c>
      <c r="K33" s="15">
        <v>3.8074288235463758</v>
      </c>
      <c r="L33" s="15">
        <v>5</v>
      </c>
      <c r="M33" s="15">
        <v>4.0155208964264082</v>
      </c>
      <c r="N33" s="15">
        <v>5</v>
      </c>
      <c r="O33" s="15">
        <v>3.4234099780332761</v>
      </c>
      <c r="P33" s="15">
        <v>5</v>
      </c>
      <c r="Q33" s="15">
        <v>3.3743981608275528</v>
      </c>
      <c r="R33" s="15">
        <v>5</v>
      </c>
      <c r="S33" s="15">
        <v>3.2355300563505418</v>
      </c>
      <c r="T33" s="15">
        <v>5</v>
      </c>
      <c r="U33" s="15">
        <v>5</v>
      </c>
      <c r="V33" s="15">
        <v>3</v>
      </c>
      <c r="W33" s="15">
        <v>3.6131689548492432</v>
      </c>
      <c r="X33" s="15">
        <v>5</v>
      </c>
      <c r="Y33" s="15">
        <v>3.9293150831129742</v>
      </c>
      <c r="Z33" s="15">
        <v>5</v>
      </c>
      <c r="AA33" s="15">
        <v>3.9258086681365971</v>
      </c>
      <c r="AB33" s="15">
        <v>5</v>
      </c>
      <c r="AC33" s="15">
        <v>4.588230158730159</v>
      </c>
      <c r="AD33" s="15">
        <v>5</v>
      </c>
      <c r="AE33" s="15">
        <v>4.6102857142857143</v>
      </c>
    </row>
    <row r="34" spans="2:31" x14ac:dyDescent="0.2">
      <c r="B34" s="15">
        <v>5</v>
      </c>
      <c r="C34" s="15">
        <v>3.686187674131554</v>
      </c>
      <c r="D34" s="15">
        <v>5</v>
      </c>
      <c r="E34" s="15">
        <v>4.0999999999999996</v>
      </c>
      <c r="F34" s="15">
        <v>5</v>
      </c>
      <c r="G34" s="15">
        <v>4.1213525926126522</v>
      </c>
      <c r="H34" s="15">
        <v>5</v>
      </c>
      <c r="I34" s="15">
        <v>3.9616525</v>
      </c>
      <c r="J34" s="15">
        <v>5</v>
      </c>
      <c r="K34" s="15">
        <v>3.686187674131554</v>
      </c>
      <c r="L34" s="15">
        <v>5</v>
      </c>
      <c r="M34" s="15">
        <v>4.0155208964264082</v>
      </c>
      <c r="N34" s="15">
        <v>5</v>
      </c>
      <c r="O34" s="15">
        <v>2.8078810690972689</v>
      </c>
      <c r="P34" s="15">
        <v>5</v>
      </c>
      <c r="Q34" s="15">
        <v>3.355213543553162</v>
      </c>
      <c r="R34" s="15">
        <v>5</v>
      </c>
      <c r="S34" s="15">
        <v>3.4909515887826208</v>
      </c>
      <c r="T34" s="15">
        <v>5</v>
      </c>
      <c r="U34" s="15">
        <v>5</v>
      </c>
      <c r="V34" s="15">
        <v>4</v>
      </c>
      <c r="W34" s="15">
        <v>3.3291852474212651</v>
      </c>
      <c r="X34" s="15">
        <v>5</v>
      </c>
      <c r="Y34" s="15">
        <v>3.5696637652574958</v>
      </c>
      <c r="Z34" s="15">
        <v>5</v>
      </c>
      <c r="AA34" s="15">
        <v>4.2438440322875977</v>
      </c>
      <c r="AB34" s="15">
        <v>5</v>
      </c>
      <c r="AC34" s="15">
        <v>4.495976190476191</v>
      </c>
      <c r="AD34" s="15">
        <v>5</v>
      </c>
      <c r="AE34" s="15">
        <v>4.1324166666666668</v>
      </c>
    </row>
    <row r="35" spans="2:31" x14ac:dyDescent="0.2">
      <c r="B35" s="15">
        <v>4</v>
      </c>
      <c r="C35" s="15">
        <v>3.6309696805880209</v>
      </c>
      <c r="D35" s="15">
        <v>4</v>
      </c>
      <c r="E35" s="15">
        <v>3.89</v>
      </c>
      <c r="F35" s="15">
        <v>4</v>
      </c>
      <c r="G35" s="15">
        <v>3.8962940920303231</v>
      </c>
      <c r="H35" s="15">
        <v>4</v>
      </c>
      <c r="I35" s="15">
        <v>3.6707825999999999</v>
      </c>
      <c r="J35" s="15">
        <v>4</v>
      </c>
      <c r="K35" s="15">
        <v>3.6309696805880209</v>
      </c>
      <c r="L35" s="15">
        <v>4</v>
      </c>
      <c r="M35" s="15">
        <v>3.831386441976254</v>
      </c>
      <c r="N35" s="15">
        <v>4</v>
      </c>
      <c r="O35" s="15">
        <v>4.1483270580578262</v>
      </c>
      <c r="P35" s="15">
        <v>4</v>
      </c>
      <c r="Q35" s="15">
        <v>4.2681630534396886</v>
      </c>
      <c r="R35" s="15">
        <v>4</v>
      </c>
      <c r="S35" s="15">
        <v>4.1299897839985764</v>
      </c>
      <c r="T35" s="15">
        <v>4</v>
      </c>
      <c r="U35" s="15">
        <v>4</v>
      </c>
      <c r="V35" s="15">
        <v>1</v>
      </c>
      <c r="W35" s="15">
        <v>2.0881583690643311</v>
      </c>
      <c r="X35" s="15">
        <v>4</v>
      </c>
      <c r="Y35" s="15">
        <v>4.2412235704231858</v>
      </c>
      <c r="Z35" s="15">
        <v>4</v>
      </c>
      <c r="AA35" s="15">
        <v>4.2342686653137207</v>
      </c>
      <c r="AB35" s="15">
        <v>4</v>
      </c>
      <c r="AC35" s="15">
        <v>4.1299761904761896</v>
      </c>
      <c r="AD35" s="15">
        <v>4</v>
      </c>
      <c r="AE35" s="15">
        <v>4.1873333333333331</v>
      </c>
    </row>
    <row r="36" spans="2:31" x14ac:dyDescent="0.2">
      <c r="B36" s="15">
        <v>1</v>
      </c>
      <c r="C36" s="15">
        <v>2.5980510467494691</v>
      </c>
      <c r="D36" s="15">
        <v>1</v>
      </c>
      <c r="E36" s="15">
        <v>2.2599999999999998</v>
      </c>
      <c r="F36" s="15">
        <v>1</v>
      </c>
      <c r="G36" s="15">
        <v>2.2367989259023862</v>
      </c>
      <c r="H36" s="15">
        <v>1</v>
      </c>
      <c r="I36" s="15">
        <v>2.0759623</v>
      </c>
      <c r="J36" s="15">
        <v>1</v>
      </c>
      <c r="K36" s="15">
        <v>2.5980510467494691</v>
      </c>
      <c r="L36" s="15">
        <v>1</v>
      </c>
      <c r="M36" s="15">
        <v>2.2801932367149762</v>
      </c>
      <c r="N36" s="15">
        <v>1</v>
      </c>
      <c r="O36" s="15">
        <v>3.3488659173124442</v>
      </c>
      <c r="P36" s="15">
        <v>1</v>
      </c>
      <c r="Q36" s="15">
        <v>3.332237471709619</v>
      </c>
      <c r="R36" s="15">
        <v>1</v>
      </c>
      <c r="S36" s="15">
        <v>3.2077032043590452</v>
      </c>
      <c r="T36" s="15">
        <v>1</v>
      </c>
      <c r="U36" s="15">
        <v>1</v>
      </c>
      <c r="V36" s="15">
        <v>3</v>
      </c>
      <c r="W36" s="15">
        <v>2.8339905738830571</v>
      </c>
      <c r="X36" s="15">
        <v>1</v>
      </c>
      <c r="Y36" s="15">
        <v>2.7806674503432989</v>
      </c>
      <c r="Z36" s="15">
        <v>1</v>
      </c>
      <c r="AA36" s="15">
        <v>1.9462060928344731</v>
      </c>
      <c r="AB36" s="15">
        <v>1</v>
      </c>
      <c r="AC36" s="15">
        <v>1.644738095238095</v>
      </c>
      <c r="AD36" s="15">
        <v>1</v>
      </c>
      <c r="AE36" s="15">
        <v>1.645836385836386</v>
      </c>
    </row>
    <row r="37" spans="2:31" x14ac:dyDescent="0.2">
      <c r="B37" s="15">
        <v>5</v>
      </c>
      <c r="C37" s="15">
        <v>3.875434295366929</v>
      </c>
      <c r="D37" s="15">
        <v>5</v>
      </c>
      <c r="E37" s="15">
        <v>4.1500000000000004</v>
      </c>
      <c r="F37" s="15">
        <v>5</v>
      </c>
      <c r="G37" s="15">
        <v>4.1578042172548226</v>
      </c>
      <c r="H37" s="15">
        <v>5</v>
      </c>
      <c r="I37" s="15">
        <v>4.198779</v>
      </c>
      <c r="J37" s="15">
        <v>5</v>
      </c>
      <c r="K37" s="15">
        <v>3.875434295366929</v>
      </c>
      <c r="L37" s="15">
        <v>5</v>
      </c>
      <c r="M37" s="15">
        <v>3.9747958821441252</v>
      </c>
      <c r="N37" s="15">
        <v>5</v>
      </c>
      <c r="O37" s="15">
        <v>3.6016379464248049</v>
      </c>
      <c r="P37" s="15">
        <v>5</v>
      </c>
      <c r="Q37" s="15">
        <v>4.173493493247161</v>
      </c>
      <c r="R37" s="15">
        <v>5</v>
      </c>
      <c r="S37" s="15">
        <v>4.1448741914014562</v>
      </c>
      <c r="T37" s="15">
        <v>5</v>
      </c>
      <c r="U37" s="15">
        <v>5</v>
      </c>
      <c r="V37" s="15">
        <v>3</v>
      </c>
      <c r="W37" s="15">
        <v>3.013818502426147</v>
      </c>
      <c r="X37" s="15">
        <v>5</v>
      </c>
      <c r="Y37" s="15">
        <v>3.8837804814350099</v>
      </c>
      <c r="Z37" s="15">
        <v>5</v>
      </c>
      <c r="AA37" s="15">
        <v>3.788189172744751</v>
      </c>
      <c r="AB37" s="15">
        <v>5</v>
      </c>
      <c r="AC37" s="15">
        <v>4.625690476190476</v>
      </c>
      <c r="AD37" s="15">
        <v>5</v>
      </c>
      <c r="AE37" s="15">
        <v>4.4545238095238089</v>
      </c>
    </row>
    <row r="38" spans="2:31" x14ac:dyDescent="0.2">
      <c r="B38" s="15">
        <v>3</v>
      </c>
      <c r="C38" s="15">
        <v>3.3223594300598882</v>
      </c>
      <c r="D38" s="15">
        <v>3</v>
      </c>
      <c r="E38" s="15">
        <v>2.2400000000000002</v>
      </c>
      <c r="F38" s="15">
        <v>3</v>
      </c>
      <c r="G38" s="15">
        <v>2.6467429672824618</v>
      </c>
      <c r="H38" s="15">
        <v>3</v>
      </c>
      <c r="I38" s="15">
        <v>2.6105744999999998</v>
      </c>
      <c r="J38" s="15">
        <v>3</v>
      </c>
      <c r="K38" s="15">
        <v>3.3223594300598882</v>
      </c>
      <c r="L38" s="15">
        <v>3</v>
      </c>
      <c r="M38" s="15">
        <v>2.696629213483146</v>
      </c>
      <c r="N38" s="15">
        <v>3</v>
      </c>
      <c r="O38" s="15">
        <v>3.4708425648259258</v>
      </c>
      <c r="P38" s="15">
        <v>3</v>
      </c>
      <c r="Q38" s="15">
        <v>2.817024726021184</v>
      </c>
      <c r="R38" s="15">
        <v>3</v>
      </c>
      <c r="S38" s="15">
        <v>2.89938450452056</v>
      </c>
      <c r="T38" s="15">
        <v>3</v>
      </c>
      <c r="U38" s="15">
        <v>3</v>
      </c>
      <c r="V38" s="15">
        <v>2</v>
      </c>
      <c r="W38" s="15">
        <v>2.7245995998382568</v>
      </c>
      <c r="X38" s="15">
        <v>3</v>
      </c>
      <c r="Y38" s="15">
        <v>3.4552693923726179</v>
      </c>
      <c r="Z38" s="15">
        <v>3</v>
      </c>
      <c r="AA38" s="15">
        <v>3.4994950294494629</v>
      </c>
      <c r="AB38" s="15">
        <v>3</v>
      </c>
      <c r="AC38" s="15">
        <v>2.8202500000000001</v>
      </c>
      <c r="AD38" s="15">
        <v>3</v>
      </c>
      <c r="AE38" s="15">
        <v>2.99363492063492</v>
      </c>
    </row>
    <row r="39" spans="2:31" x14ac:dyDescent="0.2">
      <c r="B39" s="15">
        <v>5</v>
      </c>
      <c r="C39" s="15">
        <v>3.8062982714190241</v>
      </c>
      <c r="D39" s="15">
        <v>5</v>
      </c>
      <c r="E39" s="15">
        <v>4.59</v>
      </c>
      <c r="F39" s="15">
        <v>5</v>
      </c>
      <c r="G39" s="15">
        <v>4.6072459825466803</v>
      </c>
      <c r="H39" s="15">
        <v>5</v>
      </c>
      <c r="I39" s="15">
        <v>4.4788103000000001</v>
      </c>
      <c r="J39" s="15">
        <v>5</v>
      </c>
      <c r="K39" s="15">
        <v>3.8062982714190241</v>
      </c>
      <c r="L39" s="15">
        <v>5</v>
      </c>
      <c r="M39" s="15">
        <v>3.859941844364442</v>
      </c>
      <c r="N39" s="15">
        <v>5</v>
      </c>
      <c r="O39" s="15">
        <v>3.669494246748735</v>
      </c>
      <c r="P39" s="15">
        <v>5</v>
      </c>
      <c r="Q39" s="15">
        <v>3.808961579291648</v>
      </c>
      <c r="R39" s="15">
        <v>5</v>
      </c>
      <c r="S39" s="15">
        <v>3.8906277022638052</v>
      </c>
      <c r="T39" s="15">
        <v>5</v>
      </c>
      <c r="U39" s="15">
        <v>5</v>
      </c>
      <c r="V39" s="15">
        <v>5</v>
      </c>
      <c r="W39" s="15">
        <v>4.2668805122375488</v>
      </c>
      <c r="X39" s="15">
        <v>5</v>
      </c>
      <c r="Y39" s="15">
        <v>4.0582177264095636</v>
      </c>
      <c r="Z39" s="15">
        <v>5</v>
      </c>
      <c r="AA39" s="15">
        <v>3.8710451126098628</v>
      </c>
      <c r="AB39" s="15">
        <v>5</v>
      </c>
      <c r="AC39" s="15">
        <v>4.5374761904761893</v>
      </c>
      <c r="AD39" s="15">
        <v>5</v>
      </c>
      <c r="AE39" s="15">
        <v>4.5934920634920644</v>
      </c>
    </row>
    <row r="40" spans="2:31" x14ac:dyDescent="0.2">
      <c r="B40" s="15">
        <v>2</v>
      </c>
      <c r="C40" s="15">
        <v>3.7199248596777421</v>
      </c>
      <c r="D40" s="15">
        <v>2</v>
      </c>
      <c r="E40" s="15">
        <v>4.22</v>
      </c>
      <c r="F40" s="15">
        <v>2</v>
      </c>
      <c r="G40" s="15">
        <v>3.8513311037660869</v>
      </c>
      <c r="H40" s="15">
        <v>2</v>
      </c>
      <c r="I40" s="15">
        <v>3.9551332000000001</v>
      </c>
      <c r="J40" s="15">
        <v>2</v>
      </c>
      <c r="K40" s="15">
        <v>3.7199248596777421</v>
      </c>
      <c r="L40" s="15">
        <v>2</v>
      </c>
      <c r="M40" s="15">
        <v>4.029739776951673</v>
      </c>
      <c r="N40" s="15">
        <v>2</v>
      </c>
      <c r="O40" s="15">
        <v>3.757399112185551</v>
      </c>
      <c r="P40" s="15">
        <v>2</v>
      </c>
      <c r="Q40" s="15">
        <v>3.2008882764640809</v>
      </c>
      <c r="R40" s="15">
        <v>2</v>
      </c>
      <c r="S40" s="15">
        <v>3.1417258735988232</v>
      </c>
      <c r="T40" s="15">
        <v>2</v>
      </c>
      <c r="U40" s="15">
        <v>2</v>
      </c>
      <c r="V40" s="15">
        <v>4</v>
      </c>
      <c r="W40" s="15">
        <v>3.1588559150695801</v>
      </c>
      <c r="X40" s="15">
        <v>2</v>
      </c>
      <c r="Y40" s="15">
        <v>3.5601901843341128</v>
      </c>
      <c r="Z40" s="15">
        <v>2</v>
      </c>
      <c r="AA40" s="15">
        <v>3.3195192813873291</v>
      </c>
      <c r="AB40" s="15">
        <v>2</v>
      </c>
      <c r="AC40" s="15">
        <v>2.4962499999999999</v>
      </c>
      <c r="AD40" s="15">
        <v>2</v>
      </c>
      <c r="AE40" s="15">
        <v>2.2841666666666671</v>
      </c>
    </row>
    <row r="41" spans="2:31" x14ac:dyDescent="0.2">
      <c r="B41" s="15">
        <v>5</v>
      </c>
      <c r="C41" s="15">
        <v>3.9663411777575979</v>
      </c>
      <c r="D41" s="15">
        <v>5</v>
      </c>
      <c r="E41" s="15">
        <v>4.25</v>
      </c>
      <c r="F41" s="15">
        <v>5</v>
      </c>
      <c r="G41" s="15">
        <v>4.19592434678255</v>
      </c>
      <c r="H41" s="15">
        <v>5</v>
      </c>
      <c r="I41" s="15">
        <v>4.2761263999999999</v>
      </c>
      <c r="J41" s="15">
        <v>5</v>
      </c>
      <c r="K41" s="15">
        <v>3.9663411777575979</v>
      </c>
      <c r="L41" s="15">
        <v>5</v>
      </c>
      <c r="M41" s="15">
        <v>4.1486227721313886</v>
      </c>
      <c r="N41" s="15">
        <v>5</v>
      </c>
      <c r="O41" s="15">
        <v>3.367262971585339</v>
      </c>
      <c r="P41" s="15">
        <v>5</v>
      </c>
      <c r="Q41" s="15">
        <v>3.580079653605877</v>
      </c>
      <c r="R41" s="15">
        <v>5</v>
      </c>
      <c r="S41" s="15">
        <v>3.608095871342059</v>
      </c>
      <c r="T41" s="15">
        <v>5</v>
      </c>
      <c r="U41" s="15">
        <v>5</v>
      </c>
      <c r="V41" s="15">
        <v>2</v>
      </c>
      <c r="W41" s="15">
        <v>1.630433320999146</v>
      </c>
      <c r="X41" s="15">
        <v>5</v>
      </c>
      <c r="Y41" s="15">
        <v>3.5416329406946159</v>
      </c>
      <c r="Z41" s="15">
        <v>5</v>
      </c>
      <c r="AA41" s="15">
        <v>3.492365837097168</v>
      </c>
      <c r="AB41" s="15">
        <v>5</v>
      </c>
      <c r="AC41" s="15">
        <v>4.6633333333333331</v>
      </c>
      <c r="AD41" s="15">
        <v>5</v>
      </c>
      <c r="AE41" s="15">
        <v>4.6413333333333329</v>
      </c>
    </row>
    <row r="42" spans="2:31" x14ac:dyDescent="0.2">
      <c r="B42" s="15">
        <v>5</v>
      </c>
      <c r="C42" s="15">
        <v>3.806995679145563</v>
      </c>
      <c r="D42" s="15">
        <v>5</v>
      </c>
      <c r="E42" s="15">
        <v>3.32</v>
      </c>
      <c r="F42" s="15">
        <v>5</v>
      </c>
      <c r="G42" s="15">
        <v>3.6208891879961551</v>
      </c>
      <c r="H42" s="15">
        <v>5</v>
      </c>
      <c r="I42" s="15">
        <v>3.5613039999999998</v>
      </c>
      <c r="J42" s="15">
        <v>5</v>
      </c>
      <c r="K42" s="15">
        <v>3.806995679145563</v>
      </c>
      <c r="L42" s="15">
        <v>5</v>
      </c>
      <c r="M42" s="15">
        <v>3.33158201984822</v>
      </c>
      <c r="N42" s="15">
        <v>5</v>
      </c>
      <c r="O42" s="15">
        <v>3.696695184765554</v>
      </c>
      <c r="P42" s="15">
        <v>5</v>
      </c>
      <c r="Q42" s="15">
        <v>4.3450217794763013</v>
      </c>
      <c r="R42" s="15">
        <v>5</v>
      </c>
      <c r="S42" s="15">
        <v>4.5616964850711046</v>
      </c>
      <c r="T42" s="15">
        <v>5</v>
      </c>
      <c r="U42" s="15">
        <v>5</v>
      </c>
      <c r="V42" s="15">
        <v>3</v>
      </c>
      <c r="W42" s="15">
        <v>3.0283501148223881</v>
      </c>
      <c r="X42" s="15">
        <v>5</v>
      </c>
      <c r="Y42" s="15">
        <v>3.9349990009417781</v>
      </c>
      <c r="Z42" s="15">
        <v>5</v>
      </c>
      <c r="AA42" s="15">
        <v>3.6846258640289311</v>
      </c>
      <c r="AB42" s="15">
        <v>5</v>
      </c>
      <c r="AC42" s="15">
        <v>4.5905555555555564</v>
      </c>
      <c r="AD42" s="15">
        <v>5</v>
      </c>
      <c r="AE42" s="15">
        <v>4.7294999999999998</v>
      </c>
    </row>
    <row r="43" spans="2:31" x14ac:dyDescent="0.2">
      <c r="B43" s="15">
        <v>5</v>
      </c>
      <c r="C43" s="15">
        <v>3.6925803209221928</v>
      </c>
      <c r="D43" s="15">
        <v>5</v>
      </c>
      <c r="E43" s="15">
        <v>4.5199999999999996</v>
      </c>
      <c r="F43" s="15">
        <v>5</v>
      </c>
      <c r="G43" s="15">
        <v>4.5138047457506394</v>
      </c>
      <c r="H43" s="15">
        <v>5</v>
      </c>
      <c r="I43" s="15">
        <v>4.3495407000000004</v>
      </c>
      <c r="J43" s="15">
        <v>5</v>
      </c>
      <c r="K43" s="15">
        <v>3.6925803209221928</v>
      </c>
      <c r="L43" s="15">
        <v>5</v>
      </c>
      <c r="M43" s="15">
        <v>3.9747958821441252</v>
      </c>
      <c r="N43" s="15">
        <v>5</v>
      </c>
      <c r="O43" s="15">
        <v>4.1261105186601963</v>
      </c>
      <c r="P43" s="15">
        <v>5</v>
      </c>
      <c r="Q43" s="15">
        <v>4.1078101609733961</v>
      </c>
      <c r="R43" s="15">
        <v>5</v>
      </c>
      <c r="S43" s="15">
        <v>4.2143379861465986</v>
      </c>
      <c r="T43" s="15">
        <v>5</v>
      </c>
      <c r="U43" s="15">
        <v>5</v>
      </c>
      <c r="V43" s="15">
        <v>3</v>
      </c>
      <c r="W43" s="15">
        <v>2.5713777542114258</v>
      </c>
      <c r="X43" s="15">
        <v>5</v>
      </c>
      <c r="Y43" s="15">
        <v>4.6755098684238536</v>
      </c>
      <c r="Z43" s="15">
        <v>5</v>
      </c>
      <c r="AA43" s="15">
        <v>4.6049790382385254</v>
      </c>
      <c r="AB43" s="15">
        <v>5</v>
      </c>
      <c r="AC43" s="15">
        <v>4.6060396825396834</v>
      </c>
      <c r="AD43" s="15">
        <v>5</v>
      </c>
      <c r="AE43" s="15">
        <v>4.5875595238095244</v>
      </c>
    </row>
    <row r="44" spans="2:31" x14ac:dyDescent="0.2">
      <c r="B44" s="15">
        <v>3</v>
      </c>
      <c r="C44" s="15">
        <v>3.7180084554007911</v>
      </c>
      <c r="D44" s="15">
        <v>3</v>
      </c>
      <c r="E44" s="15">
        <v>3.25</v>
      </c>
      <c r="F44" s="15">
        <v>3</v>
      </c>
      <c r="G44" s="15">
        <v>3.3953421256017462</v>
      </c>
      <c r="H44" s="15">
        <v>3</v>
      </c>
      <c r="I44" s="15">
        <v>3.4374060000000002</v>
      </c>
      <c r="J44" s="15">
        <v>3</v>
      </c>
      <c r="K44" s="15">
        <v>3.7180084554007911</v>
      </c>
      <c r="L44" s="15">
        <v>3</v>
      </c>
      <c r="M44" s="15">
        <v>3.5249487354750508</v>
      </c>
      <c r="N44" s="15">
        <v>3</v>
      </c>
      <c r="O44" s="15">
        <v>4.0020804723227128</v>
      </c>
      <c r="P44" s="15">
        <v>3</v>
      </c>
      <c r="Q44" s="15">
        <v>3.7926557544672579</v>
      </c>
      <c r="R44" s="15">
        <v>3</v>
      </c>
      <c r="S44" s="15">
        <v>4.2004373456229134</v>
      </c>
      <c r="T44" s="15">
        <v>3</v>
      </c>
      <c r="U44" s="15">
        <v>3</v>
      </c>
      <c r="V44" s="15">
        <v>2</v>
      </c>
      <c r="W44" s="15">
        <v>2.103367805480957</v>
      </c>
      <c r="X44" s="15">
        <v>3</v>
      </c>
      <c r="Y44" s="15">
        <v>4.1896514717000528</v>
      </c>
      <c r="Z44" s="15">
        <v>3</v>
      </c>
      <c r="AA44" s="15">
        <v>4.2389140129089364</v>
      </c>
      <c r="AB44" s="15">
        <v>3</v>
      </c>
      <c r="AC44" s="15">
        <v>3.359797619047618</v>
      </c>
      <c r="AD44" s="15">
        <v>3</v>
      </c>
      <c r="AE44" s="15">
        <v>3.416380952380953</v>
      </c>
    </row>
    <row r="45" spans="2:31" x14ac:dyDescent="0.2">
      <c r="B45" s="15">
        <v>4</v>
      </c>
      <c r="C45" s="15">
        <v>3.560868870699784</v>
      </c>
      <c r="D45" s="15">
        <v>4</v>
      </c>
      <c r="E45" s="15">
        <v>3.38</v>
      </c>
      <c r="F45" s="15">
        <v>4</v>
      </c>
      <c r="G45" s="15">
        <v>3.2956827024186119</v>
      </c>
      <c r="H45" s="15">
        <v>4</v>
      </c>
      <c r="I45" s="15">
        <v>3.3067739999999999</v>
      </c>
      <c r="J45" s="15">
        <v>4</v>
      </c>
      <c r="K45" s="15">
        <v>3.560868870699784</v>
      </c>
      <c r="L45" s="15">
        <v>4</v>
      </c>
      <c r="M45" s="15">
        <v>3.607255948611237</v>
      </c>
      <c r="N45" s="15">
        <v>4</v>
      </c>
      <c r="O45" s="15">
        <v>3.916877649381648</v>
      </c>
      <c r="P45" s="15">
        <v>4</v>
      </c>
      <c r="Q45" s="15">
        <v>3.5893669117575082</v>
      </c>
      <c r="R45" s="15">
        <v>4</v>
      </c>
      <c r="S45" s="15">
        <v>3.586658465845129</v>
      </c>
      <c r="T45" s="15">
        <v>4</v>
      </c>
      <c r="U45" s="15">
        <v>4</v>
      </c>
      <c r="V45" s="15">
        <v>3</v>
      </c>
      <c r="W45" s="15">
        <v>3.4954903125762939</v>
      </c>
      <c r="X45" s="15">
        <v>4</v>
      </c>
      <c r="Y45" s="15">
        <v>4.0830452907784753</v>
      </c>
      <c r="Z45" s="15">
        <v>4</v>
      </c>
      <c r="AA45" s="15">
        <v>3.9679372310638432</v>
      </c>
      <c r="AB45" s="15">
        <v>4</v>
      </c>
      <c r="AC45" s="15">
        <v>4.0385119047619042</v>
      </c>
      <c r="AD45" s="15">
        <v>4</v>
      </c>
      <c r="AE45" s="15">
        <v>3.9193055555555549</v>
      </c>
    </row>
    <row r="46" spans="2:31" x14ac:dyDescent="0.2">
      <c r="B46" s="15">
        <v>4</v>
      </c>
      <c r="C46" s="15">
        <v>3.6196949017859241</v>
      </c>
      <c r="D46" s="15">
        <v>4</v>
      </c>
      <c r="E46" s="15">
        <v>3.6</v>
      </c>
      <c r="F46" s="15">
        <v>4</v>
      </c>
      <c r="G46" s="15">
        <v>3.3834955528381032</v>
      </c>
      <c r="H46" s="15">
        <v>4</v>
      </c>
      <c r="I46" s="15">
        <v>3.3005694999999999</v>
      </c>
      <c r="J46" s="15">
        <v>4</v>
      </c>
      <c r="K46" s="15">
        <v>3.6196949017859241</v>
      </c>
      <c r="L46" s="15">
        <v>4</v>
      </c>
      <c r="M46" s="15">
        <v>3.607255948611237</v>
      </c>
      <c r="N46" s="15">
        <v>4</v>
      </c>
      <c r="O46" s="15">
        <v>3.8049729744019891</v>
      </c>
      <c r="P46" s="15">
        <v>4</v>
      </c>
      <c r="Q46" s="15">
        <v>3.1781859225086109</v>
      </c>
      <c r="R46" s="15">
        <v>4</v>
      </c>
      <c r="S46" s="15">
        <v>3.432836411934808</v>
      </c>
      <c r="T46" s="15">
        <v>4</v>
      </c>
      <c r="U46" s="15">
        <v>4</v>
      </c>
      <c r="V46" s="15">
        <v>4</v>
      </c>
      <c r="W46" s="15">
        <v>3.108646154403687</v>
      </c>
      <c r="X46" s="15">
        <v>4</v>
      </c>
      <c r="Y46" s="15">
        <v>3.8712208765763538</v>
      </c>
      <c r="Z46" s="15">
        <v>4</v>
      </c>
      <c r="AA46" s="15">
        <v>3.8308055400848389</v>
      </c>
      <c r="AB46" s="15">
        <v>4</v>
      </c>
      <c r="AC46" s="15">
        <v>3.6169325396825398</v>
      </c>
      <c r="AD46" s="15">
        <v>4</v>
      </c>
      <c r="AE46" s="15">
        <v>3.7699722222222221</v>
      </c>
    </row>
    <row r="47" spans="2:31" x14ac:dyDescent="0.2">
      <c r="B47" s="15">
        <v>4</v>
      </c>
      <c r="C47" s="15">
        <v>3.926836466574132</v>
      </c>
      <c r="D47" s="15">
        <v>4</v>
      </c>
      <c r="E47" s="15">
        <v>4.18</v>
      </c>
      <c r="F47" s="15">
        <v>4</v>
      </c>
      <c r="G47" s="15">
        <v>4.1477693524288801</v>
      </c>
      <c r="H47" s="15">
        <v>4</v>
      </c>
      <c r="I47" s="15">
        <v>4.3593286999999998</v>
      </c>
      <c r="J47" s="15">
        <v>4</v>
      </c>
      <c r="K47" s="15">
        <v>3.926836466574132</v>
      </c>
      <c r="L47" s="15">
        <v>4</v>
      </c>
      <c r="M47" s="15">
        <v>4.0155208964264082</v>
      </c>
      <c r="N47" s="15">
        <v>4</v>
      </c>
      <c r="O47" s="15">
        <v>3.8445538230372782</v>
      </c>
      <c r="P47" s="15">
        <v>4</v>
      </c>
      <c r="Q47" s="15">
        <v>4.0445311906345154</v>
      </c>
      <c r="R47" s="15">
        <v>4</v>
      </c>
      <c r="S47" s="15">
        <v>4.1276589790704978</v>
      </c>
      <c r="T47" s="15">
        <v>4</v>
      </c>
      <c r="U47" s="15">
        <v>4</v>
      </c>
      <c r="V47" s="15">
        <v>3</v>
      </c>
      <c r="W47" s="15">
        <v>2.5923340320587158</v>
      </c>
      <c r="X47" s="15">
        <v>4</v>
      </c>
      <c r="Y47" s="15">
        <v>4.1799060049516994</v>
      </c>
      <c r="Z47" s="15">
        <v>4</v>
      </c>
      <c r="AA47" s="15">
        <v>4.0103907585144043</v>
      </c>
      <c r="AB47" s="15">
        <v>4</v>
      </c>
      <c r="AC47" s="15">
        <v>4.0927380952380954</v>
      </c>
      <c r="AD47" s="15">
        <v>4</v>
      </c>
      <c r="AE47" s="15">
        <v>4.0752619047619048</v>
      </c>
    </row>
    <row r="48" spans="2:31" x14ac:dyDescent="0.2">
      <c r="B48" s="15">
        <v>1</v>
      </c>
      <c r="C48" s="15">
        <v>3.7847375638766501</v>
      </c>
      <c r="D48" s="15">
        <v>1</v>
      </c>
      <c r="E48" s="15">
        <v>3.57</v>
      </c>
      <c r="F48" s="15">
        <v>1</v>
      </c>
      <c r="G48" s="15">
        <v>3.802844831883379</v>
      </c>
      <c r="H48" s="15">
        <v>1</v>
      </c>
      <c r="I48" s="15">
        <v>3.8607108999999999</v>
      </c>
      <c r="J48" s="15">
        <v>1</v>
      </c>
      <c r="K48" s="15">
        <v>3.7847375638766501</v>
      </c>
      <c r="L48" s="15">
        <v>1</v>
      </c>
      <c r="M48" s="15">
        <v>3.831386441976254</v>
      </c>
      <c r="N48" s="15">
        <v>1</v>
      </c>
      <c r="O48" s="15">
        <v>3.5109524336294768</v>
      </c>
      <c r="P48" s="15">
        <v>1</v>
      </c>
      <c r="Q48" s="15">
        <v>4.0058561945376718</v>
      </c>
      <c r="R48" s="15">
        <v>1</v>
      </c>
      <c r="S48" s="15">
        <v>4.3198433812470558</v>
      </c>
      <c r="T48" s="15">
        <v>1</v>
      </c>
      <c r="U48" s="15">
        <v>1</v>
      </c>
      <c r="V48" s="15">
        <v>4</v>
      </c>
      <c r="W48" s="15">
        <v>4.3337373733520508</v>
      </c>
      <c r="X48" s="15">
        <v>1</v>
      </c>
      <c r="Y48" s="15">
        <v>3.2229155943400412</v>
      </c>
      <c r="Z48" s="15">
        <v>1</v>
      </c>
      <c r="AA48" s="15">
        <v>3.1104247570037842</v>
      </c>
      <c r="AB48" s="15">
        <v>1</v>
      </c>
      <c r="AC48" s="15">
        <v>2.194345238095238</v>
      </c>
      <c r="AD48" s="15">
        <v>1</v>
      </c>
      <c r="AE48" s="15">
        <v>2.118694805194806</v>
      </c>
    </row>
    <row r="49" spans="2:31" x14ac:dyDescent="0.2">
      <c r="B49" s="15">
        <v>5</v>
      </c>
      <c r="C49" s="15">
        <v>4.1970309640851733</v>
      </c>
      <c r="D49" s="15">
        <v>5</v>
      </c>
      <c r="E49" s="15">
        <v>4.32</v>
      </c>
      <c r="F49" s="15">
        <v>5</v>
      </c>
      <c r="G49" s="15">
        <v>4.2133273376478799</v>
      </c>
      <c r="H49" s="15">
        <v>5</v>
      </c>
      <c r="I49" s="15">
        <v>4.4140506000000004</v>
      </c>
      <c r="J49" s="15">
        <v>5</v>
      </c>
      <c r="K49" s="15">
        <v>4.1970309640851733</v>
      </c>
      <c r="L49" s="15">
        <v>5</v>
      </c>
      <c r="M49" s="15">
        <v>4.092307692307692</v>
      </c>
      <c r="N49" s="15">
        <v>5</v>
      </c>
      <c r="O49" s="15">
        <v>3.9089209834753209</v>
      </c>
      <c r="P49" s="15">
        <v>5</v>
      </c>
      <c r="Q49" s="15">
        <v>4.2458241642094698</v>
      </c>
      <c r="R49" s="15">
        <v>5</v>
      </c>
      <c r="S49" s="15">
        <v>4.0099474801187203</v>
      </c>
      <c r="T49" s="15">
        <v>5</v>
      </c>
      <c r="U49" s="15">
        <v>5</v>
      </c>
      <c r="V49" s="15">
        <v>1</v>
      </c>
      <c r="W49" s="15">
        <v>2.656110525131226</v>
      </c>
      <c r="X49" s="15">
        <v>5</v>
      </c>
      <c r="Y49" s="15">
        <v>4.1364106580449507</v>
      </c>
      <c r="Z49" s="15">
        <v>5</v>
      </c>
      <c r="AA49" s="15">
        <v>4.4076857566833496</v>
      </c>
      <c r="AB49" s="15">
        <v>5</v>
      </c>
      <c r="AC49" s="15">
        <v>4.6989999999999998</v>
      </c>
      <c r="AD49" s="15">
        <v>5</v>
      </c>
      <c r="AE49" s="15">
        <v>4.8040075757575762</v>
      </c>
    </row>
    <row r="50" spans="2:31" x14ac:dyDescent="0.2">
      <c r="B50" s="15">
        <v>1</v>
      </c>
      <c r="C50" s="15">
        <v>3.6079164596899438</v>
      </c>
      <c r="D50" s="15">
        <v>1</v>
      </c>
      <c r="E50" s="15">
        <v>3.82</v>
      </c>
      <c r="F50" s="15">
        <v>1</v>
      </c>
      <c r="G50" s="15">
        <v>3.2754006282319512</v>
      </c>
      <c r="H50" s="15">
        <v>1</v>
      </c>
      <c r="I50" s="15">
        <v>3.6680666999999998</v>
      </c>
      <c r="J50" s="15">
        <v>1</v>
      </c>
      <c r="K50" s="15">
        <v>3.6079164596899438</v>
      </c>
      <c r="L50" s="15">
        <v>1</v>
      </c>
      <c r="M50" s="15">
        <v>3.7990622906898861</v>
      </c>
      <c r="N50" s="15">
        <v>1</v>
      </c>
      <c r="O50" s="15">
        <v>3.2147591827682112</v>
      </c>
      <c r="P50" s="15">
        <v>1</v>
      </c>
      <c r="Q50" s="15">
        <v>2.9867372162111772</v>
      </c>
      <c r="R50" s="15">
        <v>1</v>
      </c>
      <c r="S50" s="15">
        <v>2.6768198907784142</v>
      </c>
      <c r="T50" s="15">
        <v>1</v>
      </c>
      <c r="U50" s="15">
        <v>1</v>
      </c>
      <c r="V50" s="15">
        <v>2</v>
      </c>
      <c r="W50" s="15">
        <v>3.817721843719482</v>
      </c>
      <c r="X50" s="15">
        <v>1</v>
      </c>
      <c r="Y50" s="15">
        <v>2.5036005276170581</v>
      </c>
      <c r="Z50" s="15">
        <v>1</v>
      </c>
      <c r="AA50" s="15">
        <v>2.664355993270874</v>
      </c>
      <c r="AB50" s="15">
        <v>1</v>
      </c>
      <c r="AC50" s="15">
        <v>1.6527261904761901</v>
      </c>
      <c r="AD50" s="15">
        <v>1</v>
      </c>
      <c r="AE50" s="15">
        <v>1.410611111111111</v>
      </c>
    </row>
    <row r="51" spans="2:31" x14ac:dyDescent="0.2">
      <c r="B51" s="15">
        <v>5</v>
      </c>
      <c r="C51" s="15">
        <v>3.8781421601423518</v>
      </c>
      <c r="D51" s="15">
        <v>5</v>
      </c>
      <c r="E51" s="15">
        <v>3.45</v>
      </c>
      <c r="F51" s="15">
        <v>5</v>
      </c>
      <c r="G51" s="15">
        <v>3.87839388821472</v>
      </c>
      <c r="H51" s="15">
        <v>5</v>
      </c>
      <c r="I51" s="15">
        <v>3.360744</v>
      </c>
      <c r="J51" s="15">
        <v>5</v>
      </c>
      <c r="K51" s="15">
        <v>3.8781421601423518</v>
      </c>
      <c r="L51" s="15">
        <v>5</v>
      </c>
      <c r="M51" s="15">
        <v>3.63018534863195</v>
      </c>
      <c r="N51" s="15">
        <v>5</v>
      </c>
      <c r="O51" s="15">
        <v>3.775023843948778</v>
      </c>
      <c r="P51" s="15">
        <v>5</v>
      </c>
      <c r="Q51" s="15">
        <v>3.8326544090995638</v>
      </c>
      <c r="R51" s="15">
        <v>5</v>
      </c>
      <c r="S51" s="15">
        <v>3.5080561918640529</v>
      </c>
      <c r="T51" s="15">
        <v>5</v>
      </c>
      <c r="U51" s="15">
        <v>5</v>
      </c>
      <c r="V51" s="15">
        <v>3</v>
      </c>
      <c r="W51" s="15">
        <v>1.643269538879395</v>
      </c>
      <c r="X51" s="15">
        <v>5</v>
      </c>
      <c r="Y51" s="15">
        <v>3.592880421160034</v>
      </c>
      <c r="Z51" s="15">
        <v>5</v>
      </c>
      <c r="AA51" s="15">
        <v>3.9024784564971919</v>
      </c>
      <c r="AB51" s="15">
        <v>5</v>
      </c>
      <c r="AC51" s="15">
        <v>4.5414285714285709</v>
      </c>
      <c r="AD51" s="15">
        <v>5</v>
      </c>
      <c r="AE51" s="15">
        <v>4.5291666666666668</v>
      </c>
    </row>
    <row r="52" spans="2:31" x14ac:dyDescent="0.2">
      <c r="B52" s="15">
        <v>5</v>
      </c>
      <c r="C52" s="15">
        <v>3.630243613734585</v>
      </c>
      <c r="D52" s="15">
        <v>5</v>
      </c>
      <c r="E52" s="15">
        <v>4.2</v>
      </c>
      <c r="F52" s="15">
        <v>5</v>
      </c>
      <c r="G52" s="15">
        <v>4.0236796618256703</v>
      </c>
      <c r="H52" s="15">
        <v>5</v>
      </c>
      <c r="I52" s="15">
        <v>3.8373789999999999</v>
      </c>
      <c r="J52" s="15">
        <v>5</v>
      </c>
      <c r="K52" s="15">
        <v>3.630243613734585</v>
      </c>
      <c r="L52" s="15">
        <v>5</v>
      </c>
      <c r="M52" s="15">
        <v>3.831386441976254</v>
      </c>
      <c r="N52" s="15">
        <v>5</v>
      </c>
      <c r="O52" s="15">
        <v>4.1266182504821947</v>
      </c>
      <c r="P52" s="15">
        <v>5</v>
      </c>
      <c r="Q52" s="15">
        <v>3.9595785468696651</v>
      </c>
      <c r="R52" s="15">
        <v>5</v>
      </c>
      <c r="S52" s="15">
        <v>4.0245908960224277</v>
      </c>
      <c r="T52" s="15">
        <v>5</v>
      </c>
      <c r="U52" s="15">
        <v>5</v>
      </c>
      <c r="V52" s="15">
        <v>3</v>
      </c>
      <c r="W52" s="15">
        <v>3.7280993461608891</v>
      </c>
      <c r="X52" s="15">
        <v>5</v>
      </c>
      <c r="Y52" s="15">
        <v>4.4063366051268869</v>
      </c>
      <c r="Z52" s="15">
        <v>5</v>
      </c>
      <c r="AA52" s="15">
        <v>4.4471554756164551</v>
      </c>
      <c r="AB52" s="15">
        <v>5</v>
      </c>
      <c r="AC52" s="15">
        <v>4.6975952380952366</v>
      </c>
      <c r="AD52" s="15">
        <v>5</v>
      </c>
      <c r="AE52" s="15">
        <v>4.6646666666666672</v>
      </c>
    </row>
    <row r="53" spans="2:31" x14ac:dyDescent="0.2">
      <c r="B53" s="15">
        <v>5</v>
      </c>
      <c r="C53" s="15">
        <v>3.556225443692278</v>
      </c>
      <c r="D53" s="15">
        <v>5</v>
      </c>
      <c r="E53" s="15">
        <v>4.01</v>
      </c>
      <c r="F53" s="15">
        <v>5</v>
      </c>
      <c r="G53" s="15">
        <v>3.8429908635454608</v>
      </c>
      <c r="H53" s="15">
        <v>5</v>
      </c>
      <c r="I53" s="15">
        <v>4.1116624000000002</v>
      </c>
      <c r="J53" s="15">
        <v>5</v>
      </c>
      <c r="K53" s="15">
        <v>3.556225443692278</v>
      </c>
      <c r="L53" s="15">
        <v>5</v>
      </c>
      <c r="M53" s="15">
        <v>3.660569105691057</v>
      </c>
      <c r="N53" s="15">
        <v>5</v>
      </c>
      <c r="O53" s="15">
        <v>2.6491200976904139</v>
      </c>
      <c r="P53" s="15">
        <v>5</v>
      </c>
      <c r="Q53" s="15">
        <v>3.3675685986849171</v>
      </c>
      <c r="R53" s="15">
        <v>5</v>
      </c>
      <c r="S53" s="15">
        <v>3.2363248395119819</v>
      </c>
      <c r="T53" s="15">
        <v>5</v>
      </c>
      <c r="U53" s="15">
        <v>5</v>
      </c>
      <c r="V53" s="15">
        <v>4</v>
      </c>
      <c r="W53" s="15">
        <v>2.8891582489013672</v>
      </c>
      <c r="X53" s="15">
        <v>5</v>
      </c>
      <c r="Y53" s="15">
        <v>3.4173060956716101</v>
      </c>
      <c r="Z53" s="15">
        <v>5</v>
      </c>
      <c r="AA53" s="15">
        <v>3.484552383422852</v>
      </c>
      <c r="AB53" s="15">
        <v>5</v>
      </c>
      <c r="AC53" s="15">
        <v>4.5923246753246758</v>
      </c>
      <c r="AD53" s="15">
        <v>5</v>
      </c>
      <c r="AE53" s="15">
        <v>4.5979999999999999</v>
      </c>
    </row>
    <row r="54" spans="2:31" x14ac:dyDescent="0.2">
      <c r="B54" s="15">
        <v>4</v>
      </c>
      <c r="C54" s="15">
        <v>3.4110105618064082</v>
      </c>
      <c r="D54" s="15">
        <v>4</v>
      </c>
      <c r="E54" s="15">
        <v>3.17</v>
      </c>
      <c r="F54" s="15">
        <v>4</v>
      </c>
      <c r="G54" s="15">
        <v>3.4968373201376179</v>
      </c>
      <c r="H54" s="15">
        <v>4</v>
      </c>
      <c r="I54" s="15">
        <v>3.1299060000000001</v>
      </c>
      <c r="J54" s="15">
        <v>4</v>
      </c>
      <c r="K54" s="15">
        <v>3.4110105618064082</v>
      </c>
      <c r="L54" s="15">
        <v>4</v>
      </c>
      <c r="M54" s="15">
        <v>3.0715307582260372</v>
      </c>
      <c r="N54" s="15">
        <v>4</v>
      </c>
      <c r="O54" s="15">
        <v>3.8188089938222869</v>
      </c>
      <c r="P54" s="15">
        <v>4</v>
      </c>
      <c r="Q54" s="15">
        <v>3.6686481274378822</v>
      </c>
      <c r="R54" s="15">
        <v>4</v>
      </c>
      <c r="S54" s="15">
        <v>3.7973068841772131</v>
      </c>
      <c r="T54" s="15">
        <v>4</v>
      </c>
      <c r="U54" s="15">
        <v>4</v>
      </c>
      <c r="V54" s="15">
        <v>5</v>
      </c>
      <c r="W54" s="15">
        <v>4.4198355674743652</v>
      </c>
      <c r="X54" s="15">
        <v>4</v>
      </c>
      <c r="Y54" s="15">
        <v>3.2858532157184959</v>
      </c>
      <c r="Z54" s="15">
        <v>4</v>
      </c>
      <c r="AA54" s="15">
        <v>3.460237979888916</v>
      </c>
      <c r="AB54" s="15">
        <v>4</v>
      </c>
      <c r="AC54" s="15">
        <v>3.8804603174603169</v>
      </c>
      <c r="AD54" s="15">
        <v>4</v>
      </c>
      <c r="AE54" s="15">
        <v>3.9190714285714279</v>
      </c>
    </row>
    <row r="55" spans="2:31" x14ac:dyDescent="0.2">
      <c r="B55" s="15">
        <v>4</v>
      </c>
      <c r="C55" s="15">
        <v>3.9141868404975839</v>
      </c>
      <c r="D55" s="15">
        <v>4</v>
      </c>
      <c r="E55" s="15">
        <v>3.5</v>
      </c>
      <c r="F55" s="15">
        <v>4</v>
      </c>
      <c r="G55" s="15">
        <v>3.8991300077665501</v>
      </c>
      <c r="H55" s="15">
        <v>4</v>
      </c>
      <c r="I55" s="15">
        <v>3.7154036000000001</v>
      </c>
      <c r="J55" s="15">
        <v>4</v>
      </c>
      <c r="K55" s="15">
        <v>3.9141868404975839</v>
      </c>
      <c r="L55" s="15">
        <v>4</v>
      </c>
      <c r="M55" s="15">
        <v>3.7283003633427532</v>
      </c>
      <c r="N55" s="15">
        <v>4</v>
      </c>
      <c r="O55" s="15">
        <v>3.6239495912250508</v>
      </c>
      <c r="P55" s="15">
        <v>4</v>
      </c>
      <c r="Q55" s="15">
        <v>3.1491784363462298</v>
      </c>
      <c r="R55" s="15">
        <v>4</v>
      </c>
      <c r="S55" s="15">
        <v>3.3501885649265319</v>
      </c>
      <c r="T55" s="15">
        <v>4</v>
      </c>
      <c r="U55" s="15">
        <v>4</v>
      </c>
      <c r="V55" s="15">
        <v>3</v>
      </c>
      <c r="W55" s="15">
        <v>1.764233350753784</v>
      </c>
      <c r="X55" s="15">
        <v>4</v>
      </c>
      <c r="Y55" s="15">
        <v>3.5291421978587998</v>
      </c>
      <c r="Z55" s="15">
        <v>4</v>
      </c>
      <c r="AA55" s="15">
        <v>3.490370512008667</v>
      </c>
      <c r="AB55" s="15">
        <v>4</v>
      </c>
      <c r="AC55" s="15">
        <v>3.76</v>
      </c>
      <c r="AD55" s="15">
        <v>4</v>
      </c>
      <c r="AE55" s="15">
        <v>3.95</v>
      </c>
    </row>
    <row r="56" spans="2:31" x14ac:dyDescent="0.2">
      <c r="B56" s="15">
        <v>1</v>
      </c>
      <c r="C56" s="15">
        <v>1.9339851936860379</v>
      </c>
      <c r="D56" s="15">
        <v>1</v>
      </c>
      <c r="E56" s="15">
        <v>1.9</v>
      </c>
      <c r="F56" s="15">
        <v>1</v>
      </c>
      <c r="G56" s="15">
        <v>1.789931603777865</v>
      </c>
      <c r="H56" s="15">
        <v>1</v>
      </c>
      <c r="I56" s="15">
        <v>1.8955230999999999</v>
      </c>
      <c r="J56" s="15">
        <v>1</v>
      </c>
      <c r="K56" s="15">
        <v>1.9339851936860379</v>
      </c>
      <c r="L56" s="15">
        <v>1</v>
      </c>
      <c r="M56" s="15">
        <v>2.1676646706586831</v>
      </c>
      <c r="N56" s="15">
        <v>1</v>
      </c>
      <c r="O56" s="15">
        <v>4.0290239470211686</v>
      </c>
      <c r="P56" s="15">
        <v>1</v>
      </c>
      <c r="Q56" s="15">
        <v>2.615375698923041</v>
      </c>
      <c r="R56" s="15">
        <v>1</v>
      </c>
      <c r="S56" s="15">
        <v>3.3550032312665552</v>
      </c>
      <c r="T56" s="15">
        <v>1</v>
      </c>
      <c r="U56" s="15">
        <v>1</v>
      </c>
      <c r="V56" s="15">
        <v>2</v>
      </c>
      <c r="W56" s="15">
        <v>2.292371511459351</v>
      </c>
      <c r="X56" s="15">
        <v>1</v>
      </c>
      <c r="Y56" s="15">
        <v>3.461175878008667</v>
      </c>
      <c r="Z56" s="15">
        <v>1</v>
      </c>
      <c r="AA56" s="15">
        <v>3.1388764381408691</v>
      </c>
      <c r="AB56" s="15">
        <v>1</v>
      </c>
      <c r="AC56" s="15">
        <v>1.1798333333333331</v>
      </c>
      <c r="AD56" s="15">
        <v>1</v>
      </c>
      <c r="AE56" s="15">
        <v>1.6596666666666671</v>
      </c>
    </row>
    <row r="57" spans="2:31" x14ac:dyDescent="0.2">
      <c r="B57" s="15">
        <v>5</v>
      </c>
      <c r="C57" s="15">
        <v>3.7911825366822489</v>
      </c>
      <c r="D57" s="15">
        <v>5</v>
      </c>
      <c r="E57" s="15">
        <v>3.6</v>
      </c>
      <c r="F57" s="15">
        <v>5</v>
      </c>
      <c r="G57" s="15">
        <v>4.0903066949205904</v>
      </c>
      <c r="H57" s="15">
        <v>5</v>
      </c>
      <c r="I57" s="15">
        <v>3.7571778</v>
      </c>
      <c r="J57" s="15">
        <v>5</v>
      </c>
      <c r="K57" s="15">
        <v>3.791182536682248</v>
      </c>
      <c r="L57" s="15">
        <v>5</v>
      </c>
      <c r="M57" s="15">
        <v>3.766025641025641</v>
      </c>
      <c r="N57" s="15">
        <v>5</v>
      </c>
      <c r="O57" s="15">
        <v>3.5200334414393661</v>
      </c>
      <c r="P57" s="15">
        <v>5</v>
      </c>
      <c r="Q57" s="15">
        <v>4.067922289011614</v>
      </c>
      <c r="R57" s="15">
        <v>5</v>
      </c>
      <c r="S57" s="15">
        <v>3.9829940553889931</v>
      </c>
      <c r="T57" s="15">
        <v>5</v>
      </c>
      <c r="U57" s="15">
        <v>5</v>
      </c>
      <c r="V57" s="15">
        <v>4</v>
      </c>
      <c r="W57" s="15">
        <v>4.3713154792785636</v>
      </c>
      <c r="X57" s="15">
        <v>5</v>
      </c>
      <c r="Y57" s="15">
        <v>3.5875474892898578</v>
      </c>
      <c r="Z57" s="15">
        <v>5</v>
      </c>
      <c r="AA57" s="15">
        <v>3.7343990802764888</v>
      </c>
      <c r="AB57" s="15">
        <v>5</v>
      </c>
      <c r="AC57" s="15">
        <v>4.6414761904761903</v>
      </c>
      <c r="AD57" s="15">
        <v>5</v>
      </c>
      <c r="AE57" s="15">
        <v>4.6442142857142859</v>
      </c>
    </row>
    <row r="58" spans="2:31" x14ac:dyDescent="0.2">
      <c r="B58" s="15">
        <v>1</v>
      </c>
      <c r="C58" s="15">
        <v>3.504131423238702</v>
      </c>
      <c r="D58" s="15">
        <v>1</v>
      </c>
      <c r="E58" s="15">
        <v>3.52</v>
      </c>
      <c r="F58" s="15">
        <v>1</v>
      </c>
      <c r="G58" s="15">
        <v>2.793478196557166</v>
      </c>
      <c r="H58" s="15">
        <v>1</v>
      </c>
      <c r="I58" s="15">
        <v>2.8875039</v>
      </c>
      <c r="J58" s="15">
        <v>1</v>
      </c>
      <c r="K58" s="15">
        <v>3.504131423238702</v>
      </c>
      <c r="L58" s="15">
        <v>1</v>
      </c>
      <c r="M58" s="15">
        <v>3.3298013245033111</v>
      </c>
      <c r="N58" s="15">
        <v>1</v>
      </c>
      <c r="O58" s="15">
        <v>2.9832945101406798</v>
      </c>
      <c r="P58" s="15">
        <v>1</v>
      </c>
      <c r="Q58" s="15">
        <v>2.0490147453821792</v>
      </c>
      <c r="R58" s="15">
        <v>1</v>
      </c>
      <c r="S58" s="15">
        <v>2.27762511853035</v>
      </c>
      <c r="T58" s="15">
        <v>1</v>
      </c>
      <c r="U58" s="15">
        <v>1</v>
      </c>
      <c r="V58" s="15">
        <v>3</v>
      </c>
      <c r="W58" s="15">
        <v>2.8662500381469731</v>
      </c>
      <c r="X58" s="15">
        <v>1</v>
      </c>
      <c r="Y58" s="15">
        <v>2.5523328016172231</v>
      </c>
      <c r="Z58" s="15">
        <v>1</v>
      </c>
      <c r="AA58" s="15">
        <v>1.980942845344543</v>
      </c>
      <c r="AB58" s="15">
        <v>1</v>
      </c>
      <c r="AC58" s="15">
        <v>1.4555912698412701</v>
      </c>
      <c r="AD58" s="15">
        <v>1</v>
      </c>
      <c r="AE58" s="15">
        <v>1.400678571428571</v>
      </c>
    </row>
    <row r="59" spans="2:31" x14ac:dyDescent="0.2">
      <c r="B59" s="15">
        <v>5</v>
      </c>
      <c r="C59" s="15">
        <v>3.8259952315929429</v>
      </c>
      <c r="D59" s="15">
        <v>5</v>
      </c>
      <c r="E59" s="15">
        <v>3.73</v>
      </c>
      <c r="F59" s="15">
        <v>5</v>
      </c>
      <c r="G59" s="15">
        <v>3.4659467122126979</v>
      </c>
      <c r="H59" s="15">
        <v>5</v>
      </c>
      <c r="I59" s="15">
        <v>3.4940736000000001</v>
      </c>
      <c r="J59" s="15">
        <v>5</v>
      </c>
      <c r="K59" s="15">
        <v>3.8259952315929429</v>
      </c>
      <c r="L59" s="15">
        <v>5</v>
      </c>
      <c r="M59" s="15">
        <v>3.275147928994083</v>
      </c>
      <c r="N59" s="15">
        <v>5</v>
      </c>
      <c r="O59" s="15">
        <v>3.7748277123063572</v>
      </c>
      <c r="P59" s="15">
        <v>5</v>
      </c>
      <c r="Q59" s="15">
        <v>3.8537087383671991</v>
      </c>
      <c r="R59" s="15">
        <v>5</v>
      </c>
      <c r="S59" s="15">
        <v>3.8322747248195861</v>
      </c>
      <c r="T59" s="15">
        <v>5</v>
      </c>
      <c r="U59" s="15">
        <v>5</v>
      </c>
      <c r="V59" s="15">
        <v>3</v>
      </c>
      <c r="W59" s="15">
        <v>3.4663994312286381</v>
      </c>
      <c r="X59" s="15">
        <v>5</v>
      </c>
      <c r="Y59" s="15">
        <v>3.9071508869155349</v>
      </c>
      <c r="Z59" s="15">
        <v>5</v>
      </c>
      <c r="AA59" s="15">
        <v>3.5582096576690669</v>
      </c>
      <c r="AB59" s="15">
        <v>5</v>
      </c>
      <c r="AC59" s="15">
        <v>4.7125833333333329</v>
      </c>
      <c r="AD59" s="15">
        <v>5</v>
      </c>
      <c r="AE59" s="15">
        <v>4.5992380952380953</v>
      </c>
    </row>
    <row r="60" spans="2:31" x14ac:dyDescent="0.2">
      <c r="B60" s="15">
        <v>4</v>
      </c>
      <c r="C60" s="15">
        <v>3.8104708822170879</v>
      </c>
      <c r="D60" s="15">
        <v>4</v>
      </c>
      <c r="E60" s="15">
        <v>4.18</v>
      </c>
      <c r="F60" s="15">
        <v>4</v>
      </c>
      <c r="G60" s="15">
        <v>4.0298120010556318</v>
      </c>
      <c r="H60" s="15">
        <v>4</v>
      </c>
      <c r="I60" s="15">
        <v>4.0678362999999997</v>
      </c>
      <c r="J60" s="15">
        <v>4</v>
      </c>
      <c r="K60" s="15">
        <v>3.8104708822170879</v>
      </c>
      <c r="L60" s="15">
        <v>4</v>
      </c>
      <c r="M60" s="15">
        <v>3.831386441976254</v>
      </c>
      <c r="N60" s="15">
        <v>4</v>
      </c>
      <c r="O60" s="15">
        <v>3.8294939395562508</v>
      </c>
      <c r="P60" s="15">
        <v>4</v>
      </c>
      <c r="Q60" s="15">
        <v>4.2163263440300423</v>
      </c>
      <c r="R60" s="15">
        <v>4</v>
      </c>
      <c r="S60" s="15">
        <v>4.2327963185909621</v>
      </c>
      <c r="T60" s="15">
        <v>4</v>
      </c>
      <c r="U60" s="15">
        <v>4</v>
      </c>
      <c r="V60" s="15">
        <v>3</v>
      </c>
      <c r="W60" s="15">
        <v>4.1438789367675781</v>
      </c>
      <c r="X60" s="15">
        <v>4</v>
      </c>
      <c r="Y60" s="15">
        <v>3.8247976018660181</v>
      </c>
      <c r="Z60" s="15">
        <v>4</v>
      </c>
      <c r="AA60" s="15">
        <v>4.0137662887573242</v>
      </c>
      <c r="AB60" s="15">
        <v>4</v>
      </c>
      <c r="AC60" s="15">
        <v>4.1533333333333333</v>
      </c>
      <c r="AD60" s="15">
        <v>4</v>
      </c>
      <c r="AE60" s="15">
        <v>4.0735357142857147</v>
      </c>
    </row>
    <row r="61" spans="2:31" x14ac:dyDescent="0.2">
      <c r="B61" s="15">
        <v>3</v>
      </c>
      <c r="C61" s="15">
        <v>3.633412720811521</v>
      </c>
      <c r="D61" s="15">
        <v>3</v>
      </c>
      <c r="E61" s="15">
        <v>3.8</v>
      </c>
      <c r="F61" s="15">
        <v>3</v>
      </c>
      <c r="G61" s="15">
        <v>3.4980910003811831</v>
      </c>
      <c r="H61" s="15">
        <v>3</v>
      </c>
      <c r="I61" s="15">
        <v>3.5926049</v>
      </c>
      <c r="J61" s="15">
        <v>3</v>
      </c>
      <c r="K61" s="15">
        <v>3.633412720811521</v>
      </c>
      <c r="L61" s="15">
        <v>3</v>
      </c>
      <c r="M61" s="15">
        <v>3.607255948611237</v>
      </c>
      <c r="N61" s="15">
        <v>3</v>
      </c>
      <c r="O61" s="15">
        <v>3.1006777355416681</v>
      </c>
      <c r="P61" s="15">
        <v>3</v>
      </c>
      <c r="Q61" s="15">
        <v>3.073569024803299</v>
      </c>
      <c r="R61" s="15">
        <v>3</v>
      </c>
      <c r="S61" s="15">
        <v>2.7882309269556211</v>
      </c>
      <c r="T61" s="15">
        <v>3</v>
      </c>
      <c r="U61" s="15">
        <v>3</v>
      </c>
      <c r="V61" s="15">
        <v>5</v>
      </c>
      <c r="W61" s="15">
        <v>4.6792545318603516</v>
      </c>
      <c r="X61" s="15">
        <v>3</v>
      </c>
      <c r="Y61" s="15">
        <v>2.9660035984194391</v>
      </c>
      <c r="Z61" s="15">
        <v>3</v>
      </c>
      <c r="AA61" s="15">
        <v>3.5860297679901119</v>
      </c>
      <c r="AB61" s="15">
        <v>3</v>
      </c>
      <c r="AC61" s="15">
        <v>2.922511904761905</v>
      </c>
      <c r="AD61" s="15">
        <v>3</v>
      </c>
      <c r="AE61" s="15">
        <v>2.9637380952380949</v>
      </c>
    </row>
    <row r="62" spans="2:31" x14ac:dyDescent="0.2">
      <c r="B62" s="15">
        <v>3</v>
      </c>
      <c r="C62" s="15">
        <v>3.5844533854888709</v>
      </c>
      <c r="D62" s="15">
        <v>3</v>
      </c>
      <c r="E62" s="15">
        <v>3.03</v>
      </c>
      <c r="F62" s="15">
        <v>3</v>
      </c>
      <c r="G62" s="15">
        <v>3.2331827942086111</v>
      </c>
      <c r="H62" s="15">
        <v>3</v>
      </c>
      <c r="I62" s="15">
        <v>2.9171586</v>
      </c>
      <c r="J62" s="15">
        <v>3</v>
      </c>
      <c r="K62" s="15">
        <v>3.5844533854888709</v>
      </c>
      <c r="L62" s="15">
        <v>3</v>
      </c>
      <c r="M62" s="15">
        <v>3.1163594470046081</v>
      </c>
      <c r="N62" s="15">
        <v>3</v>
      </c>
      <c r="O62" s="15">
        <v>3.9307734330444681</v>
      </c>
      <c r="P62" s="15">
        <v>3</v>
      </c>
      <c r="Q62" s="15">
        <v>3.861362426267839</v>
      </c>
      <c r="R62" s="15">
        <v>3</v>
      </c>
      <c r="S62" s="15">
        <v>4.0003153088859289</v>
      </c>
      <c r="T62" s="15">
        <v>3</v>
      </c>
      <c r="U62" s="15">
        <v>3</v>
      </c>
      <c r="V62" s="15">
        <v>3</v>
      </c>
      <c r="W62" s="15">
        <v>2.6424942016601558</v>
      </c>
      <c r="X62" s="15">
        <v>3</v>
      </c>
      <c r="Y62" s="15">
        <v>3.7469827516937042</v>
      </c>
      <c r="Z62" s="15">
        <v>3</v>
      </c>
      <c r="AA62" s="15">
        <v>3.893455028533936</v>
      </c>
      <c r="AB62" s="15">
        <v>3</v>
      </c>
      <c r="AC62" s="15">
        <v>3.2057380952380949</v>
      </c>
      <c r="AD62" s="15">
        <v>3</v>
      </c>
      <c r="AE62" s="15">
        <v>3.4061150793650801</v>
      </c>
    </row>
    <row r="63" spans="2:31" x14ac:dyDescent="0.2">
      <c r="B63" s="15">
        <v>4</v>
      </c>
      <c r="C63" s="15">
        <v>4.1003378741318448</v>
      </c>
      <c r="D63" s="15">
        <v>4</v>
      </c>
      <c r="E63" s="15">
        <v>4.1100000000000003</v>
      </c>
      <c r="F63" s="15">
        <v>4</v>
      </c>
      <c r="G63" s="15">
        <v>3.9512504443249359</v>
      </c>
      <c r="H63" s="15">
        <v>4</v>
      </c>
      <c r="I63" s="15">
        <v>4.2719360000000002</v>
      </c>
      <c r="J63" s="15">
        <v>4</v>
      </c>
      <c r="K63" s="15">
        <v>4.1003378741318448</v>
      </c>
      <c r="L63" s="15">
        <v>4</v>
      </c>
      <c r="M63" s="15">
        <v>3.7886597938144329</v>
      </c>
      <c r="N63" s="15">
        <v>4</v>
      </c>
      <c r="O63" s="15">
        <v>3.4967062494588439</v>
      </c>
      <c r="P63" s="15">
        <v>4</v>
      </c>
      <c r="Q63" s="15">
        <v>3.503428988169722</v>
      </c>
      <c r="R63" s="15">
        <v>4</v>
      </c>
      <c r="S63" s="15">
        <v>3.305115569751401</v>
      </c>
      <c r="T63" s="15">
        <v>4</v>
      </c>
      <c r="U63" s="15">
        <v>4</v>
      </c>
      <c r="V63" s="15">
        <v>2</v>
      </c>
      <c r="W63" s="15">
        <v>1.9100849628448491</v>
      </c>
      <c r="X63" s="15">
        <v>4</v>
      </c>
      <c r="Y63" s="15">
        <v>3.6845980743888371</v>
      </c>
      <c r="Z63" s="15">
        <v>4</v>
      </c>
      <c r="AA63" s="15">
        <v>3.743924617767334</v>
      </c>
      <c r="AB63" s="15">
        <v>4</v>
      </c>
      <c r="AC63" s="15">
        <v>3.991738095238095</v>
      </c>
      <c r="AD63" s="15">
        <v>4</v>
      </c>
      <c r="AE63" s="15">
        <v>3.7064999999999988</v>
      </c>
    </row>
    <row r="64" spans="2:31" x14ac:dyDescent="0.2">
      <c r="B64" s="15">
        <v>5</v>
      </c>
      <c r="C64" s="15">
        <v>3.5868199182089131</v>
      </c>
      <c r="D64" s="15">
        <v>5</v>
      </c>
      <c r="E64" s="15">
        <v>3.34</v>
      </c>
      <c r="F64" s="15">
        <v>5</v>
      </c>
      <c r="G64" s="15">
        <v>3.325861375016677</v>
      </c>
      <c r="H64" s="15">
        <v>5</v>
      </c>
      <c r="I64" s="15">
        <v>3.1304094999999998</v>
      </c>
      <c r="J64" s="15">
        <v>5</v>
      </c>
      <c r="K64" s="15">
        <v>3.5868199182089131</v>
      </c>
      <c r="L64" s="15">
        <v>5</v>
      </c>
      <c r="M64" s="15">
        <v>3.371737173717372</v>
      </c>
      <c r="N64" s="15">
        <v>5</v>
      </c>
      <c r="O64" s="15">
        <v>4.191238064808446</v>
      </c>
      <c r="P64" s="15">
        <v>5</v>
      </c>
      <c r="Q64" s="15">
        <v>3.9452242539567099</v>
      </c>
      <c r="R64" s="15">
        <v>5</v>
      </c>
      <c r="S64" s="15">
        <v>4.339318266008517</v>
      </c>
      <c r="T64" s="15">
        <v>5</v>
      </c>
      <c r="U64" s="15">
        <v>5</v>
      </c>
      <c r="V64" s="15">
        <v>4</v>
      </c>
      <c r="W64" s="15">
        <v>4.6210017204284668</v>
      </c>
      <c r="X64" s="15">
        <v>5</v>
      </c>
      <c r="Y64" s="15">
        <v>4.0733173546481014</v>
      </c>
      <c r="Z64" s="15">
        <v>5</v>
      </c>
      <c r="AA64" s="15">
        <v>4.0056161880493164</v>
      </c>
      <c r="AB64" s="15">
        <v>5</v>
      </c>
      <c r="AC64" s="15">
        <v>4.5930714285714291</v>
      </c>
      <c r="AD64" s="15">
        <v>5</v>
      </c>
      <c r="AE64" s="15">
        <v>4.7013333333333316</v>
      </c>
    </row>
    <row r="65" spans="2:31" x14ac:dyDescent="0.2">
      <c r="B65" s="15">
        <v>4</v>
      </c>
      <c r="C65" s="15">
        <v>3.869395841831885</v>
      </c>
      <c r="D65" s="15">
        <v>4</v>
      </c>
      <c r="E65" s="15">
        <v>3.76</v>
      </c>
      <c r="F65" s="15">
        <v>4</v>
      </c>
      <c r="G65" s="15">
        <v>3.7483230279901951</v>
      </c>
      <c r="H65" s="15">
        <v>4</v>
      </c>
      <c r="I65" s="15">
        <v>3.7658596000000002</v>
      </c>
      <c r="J65" s="15">
        <v>4</v>
      </c>
      <c r="K65" s="15">
        <v>3.869395841831885</v>
      </c>
      <c r="L65" s="15">
        <v>4</v>
      </c>
      <c r="M65" s="15">
        <v>3.5249487354750508</v>
      </c>
      <c r="N65" s="15">
        <v>4</v>
      </c>
      <c r="O65" s="15">
        <v>4.064482878548775</v>
      </c>
      <c r="P65" s="15">
        <v>4</v>
      </c>
      <c r="Q65" s="15">
        <v>3.926576424644777</v>
      </c>
      <c r="R65" s="15">
        <v>4</v>
      </c>
      <c r="S65" s="15">
        <v>3.7414459024586719</v>
      </c>
      <c r="T65" s="15">
        <v>4</v>
      </c>
      <c r="U65" s="15">
        <v>4</v>
      </c>
      <c r="V65" s="15">
        <v>3</v>
      </c>
      <c r="W65" s="15">
        <v>2.6848232746124272</v>
      </c>
      <c r="X65" s="15">
        <v>4</v>
      </c>
      <c r="Y65" s="15">
        <v>4.1867931662025626</v>
      </c>
      <c r="Z65" s="15">
        <v>4</v>
      </c>
      <c r="AA65" s="15">
        <v>4.1662511825561523</v>
      </c>
      <c r="AB65" s="15">
        <v>4</v>
      </c>
      <c r="AC65" s="15">
        <v>4.0546904761904763</v>
      </c>
      <c r="AD65" s="15">
        <v>4</v>
      </c>
      <c r="AE65" s="15">
        <v>3.8454047619047622</v>
      </c>
    </row>
    <row r="66" spans="2:31" x14ac:dyDescent="0.2">
      <c r="B66" s="15">
        <v>4</v>
      </c>
      <c r="C66" s="15">
        <v>3.770828229505931</v>
      </c>
      <c r="D66" s="15">
        <v>4</v>
      </c>
      <c r="E66" s="15">
        <v>3.69</v>
      </c>
      <c r="F66" s="15">
        <v>4</v>
      </c>
      <c r="G66" s="15">
        <v>3.792934084355065</v>
      </c>
      <c r="H66" s="15">
        <v>4</v>
      </c>
      <c r="I66" s="15">
        <v>3.7044760000000001</v>
      </c>
      <c r="J66" s="15">
        <v>4</v>
      </c>
      <c r="K66" s="15">
        <v>3.770828229505931</v>
      </c>
      <c r="L66" s="15">
        <v>4</v>
      </c>
      <c r="M66" s="15">
        <v>3.7917898193760262</v>
      </c>
      <c r="N66" s="15">
        <v>4</v>
      </c>
      <c r="O66" s="15">
        <v>4.0237843152721204</v>
      </c>
      <c r="P66" s="15">
        <v>4</v>
      </c>
      <c r="Q66" s="15">
        <v>4.073650117068782</v>
      </c>
      <c r="R66" s="15">
        <v>4</v>
      </c>
      <c r="S66" s="15">
        <v>4.4299507592480536</v>
      </c>
      <c r="T66" s="15">
        <v>4</v>
      </c>
      <c r="U66" s="15">
        <v>4</v>
      </c>
      <c r="V66" s="15">
        <v>2</v>
      </c>
      <c r="W66" s="15">
        <v>2.2668755054473881</v>
      </c>
      <c r="X66" s="15">
        <v>4</v>
      </c>
      <c r="Y66" s="15">
        <v>4.0035093271268138</v>
      </c>
      <c r="Z66" s="15">
        <v>4</v>
      </c>
      <c r="AA66" s="15">
        <v>4.167057991027832</v>
      </c>
      <c r="AB66" s="15">
        <v>4</v>
      </c>
      <c r="AC66" s="15">
        <v>4.0862857142857143</v>
      </c>
      <c r="AD66" s="15">
        <v>4</v>
      </c>
      <c r="AE66" s="15">
        <v>4.1797500000000003</v>
      </c>
    </row>
    <row r="67" spans="2:31" x14ac:dyDescent="0.2">
      <c r="B67" s="15">
        <v>4</v>
      </c>
      <c r="C67" s="15">
        <v>4.0841275233914356</v>
      </c>
      <c r="D67" s="15">
        <v>4</v>
      </c>
      <c r="E67" s="15">
        <v>4.6900000000000004</v>
      </c>
      <c r="F67" s="15">
        <v>4</v>
      </c>
      <c r="G67" s="15">
        <v>4.5645878502797643</v>
      </c>
      <c r="H67" s="15">
        <v>4</v>
      </c>
      <c r="I67" s="15">
        <v>4.8524219999999998</v>
      </c>
      <c r="J67" s="15">
        <v>4</v>
      </c>
      <c r="K67" s="15">
        <v>4.0841275233914356</v>
      </c>
      <c r="L67" s="15">
        <v>4</v>
      </c>
      <c r="M67" s="15">
        <v>4.1937967914438499</v>
      </c>
      <c r="N67" s="15">
        <v>4</v>
      </c>
      <c r="O67" s="15">
        <v>3.66515634988709</v>
      </c>
      <c r="P67" s="15">
        <v>4</v>
      </c>
      <c r="Q67" s="15">
        <v>4.0192966619535087</v>
      </c>
      <c r="R67" s="15">
        <v>4</v>
      </c>
      <c r="S67" s="15">
        <v>4.2291070568074849</v>
      </c>
      <c r="T67" s="15">
        <v>4</v>
      </c>
      <c r="U67" s="15">
        <v>4</v>
      </c>
      <c r="V67" s="15">
        <v>5</v>
      </c>
      <c r="W67" s="15">
        <v>3.874031782150269</v>
      </c>
      <c r="X67" s="15">
        <v>4</v>
      </c>
      <c r="Y67" s="15">
        <v>3.8299376007802062</v>
      </c>
      <c r="Z67" s="15">
        <v>4</v>
      </c>
      <c r="AA67" s="15">
        <v>3.7174785137176509</v>
      </c>
      <c r="AB67" s="15">
        <v>4</v>
      </c>
      <c r="AC67" s="15">
        <v>4.1535555555555552</v>
      </c>
      <c r="AD67" s="15">
        <v>4</v>
      </c>
      <c r="AE67" s="15">
        <v>4.1484444444444444</v>
      </c>
    </row>
    <row r="68" spans="2:31" x14ac:dyDescent="0.2">
      <c r="B68" s="15">
        <v>5</v>
      </c>
      <c r="C68" s="15">
        <v>4.668543201598923</v>
      </c>
      <c r="D68" s="15">
        <v>5</v>
      </c>
      <c r="E68" s="15">
        <v>4.5999999999999996</v>
      </c>
      <c r="F68" s="15">
        <v>5</v>
      </c>
      <c r="G68" s="15">
        <v>4.6037356176888959</v>
      </c>
      <c r="H68" s="15">
        <v>5</v>
      </c>
      <c r="I68" s="15">
        <v>5.0089980000000001</v>
      </c>
      <c r="J68" s="15">
        <v>5</v>
      </c>
      <c r="K68" s="15">
        <v>4.668543201598923</v>
      </c>
      <c r="L68" s="15">
        <v>5</v>
      </c>
      <c r="M68" s="15">
        <v>4.7248780487804876</v>
      </c>
      <c r="N68" s="15">
        <v>5</v>
      </c>
      <c r="O68" s="15">
        <v>4.033974533046929</v>
      </c>
      <c r="P68" s="15">
        <v>5</v>
      </c>
      <c r="Q68" s="15">
        <v>3.9130302281683198</v>
      </c>
      <c r="R68" s="15">
        <v>5</v>
      </c>
      <c r="S68" s="15">
        <v>3.2441345529439629</v>
      </c>
      <c r="T68" s="15">
        <v>5</v>
      </c>
      <c r="U68" s="15">
        <v>5</v>
      </c>
      <c r="V68" s="15">
        <v>5</v>
      </c>
      <c r="W68" s="15">
        <v>4.3549604415893546</v>
      </c>
      <c r="X68" s="15">
        <v>5</v>
      </c>
      <c r="Y68" s="15">
        <v>4.5758554824424236</v>
      </c>
      <c r="Z68" s="15">
        <v>5</v>
      </c>
      <c r="AA68" s="15">
        <v>4.4378480911254883</v>
      </c>
      <c r="AB68" s="15">
        <v>5</v>
      </c>
      <c r="AC68" s="15">
        <v>4.4527489177489166</v>
      </c>
      <c r="AD68" s="15">
        <v>5</v>
      </c>
      <c r="AE68" s="15">
        <v>4.2721190476190474</v>
      </c>
    </row>
    <row r="69" spans="2:31" x14ac:dyDescent="0.2">
      <c r="B69" s="15">
        <v>5</v>
      </c>
      <c r="C69" s="15">
        <v>3.9984665130139438</v>
      </c>
      <c r="D69" s="15">
        <v>5</v>
      </c>
      <c r="E69" s="15">
        <v>4.21</v>
      </c>
      <c r="F69" s="15">
        <v>5</v>
      </c>
      <c r="G69" s="15">
        <v>4.3817673618872313</v>
      </c>
      <c r="H69" s="15">
        <v>5</v>
      </c>
      <c r="I69" s="15">
        <v>4.2785789999999997</v>
      </c>
      <c r="J69" s="15">
        <v>5</v>
      </c>
      <c r="K69" s="15">
        <v>3.9984665130139438</v>
      </c>
      <c r="L69" s="15">
        <v>5</v>
      </c>
      <c r="M69" s="15">
        <v>4.2202020202020201</v>
      </c>
      <c r="N69" s="15">
        <v>5</v>
      </c>
      <c r="O69" s="15">
        <v>3.8686168000802579</v>
      </c>
      <c r="P69" s="15">
        <v>5</v>
      </c>
      <c r="Q69" s="15">
        <v>3.86336793775709</v>
      </c>
      <c r="R69" s="15">
        <v>5</v>
      </c>
      <c r="S69" s="15">
        <v>3.736894989831494</v>
      </c>
      <c r="T69" s="15">
        <v>5</v>
      </c>
      <c r="U69" s="15">
        <v>5</v>
      </c>
      <c r="V69" s="15">
        <v>5</v>
      </c>
      <c r="W69" s="15">
        <v>2.0328085422515869</v>
      </c>
      <c r="X69" s="15">
        <v>5</v>
      </c>
      <c r="Y69" s="15">
        <v>4.2004989510217081</v>
      </c>
      <c r="Z69" s="15">
        <v>5</v>
      </c>
      <c r="AA69" s="15">
        <v>4.183680534362793</v>
      </c>
      <c r="AB69" s="15">
        <v>5</v>
      </c>
      <c r="AC69" s="15">
        <v>4.6688452380952379</v>
      </c>
      <c r="AD69" s="15">
        <v>5</v>
      </c>
      <c r="AE69" s="15">
        <v>4.49154761904762</v>
      </c>
    </row>
    <row r="70" spans="2:31" x14ac:dyDescent="0.2">
      <c r="B70" s="15">
        <v>5</v>
      </c>
      <c r="C70" s="15">
        <v>3.877805040874061</v>
      </c>
      <c r="D70" s="15">
        <v>5</v>
      </c>
      <c r="E70" s="15">
        <v>4.01</v>
      </c>
      <c r="F70" s="15">
        <v>5</v>
      </c>
      <c r="G70" s="15">
        <v>4.2765347628170822</v>
      </c>
      <c r="H70" s="15">
        <v>5</v>
      </c>
      <c r="I70" s="15">
        <v>4.2308215999999996</v>
      </c>
      <c r="J70" s="15">
        <v>5</v>
      </c>
      <c r="K70" s="15">
        <v>3.877805040874061</v>
      </c>
      <c r="L70" s="15">
        <v>5</v>
      </c>
      <c r="M70" s="15">
        <v>3.9421397379912659</v>
      </c>
      <c r="N70" s="15">
        <v>5</v>
      </c>
      <c r="O70" s="15">
        <v>4.0378785064526443</v>
      </c>
      <c r="P70" s="15">
        <v>5</v>
      </c>
      <c r="Q70" s="15">
        <v>4.4549463506471678</v>
      </c>
      <c r="R70" s="15">
        <v>5</v>
      </c>
      <c r="S70" s="15">
        <v>4.6070541275465189</v>
      </c>
      <c r="T70" s="15">
        <v>5</v>
      </c>
      <c r="U70" s="15">
        <v>5</v>
      </c>
      <c r="V70" s="15">
        <v>3</v>
      </c>
      <c r="W70" s="15">
        <v>3.388355016708374</v>
      </c>
      <c r="X70" s="15">
        <v>5</v>
      </c>
      <c r="Y70" s="15">
        <v>4.0792242864261343</v>
      </c>
      <c r="Z70" s="15">
        <v>5</v>
      </c>
      <c r="AA70" s="15">
        <v>3.6826329231262211</v>
      </c>
      <c r="AB70" s="15">
        <v>5</v>
      </c>
      <c r="AC70" s="15">
        <v>4.7351825396825404</v>
      </c>
      <c r="AD70" s="15">
        <v>5</v>
      </c>
      <c r="AE70" s="15">
        <v>4.7850000000000001</v>
      </c>
    </row>
    <row r="71" spans="2:31" x14ac:dyDescent="0.2">
      <c r="B71" s="15">
        <v>5</v>
      </c>
      <c r="C71" s="15">
        <v>3.5333515717317439</v>
      </c>
      <c r="D71" s="15">
        <v>5</v>
      </c>
      <c r="E71" s="15">
        <v>3.47</v>
      </c>
      <c r="F71" s="15">
        <v>5</v>
      </c>
      <c r="G71" s="15">
        <v>3.49718593169843</v>
      </c>
      <c r="H71" s="15">
        <v>5</v>
      </c>
      <c r="I71" s="15">
        <v>3.2799659999999999</v>
      </c>
      <c r="J71" s="15">
        <v>5</v>
      </c>
      <c r="K71" s="15">
        <v>3.5333515717317439</v>
      </c>
      <c r="L71" s="15">
        <v>5</v>
      </c>
      <c r="M71" s="15">
        <v>3.3430637386181039</v>
      </c>
      <c r="N71" s="15">
        <v>5</v>
      </c>
      <c r="O71" s="15">
        <v>3.4469555626114579</v>
      </c>
      <c r="P71" s="15">
        <v>5</v>
      </c>
      <c r="Q71" s="15">
        <v>3.302838920243484</v>
      </c>
      <c r="R71" s="15">
        <v>5</v>
      </c>
      <c r="S71" s="15">
        <v>3.3536913809699431</v>
      </c>
      <c r="T71" s="15">
        <v>5</v>
      </c>
      <c r="U71" s="15">
        <v>5</v>
      </c>
      <c r="V71" s="15">
        <v>1</v>
      </c>
      <c r="W71" s="15">
        <v>3.2411642074584961</v>
      </c>
      <c r="X71" s="15">
        <v>5</v>
      </c>
      <c r="Y71" s="15">
        <v>3.9957290745433371</v>
      </c>
      <c r="Z71" s="15">
        <v>5</v>
      </c>
      <c r="AA71" s="15">
        <v>4.0949630737304688</v>
      </c>
      <c r="AB71" s="15">
        <v>5</v>
      </c>
      <c r="AC71" s="15">
        <v>4.4481428571428578</v>
      </c>
      <c r="AD71" s="15">
        <v>5</v>
      </c>
      <c r="AE71" s="15">
        <v>4.1587142857142858</v>
      </c>
    </row>
    <row r="72" spans="2:31" x14ac:dyDescent="0.2">
      <c r="B72" s="15">
        <v>4</v>
      </c>
      <c r="C72" s="15">
        <v>3.694586085278325</v>
      </c>
      <c r="D72" s="15">
        <v>4</v>
      </c>
      <c r="E72" s="15">
        <v>4.4000000000000004</v>
      </c>
      <c r="F72" s="15">
        <v>4</v>
      </c>
      <c r="G72" s="15">
        <v>4.1027152534510458</v>
      </c>
      <c r="H72" s="15">
        <v>4</v>
      </c>
      <c r="I72" s="15">
        <v>4.0262460000000004</v>
      </c>
      <c r="J72" s="15">
        <v>4</v>
      </c>
      <c r="K72" s="15">
        <v>3.694586085278325</v>
      </c>
      <c r="L72" s="15">
        <v>4</v>
      </c>
      <c r="M72" s="15">
        <v>4.3469162995594717</v>
      </c>
      <c r="N72" s="15">
        <v>4</v>
      </c>
      <c r="O72" s="15">
        <v>3.7414823042567731</v>
      </c>
      <c r="P72" s="15">
        <v>4</v>
      </c>
      <c r="Q72" s="15">
        <v>4.108045514218869</v>
      </c>
      <c r="R72" s="15">
        <v>4</v>
      </c>
      <c r="S72" s="15">
        <v>4.064629050995233</v>
      </c>
      <c r="T72" s="15">
        <v>4</v>
      </c>
      <c r="U72" s="15">
        <v>4</v>
      </c>
      <c r="V72" s="15">
        <v>3</v>
      </c>
      <c r="W72" s="15">
        <v>3.5721790790557861</v>
      </c>
      <c r="X72" s="15">
        <v>4</v>
      </c>
      <c r="Y72" s="15">
        <v>3.8488064408677238</v>
      </c>
      <c r="Z72" s="15">
        <v>4</v>
      </c>
      <c r="AA72" s="15">
        <v>3.794952392578125</v>
      </c>
      <c r="AB72" s="15">
        <v>4</v>
      </c>
      <c r="AC72" s="15">
        <v>4.0300595238095243</v>
      </c>
      <c r="AD72" s="15">
        <v>4</v>
      </c>
      <c r="AE72" s="15">
        <v>3.9954206349206358</v>
      </c>
    </row>
    <row r="73" spans="2:31" x14ac:dyDescent="0.2">
      <c r="B73" s="15">
        <v>5</v>
      </c>
      <c r="C73" s="15">
        <v>3.7853621398990032</v>
      </c>
      <c r="D73" s="15">
        <v>5</v>
      </c>
      <c r="E73" s="15">
        <v>3.97</v>
      </c>
      <c r="F73" s="15">
        <v>5</v>
      </c>
      <c r="G73" s="15">
        <v>4.0227355634341482</v>
      </c>
      <c r="H73" s="15">
        <v>5</v>
      </c>
      <c r="I73" s="15">
        <v>3.973071</v>
      </c>
      <c r="J73" s="15">
        <v>5</v>
      </c>
      <c r="K73" s="15">
        <v>3.7853621398990032</v>
      </c>
      <c r="L73" s="15">
        <v>5</v>
      </c>
      <c r="M73" s="15">
        <v>4.1486227721313886</v>
      </c>
      <c r="N73" s="15">
        <v>5</v>
      </c>
      <c r="O73" s="15">
        <v>4.005378314576733</v>
      </c>
      <c r="P73" s="15">
        <v>5</v>
      </c>
      <c r="Q73" s="15">
        <v>3.9692472622962631</v>
      </c>
      <c r="R73" s="15">
        <v>5</v>
      </c>
      <c r="S73" s="15">
        <v>4.1067356350483628</v>
      </c>
      <c r="T73" s="15">
        <v>5</v>
      </c>
      <c r="U73" s="15">
        <v>5</v>
      </c>
      <c r="V73" s="15">
        <v>4</v>
      </c>
      <c r="W73" s="15">
        <v>3.5180923938751221</v>
      </c>
      <c r="X73" s="15">
        <v>5</v>
      </c>
      <c r="Y73" s="15">
        <v>4.2739096829540797</v>
      </c>
      <c r="Z73" s="15">
        <v>5</v>
      </c>
      <c r="AA73" s="15">
        <v>3.982978343963623</v>
      </c>
      <c r="AB73" s="15">
        <v>5</v>
      </c>
      <c r="AC73" s="15">
        <v>4.3896666666666668</v>
      </c>
      <c r="AD73" s="15">
        <v>5</v>
      </c>
      <c r="AE73" s="15">
        <v>4.5117380952380959</v>
      </c>
    </row>
    <row r="74" spans="2:31" x14ac:dyDescent="0.2">
      <c r="B74" s="15">
        <v>3</v>
      </c>
      <c r="C74" s="15">
        <v>3.923752737501931</v>
      </c>
      <c r="D74" s="15">
        <v>3</v>
      </c>
      <c r="E74" s="15">
        <v>4.2</v>
      </c>
      <c r="F74" s="15">
        <v>3</v>
      </c>
      <c r="G74" s="15">
        <v>4.2698196119278489</v>
      </c>
      <c r="H74" s="15">
        <v>3</v>
      </c>
      <c r="I74" s="15">
        <v>4.3279949999999996</v>
      </c>
      <c r="J74" s="15">
        <v>3</v>
      </c>
      <c r="K74" s="15">
        <v>3.923752737501931</v>
      </c>
      <c r="L74" s="15">
        <v>3</v>
      </c>
      <c r="M74" s="15">
        <v>4.0128452151573537</v>
      </c>
      <c r="N74" s="15">
        <v>3</v>
      </c>
      <c r="O74" s="15">
        <v>3.0120461374203651</v>
      </c>
      <c r="P74" s="15">
        <v>3</v>
      </c>
      <c r="Q74" s="15">
        <v>3.5003851800803272</v>
      </c>
      <c r="R74" s="15">
        <v>3</v>
      </c>
      <c r="S74" s="15">
        <v>3.2014114143776902</v>
      </c>
      <c r="T74" s="15">
        <v>3</v>
      </c>
      <c r="U74" s="15">
        <v>3</v>
      </c>
      <c r="V74" s="15">
        <v>5</v>
      </c>
      <c r="W74" s="15">
        <v>4.5099101066589364</v>
      </c>
      <c r="X74" s="15">
        <v>3</v>
      </c>
      <c r="Y74" s="15">
        <v>2.7337754279436872</v>
      </c>
      <c r="Z74" s="15">
        <v>3</v>
      </c>
      <c r="AA74" s="15">
        <v>2.466446161270142</v>
      </c>
      <c r="AB74" s="15">
        <v>3</v>
      </c>
      <c r="AC74" s="15">
        <v>3.2302153679653669</v>
      </c>
      <c r="AD74" s="15">
        <v>3</v>
      </c>
      <c r="AE74" s="15">
        <v>3.282023809523809</v>
      </c>
    </row>
    <row r="75" spans="2:31" x14ac:dyDescent="0.2">
      <c r="B75" s="15">
        <v>5</v>
      </c>
      <c r="C75" s="15">
        <v>3.4717702401560322</v>
      </c>
      <c r="D75" s="15">
        <v>5</v>
      </c>
      <c r="E75" s="15">
        <v>3.41</v>
      </c>
      <c r="F75" s="15">
        <v>5</v>
      </c>
      <c r="G75" s="15">
        <v>3.1956122718354658</v>
      </c>
      <c r="H75" s="15">
        <v>5</v>
      </c>
      <c r="I75" s="15">
        <v>3.2680726</v>
      </c>
      <c r="J75" s="15">
        <v>5</v>
      </c>
      <c r="K75" s="15">
        <v>3.4717702401560309</v>
      </c>
      <c r="L75" s="15">
        <v>5</v>
      </c>
      <c r="M75" s="15">
        <v>3.3430637386181039</v>
      </c>
      <c r="N75" s="15">
        <v>5</v>
      </c>
      <c r="O75" s="15">
        <v>3.1418889233017122</v>
      </c>
      <c r="P75" s="15">
        <v>5</v>
      </c>
      <c r="Q75" s="15">
        <v>3.5078661030272191</v>
      </c>
      <c r="R75" s="15">
        <v>5</v>
      </c>
      <c r="S75" s="15">
        <v>3.4398512470696772</v>
      </c>
      <c r="T75" s="15">
        <v>5</v>
      </c>
      <c r="U75" s="15">
        <v>5</v>
      </c>
      <c r="V75" s="15">
        <v>4</v>
      </c>
      <c r="W75" s="15">
        <v>3.65906810760498</v>
      </c>
      <c r="X75" s="15">
        <v>5</v>
      </c>
      <c r="Y75" s="15">
        <v>3.4960681105922382</v>
      </c>
      <c r="Z75" s="15">
        <v>5</v>
      </c>
      <c r="AA75" s="15">
        <v>3.7647635936737061</v>
      </c>
      <c r="AB75" s="15">
        <v>5</v>
      </c>
      <c r="AC75" s="15">
        <v>4.5226428571428574</v>
      </c>
      <c r="AD75" s="15">
        <v>5</v>
      </c>
      <c r="AE75" s="15">
        <v>4.6749166666666664</v>
      </c>
    </row>
    <row r="76" spans="2:31" x14ac:dyDescent="0.2">
      <c r="B76" s="15">
        <v>3</v>
      </c>
      <c r="C76" s="15">
        <v>3.627739241484178</v>
      </c>
      <c r="D76" s="15">
        <v>3</v>
      </c>
      <c r="E76" s="15">
        <v>3.68</v>
      </c>
      <c r="F76" s="15">
        <v>3</v>
      </c>
      <c r="G76" s="15">
        <v>3.7219242982802858</v>
      </c>
      <c r="H76" s="15">
        <v>3</v>
      </c>
      <c r="I76" s="15">
        <v>3.6974830000000001</v>
      </c>
      <c r="J76" s="15">
        <v>3</v>
      </c>
      <c r="K76" s="15">
        <v>3.627739241484178</v>
      </c>
      <c r="L76" s="15">
        <v>3</v>
      </c>
      <c r="M76" s="15">
        <v>4.0155208964264082</v>
      </c>
      <c r="N76" s="15">
        <v>3</v>
      </c>
      <c r="O76" s="15">
        <v>3.591571077605936</v>
      </c>
      <c r="P76" s="15">
        <v>3</v>
      </c>
      <c r="Q76" s="15">
        <v>3.2823597493644181</v>
      </c>
      <c r="R76" s="15">
        <v>3</v>
      </c>
      <c r="S76" s="15">
        <v>3.2222567764530572</v>
      </c>
      <c r="T76" s="15">
        <v>3</v>
      </c>
      <c r="U76" s="15">
        <v>3</v>
      </c>
      <c r="V76" s="15">
        <v>3</v>
      </c>
      <c r="W76" s="15">
        <v>2.8426821231842041</v>
      </c>
      <c r="X76" s="15">
        <v>3</v>
      </c>
      <c r="Y76" s="15">
        <v>3.6394748945197311</v>
      </c>
      <c r="Z76" s="15">
        <v>3</v>
      </c>
      <c r="AA76" s="15">
        <v>3.6489896774291992</v>
      </c>
      <c r="AB76" s="15">
        <v>3</v>
      </c>
      <c r="AC76" s="15">
        <v>3.2266984126984131</v>
      </c>
      <c r="AD76" s="15">
        <v>3</v>
      </c>
      <c r="AE76" s="15">
        <v>3.1128333333333331</v>
      </c>
    </row>
    <row r="77" spans="2:31" x14ac:dyDescent="0.2">
      <c r="B77" s="15">
        <v>1</v>
      </c>
      <c r="C77" s="15">
        <v>3.5465972132742332</v>
      </c>
      <c r="D77" s="15">
        <v>1</v>
      </c>
      <c r="E77" s="15">
        <v>3.25</v>
      </c>
      <c r="F77" s="15">
        <v>1</v>
      </c>
      <c r="G77" s="15">
        <v>3.249779719945022</v>
      </c>
      <c r="H77" s="15">
        <v>1</v>
      </c>
      <c r="I77" s="15">
        <v>3.1871179999999999</v>
      </c>
      <c r="J77" s="15">
        <v>1</v>
      </c>
      <c r="K77" s="15">
        <v>3.5465972132742332</v>
      </c>
      <c r="L77" s="15">
        <v>1</v>
      </c>
      <c r="M77" s="15">
        <v>3.371737173717372</v>
      </c>
      <c r="N77" s="15">
        <v>1</v>
      </c>
      <c r="O77" s="15">
        <v>2.907060772888959</v>
      </c>
      <c r="P77" s="15">
        <v>1</v>
      </c>
      <c r="Q77" s="15">
        <v>2.8186568022996279</v>
      </c>
      <c r="R77" s="15">
        <v>1</v>
      </c>
      <c r="S77" s="15">
        <v>2.8519109258267918</v>
      </c>
      <c r="T77" s="15">
        <v>1</v>
      </c>
      <c r="U77" s="15">
        <v>1</v>
      </c>
      <c r="V77" s="15">
        <v>5</v>
      </c>
      <c r="W77" s="15">
        <v>4.4493708610534668</v>
      </c>
      <c r="X77" s="15">
        <v>1</v>
      </c>
      <c r="Y77" s="15">
        <v>1.9220103692199799</v>
      </c>
      <c r="Z77" s="15">
        <v>1</v>
      </c>
      <c r="AA77" s="15">
        <v>1.6107392311096189</v>
      </c>
      <c r="AB77" s="15">
        <v>1</v>
      </c>
      <c r="AC77" s="15">
        <v>1.640880952380952</v>
      </c>
      <c r="AD77" s="15">
        <v>1</v>
      </c>
      <c r="AE77" s="15">
        <v>1.6132738095238099</v>
      </c>
    </row>
    <row r="78" spans="2:31" x14ac:dyDescent="0.2">
      <c r="B78" s="15">
        <v>5</v>
      </c>
      <c r="C78" s="15">
        <v>4.0229543718926921</v>
      </c>
      <c r="D78" s="15">
        <v>5</v>
      </c>
      <c r="E78" s="15">
        <v>4.33</v>
      </c>
      <c r="F78" s="15">
        <v>5</v>
      </c>
      <c r="G78" s="15">
        <v>4.3188232566886127</v>
      </c>
      <c r="H78" s="15">
        <v>5</v>
      </c>
      <c r="I78" s="15">
        <v>4.670585</v>
      </c>
      <c r="J78" s="15">
        <v>5</v>
      </c>
      <c r="K78" s="15">
        <v>4.0229543718926921</v>
      </c>
      <c r="L78" s="15">
        <v>5</v>
      </c>
      <c r="M78" s="15">
        <v>4.3181067694001101</v>
      </c>
      <c r="N78" s="15">
        <v>5</v>
      </c>
      <c r="O78" s="15">
        <v>3.5554924950400539</v>
      </c>
      <c r="P78" s="15">
        <v>5</v>
      </c>
      <c r="Q78" s="15">
        <v>3.7197105974212912</v>
      </c>
      <c r="R78" s="15">
        <v>5</v>
      </c>
      <c r="S78" s="15">
        <v>3.8085470319202921</v>
      </c>
      <c r="T78" s="15">
        <v>5</v>
      </c>
      <c r="U78" s="15">
        <v>5</v>
      </c>
      <c r="V78" s="15">
        <v>4</v>
      </c>
      <c r="W78" s="15">
        <v>4.2622318267822266</v>
      </c>
      <c r="X78" s="15">
        <v>5</v>
      </c>
      <c r="Y78" s="15">
        <v>4.0199699969483031</v>
      </c>
      <c r="Z78" s="15">
        <v>5</v>
      </c>
      <c r="AA78" s="15">
        <v>4.0773367881774902</v>
      </c>
      <c r="AB78" s="15">
        <v>5</v>
      </c>
      <c r="AC78" s="15">
        <v>4.7674999999999992</v>
      </c>
      <c r="AD78" s="15">
        <v>5</v>
      </c>
      <c r="AE78" s="15">
        <v>4.7170714285714288</v>
      </c>
    </row>
    <row r="79" spans="2:31" x14ac:dyDescent="0.2">
      <c r="B79" s="15">
        <v>5</v>
      </c>
      <c r="C79" s="15">
        <v>3.9535198435617289</v>
      </c>
      <c r="D79" s="15">
        <v>5</v>
      </c>
      <c r="E79" s="15">
        <v>3.79</v>
      </c>
      <c r="F79" s="15">
        <v>5</v>
      </c>
      <c r="G79" s="15">
        <v>4.1018949545217254</v>
      </c>
      <c r="H79" s="15">
        <v>5</v>
      </c>
      <c r="I79" s="15">
        <v>4.0194279999999996</v>
      </c>
      <c r="J79" s="15">
        <v>5</v>
      </c>
      <c r="K79" s="15">
        <v>3.953519843561728</v>
      </c>
      <c r="L79" s="15">
        <v>5</v>
      </c>
      <c r="M79" s="15">
        <v>3.7552812071330588</v>
      </c>
      <c r="N79" s="15">
        <v>5</v>
      </c>
      <c r="O79" s="15">
        <v>3.935479200304294</v>
      </c>
      <c r="P79" s="15">
        <v>5</v>
      </c>
      <c r="Q79" s="15">
        <v>4.4061923815329358</v>
      </c>
      <c r="R79" s="15">
        <v>5</v>
      </c>
      <c r="S79" s="15">
        <v>4.7901780773707099</v>
      </c>
      <c r="T79" s="15">
        <v>5</v>
      </c>
      <c r="U79" s="15">
        <v>5</v>
      </c>
      <c r="V79" s="15">
        <v>3</v>
      </c>
      <c r="W79" s="15">
        <v>4.0267119407653809</v>
      </c>
      <c r="X79" s="15">
        <v>5</v>
      </c>
      <c r="Y79" s="15">
        <v>4.2267992500392522</v>
      </c>
      <c r="Z79" s="15">
        <v>5</v>
      </c>
      <c r="AA79" s="15">
        <v>3.9941704273223881</v>
      </c>
      <c r="AB79" s="15">
        <v>5</v>
      </c>
      <c r="AC79" s="15">
        <v>4.70275</v>
      </c>
      <c r="AD79" s="15">
        <v>5</v>
      </c>
      <c r="AE79" s="15">
        <v>4.7205000000000004</v>
      </c>
    </row>
    <row r="80" spans="2:31" x14ac:dyDescent="0.2">
      <c r="B80" s="15">
        <v>4</v>
      </c>
      <c r="C80" s="15">
        <v>3.3542986150933638</v>
      </c>
      <c r="D80" s="15">
        <v>4</v>
      </c>
      <c r="E80" s="15">
        <v>3.6</v>
      </c>
      <c r="F80" s="15">
        <v>4</v>
      </c>
      <c r="G80" s="15">
        <v>2.8735009876826672</v>
      </c>
      <c r="H80" s="15">
        <v>4</v>
      </c>
      <c r="I80" s="15">
        <v>2.7082932</v>
      </c>
      <c r="J80" s="15">
        <v>4</v>
      </c>
      <c r="K80" s="15">
        <v>3.3542986150933638</v>
      </c>
      <c r="L80" s="15">
        <v>4</v>
      </c>
      <c r="M80" s="15">
        <v>2.8256087981146898</v>
      </c>
      <c r="N80" s="15">
        <v>4</v>
      </c>
      <c r="O80" s="15">
        <v>3.322229352786163</v>
      </c>
      <c r="P80" s="15">
        <v>4</v>
      </c>
      <c r="Q80" s="15">
        <v>2.9364768884137211</v>
      </c>
      <c r="R80" s="15">
        <v>4</v>
      </c>
      <c r="S80" s="15">
        <v>2.6462205374885208</v>
      </c>
      <c r="T80" s="15">
        <v>4</v>
      </c>
      <c r="U80" s="15">
        <v>4</v>
      </c>
      <c r="V80" s="15">
        <v>2</v>
      </c>
      <c r="W80" s="15">
        <v>1.9569511413574221</v>
      </c>
      <c r="X80" s="15">
        <v>4</v>
      </c>
      <c r="Y80" s="15">
        <v>3.2859206753351939</v>
      </c>
      <c r="Z80" s="15">
        <v>4</v>
      </c>
      <c r="AA80" s="15">
        <v>3.6585652828216548</v>
      </c>
      <c r="AB80" s="15">
        <v>4</v>
      </c>
      <c r="AC80" s="15">
        <v>3.52897619047619</v>
      </c>
      <c r="AD80" s="15">
        <v>4</v>
      </c>
      <c r="AE80" s="15">
        <v>3.7039444444444438</v>
      </c>
    </row>
    <row r="81" spans="2:31" x14ac:dyDescent="0.2">
      <c r="B81" s="15">
        <v>5</v>
      </c>
      <c r="C81" s="15">
        <v>4.0326377875372321</v>
      </c>
      <c r="D81" s="15">
        <v>5</v>
      </c>
      <c r="E81" s="15">
        <v>4.3</v>
      </c>
      <c r="F81" s="15">
        <v>5</v>
      </c>
      <c r="G81" s="15">
        <v>4.6467508179342056</v>
      </c>
      <c r="H81" s="15">
        <v>5</v>
      </c>
      <c r="I81" s="15">
        <v>4.4671640000000004</v>
      </c>
      <c r="J81" s="15">
        <v>5</v>
      </c>
      <c r="K81" s="15">
        <v>4.0326377875372321</v>
      </c>
      <c r="L81" s="15">
        <v>5</v>
      </c>
      <c r="M81" s="15">
        <v>4.4884074496389204</v>
      </c>
      <c r="N81" s="15">
        <v>5</v>
      </c>
      <c r="O81" s="15">
        <v>3.8598373213567898</v>
      </c>
      <c r="P81" s="15">
        <v>5</v>
      </c>
      <c r="Q81" s="15">
        <v>4.5226841039079559</v>
      </c>
      <c r="R81" s="15">
        <v>5</v>
      </c>
      <c r="S81" s="15">
        <v>4.6546104593684419</v>
      </c>
      <c r="T81" s="15">
        <v>5</v>
      </c>
      <c r="U81" s="15">
        <v>5</v>
      </c>
      <c r="V81" s="15">
        <v>1</v>
      </c>
      <c r="W81" s="15">
        <v>2.3513250350952148</v>
      </c>
      <c r="X81" s="15">
        <v>5</v>
      </c>
      <c r="Y81" s="15">
        <v>4.3075180898973233</v>
      </c>
      <c r="Z81" s="15">
        <v>5</v>
      </c>
      <c r="AA81" s="15">
        <v>4.2206845283508301</v>
      </c>
      <c r="AB81" s="15">
        <v>5</v>
      </c>
      <c r="AC81" s="15">
        <v>4.87</v>
      </c>
      <c r="AD81" s="15">
        <v>5</v>
      </c>
      <c r="AE81" s="15">
        <v>4.8466666666666667</v>
      </c>
    </row>
    <row r="82" spans="2:31" x14ac:dyDescent="0.2">
      <c r="B82" s="15">
        <v>4</v>
      </c>
      <c r="C82" s="15">
        <v>4.0285443743593676</v>
      </c>
      <c r="D82" s="15">
        <v>4</v>
      </c>
      <c r="E82" s="15">
        <v>3.63</v>
      </c>
      <c r="F82" s="15">
        <v>4</v>
      </c>
      <c r="G82" s="15">
        <v>3.8971300409754832</v>
      </c>
      <c r="H82" s="15">
        <v>4</v>
      </c>
      <c r="I82" s="15">
        <v>3.9342467999999999</v>
      </c>
      <c r="J82" s="15">
        <v>4</v>
      </c>
      <c r="K82" s="15">
        <v>4.0285443743593676</v>
      </c>
      <c r="L82" s="15">
        <v>4</v>
      </c>
      <c r="M82" s="15">
        <v>3.4723892837616179</v>
      </c>
      <c r="N82" s="15">
        <v>4</v>
      </c>
      <c r="O82" s="15">
        <v>3.4044220890297701</v>
      </c>
      <c r="P82" s="15">
        <v>4</v>
      </c>
      <c r="Q82" s="15">
        <v>2.8120202342234468</v>
      </c>
      <c r="R82" s="15">
        <v>4</v>
      </c>
      <c r="S82" s="15">
        <v>2.2419551298346061</v>
      </c>
      <c r="T82" s="15">
        <v>4</v>
      </c>
      <c r="U82" s="15">
        <v>4</v>
      </c>
      <c r="V82" s="15">
        <v>4</v>
      </c>
      <c r="W82" s="15">
        <v>4.3200206756591797</v>
      </c>
      <c r="X82" s="15">
        <v>4</v>
      </c>
      <c r="Y82" s="15">
        <v>3.2743429196855129</v>
      </c>
      <c r="Z82" s="15">
        <v>4</v>
      </c>
      <c r="AA82" s="15">
        <v>3.0103826522827148</v>
      </c>
      <c r="AB82" s="15">
        <v>4</v>
      </c>
      <c r="AC82" s="15">
        <v>3.4134880952380962</v>
      </c>
      <c r="AD82" s="15">
        <v>4</v>
      </c>
      <c r="AE82" s="15">
        <v>3.249294372294373</v>
      </c>
    </row>
    <row r="83" spans="2:31" x14ac:dyDescent="0.2">
      <c r="B83" s="15">
        <v>4</v>
      </c>
      <c r="C83" s="15">
        <v>4.2726899994999332</v>
      </c>
      <c r="D83" s="15">
        <v>4</v>
      </c>
      <c r="E83" s="15">
        <v>3.97</v>
      </c>
      <c r="F83" s="15">
        <v>4</v>
      </c>
      <c r="G83" s="15">
        <v>4.1172253939442909</v>
      </c>
      <c r="H83" s="15">
        <v>4</v>
      </c>
      <c r="I83" s="15">
        <v>4.5273684999999997</v>
      </c>
      <c r="J83" s="15">
        <v>4</v>
      </c>
      <c r="K83" s="15">
        <v>4.2726899994999332</v>
      </c>
      <c r="L83" s="15">
        <v>4</v>
      </c>
      <c r="M83" s="15">
        <v>4.0844370860927146</v>
      </c>
      <c r="N83" s="15">
        <v>4</v>
      </c>
      <c r="O83" s="15">
        <v>3.032423464413319</v>
      </c>
      <c r="P83" s="15">
        <v>4</v>
      </c>
      <c r="Q83" s="15">
        <v>3.6371800066173652</v>
      </c>
      <c r="R83" s="15">
        <v>4</v>
      </c>
      <c r="S83" s="15">
        <v>2.8994715091894672</v>
      </c>
      <c r="T83" s="15">
        <v>4</v>
      </c>
      <c r="U83" s="15">
        <v>4</v>
      </c>
      <c r="V83" s="15">
        <v>2</v>
      </c>
      <c r="W83" s="15">
        <v>3.0445065498352051</v>
      </c>
      <c r="X83" s="15">
        <v>4</v>
      </c>
      <c r="Y83" s="15">
        <v>3.4330852978657118</v>
      </c>
      <c r="Z83" s="15">
        <v>4</v>
      </c>
      <c r="AA83" s="15">
        <v>3.378524541854858</v>
      </c>
      <c r="AB83" s="15">
        <v>4</v>
      </c>
      <c r="AC83" s="15">
        <v>4.049833333333333</v>
      </c>
      <c r="AD83" s="15">
        <v>4</v>
      </c>
      <c r="AE83" s="15">
        <v>3.754285714285714</v>
      </c>
    </row>
    <row r="84" spans="2:31" x14ac:dyDescent="0.2">
      <c r="B84" s="15">
        <v>4</v>
      </c>
      <c r="C84" s="15">
        <v>3.8854237606193438</v>
      </c>
      <c r="D84" s="15">
        <v>4</v>
      </c>
      <c r="E84" s="15">
        <v>4.46</v>
      </c>
      <c r="F84" s="15">
        <v>4</v>
      </c>
      <c r="G84" s="15">
        <v>4.4707794072163569</v>
      </c>
      <c r="H84" s="15">
        <v>4</v>
      </c>
      <c r="I84" s="15">
        <v>4.3908624999999999</v>
      </c>
      <c r="J84" s="15">
        <v>4</v>
      </c>
      <c r="K84" s="15">
        <v>3.8854237606193438</v>
      </c>
      <c r="L84" s="15">
        <v>4</v>
      </c>
      <c r="M84" s="15">
        <v>4.5828002842928219</v>
      </c>
      <c r="N84" s="15">
        <v>4</v>
      </c>
      <c r="O84" s="15">
        <v>3.502948025619312</v>
      </c>
      <c r="P84" s="15">
        <v>4</v>
      </c>
      <c r="Q84" s="15">
        <v>3.9974810158515628</v>
      </c>
      <c r="R84" s="15">
        <v>4</v>
      </c>
      <c r="S84" s="15">
        <v>3.7119981032741221</v>
      </c>
      <c r="T84" s="15">
        <v>4</v>
      </c>
      <c r="U84" s="15">
        <v>4</v>
      </c>
      <c r="V84" s="15">
        <v>3</v>
      </c>
      <c r="W84" s="15">
        <v>2.037228107452393</v>
      </c>
      <c r="X84" s="15">
        <v>4</v>
      </c>
      <c r="Y84" s="15">
        <v>3.5619265658054529</v>
      </c>
      <c r="Z84" s="15">
        <v>4</v>
      </c>
      <c r="AA84" s="15">
        <v>3.6486632823944092</v>
      </c>
      <c r="AB84" s="15">
        <v>4</v>
      </c>
      <c r="AC84" s="15">
        <v>4.1750476190476187</v>
      </c>
      <c r="AD84" s="15">
        <v>4</v>
      </c>
      <c r="AE84" s="15">
        <v>3.9599880952380948</v>
      </c>
    </row>
    <row r="85" spans="2:31" x14ac:dyDescent="0.2">
      <c r="B85" s="15">
        <v>4</v>
      </c>
      <c r="C85" s="15">
        <v>4.047471398018911</v>
      </c>
      <c r="D85" s="15">
        <v>4</v>
      </c>
      <c r="E85" s="15">
        <v>4.58</v>
      </c>
      <c r="F85" s="15">
        <v>4</v>
      </c>
      <c r="G85" s="15">
        <v>4.3952830914797421</v>
      </c>
      <c r="H85" s="15">
        <v>4</v>
      </c>
      <c r="I85" s="15">
        <v>4.8169139999999997</v>
      </c>
      <c r="J85" s="15">
        <v>4</v>
      </c>
      <c r="K85" s="15">
        <v>4.047471398018911</v>
      </c>
      <c r="L85" s="15">
        <v>4</v>
      </c>
      <c r="M85" s="15">
        <v>4.0155208964264082</v>
      </c>
      <c r="N85" s="15">
        <v>4</v>
      </c>
      <c r="O85" s="15">
        <v>3.1986379902689541</v>
      </c>
      <c r="P85" s="15">
        <v>4</v>
      </c>
      <c r="Q85" s="15">
        <v>3.0105925202766759</v>
      </c>
      <c r="R85" s="15">
        <v>4</v>
      </c>
      <c r="S85" s="15">
        <v>3.214175947063858</v>
      </c>
      <c r="T85" s="15">
        <v>4</v>
      </c>
      <c r="U85" s="15">
        <v>4</v>
      </c>
      <c r="V85" s="15">
        <v>3</v>
      </c>
      <c r="W85" s="15">
        <v>1.646593451499939</v>
      </c>
      <c r="X85" s="15">
        <v>4</v>
      </c>
      <c r="Y85" s="15">
        <v>3.3213948621756741</v>
      </c>
      <c r="Z85" s="15">
        <v>4</v>
      </c>
      <c r="AA85" s="15">
        <v>3.2200183868408199</v>
      </c>
      <c r="AB85" s="15">
        <v>4</v>
      </c>
      <c r="AC85" s="15">
        <v>3.7441666666666671</v>
      </c>
      <c r="AD85" s="15">
        <v>4</v>
      </c>
      <c r="AE85" s="15">
        <v>3.6518333333333328</v>
      </c>
    </row>
    <row r="86" spans="2:31" x14ac:dyDescent="0.2">
      <c r="B86" s="15">
        <v>4</v>
      </c>
      <c r="C86" s="15">
        <v>3.3483777175422968</v>
      </c>
      <c r="D86" s="15">
        <v>4</v>
      </c>
      <c r="E86" s="15">
        <v>3.24</v>
      </c>
      <c r="F86" s="15">
        <v>4</v>
      </c>
      <c r="G86" s="15">
        <v>2.929305422637964</v>
      </c>
      <c r="H86" s="15">
        <v>4</v>
      </c>
      <c r="I86" s="15">
        <v>2.5728203999999999</v>
      </c>
      <c r="J86" s="15">
        <v>4</v>
      </c>
      <c r="K86" s="15">
        <v>3.3483777175422968</v>
      </c>
      <c r="L86" s="15">
        <v>4</v>
      </c>
      <c r="M86" s="15">
        <v>3.4249596557288871</v>
      </c>
      <c r="N86" s="15">
        <v>4</v>
      </c>
      <c r="O86" s="15">
        <v>4.1774373629312302</v>
      </c>
      <c r="P86" s="15">
        <v>4</v>
      </c>
      <c r="Q86" s="15">
        <v>3.430759815203837</v>
      </c>
      <c r="R86" s="15">
        <v>4</v>
      </c>
      <c r="S86" s="15">
        <v>3.665686712576115</v>
      </c>
      <c r="T86" s="15">
        <v>4</v>
      </c>
      <c r="U86" s="15">
        <v>4</v>
      </c>
      <c r="V86" s="15">
        <v>5</v>
      </c>
      <c r="W86" s="15">
        <v>3.365545272827148</v>
      </c>
      <c r="X86" s="15">
        <v>4</v>
      </c>
      <c r="Y86" s="15">
        <v>4.0755595222090513</v>
      </c>
      <c r="Z86" s="15">
        <v>4</v>
      </c>
      <c r="AA86" s="15">
        <v>3.941085577011108</v>
      </c>
      <c r="AB86" s="15">
        <v>4</v>
      </c>
      <c r="AC86" s="15">
        <v>3.7007857142857139</v>
      </c>
      <c r="AD86" s="15">
        <v>4</v>
      </c>
      <c r="AE86" s="15">
        <v>3.8926428571428562</v>
      </c>
    </row>
    <row r="87" spans="2:31" x14ac:dyDescent="0.2">
      <c r="B87" s="15">
        <v>3</v>
      </c>
      <c r="C87" s="15">
        <v>3.6948066751140902</v>
      </c>
      <c r="D87" s="15">
        <v>3</v>
      </c>
      <c r="E87" s="15">
        <v>3.47</v>
      </c>
      <c r="F87" s="15">
        <v>3</v>
      </c>
      <c r="G87" s="15">
        <v>3.5150761954546619</v>
      </c>
      <c r="H87" s="15">
        <v>3</v>
      </c>
      <c r="I87" s="15">
        <v>3.8020770000000002</v>
      </c>
      <c r="J87" s="15">
        <v>3</v>
      </c>
      <c r="K87" s="15">
        <v>3.6948066751140911</v>
      </c>
      <c r="L87" s="15">
        <v>3</v>
      </c>
      <c r="M87" s="15">
        <v>3.466986351899668</v>
      </c>
      <c r="N87" s="15">
        <v>3</v>
      </c>
      <c r="O87" s="15">
        <v>3.2734577245689871</v>
      </c>
      <c r="P87" s="15">
        <v>3</v>
      </c>
      <c r="Q87" s="15">
        <v>2.9376504272243529</v>
      </c>
      <c r="R87" s="15">
        <v>3</v>
      </c>
      <c r="S87" s="15">
        <v>2.693438384733819</v>
      </c>
      <c r="T87" s="15">
        <v>3</v>
      </c>
      <c r="U87" s="15">
        <v>3</v>
      </c>
      <c r="V87" s="15">
        <v>1</v>
      </c>
      <c r="W87" s="15">
        <v>2.865118026733398</v>
      </c>
      <c r="X87" s="15">
        <v>3</v>
      </c>
      <c r="Y87" s="15">
        <v>3.3114823074705102</v>
      </c>
      <c r="Z87" s="15">
        <v>3</v>
      </c>
      <c r="AA87" s="15">
        <v>3.4738337993621831</v>
      </c>
      <c r="AB87" s="15">
        <v>3</v>
      </c>
      <c r="AC87" s="15">
        <v>3.0693571428571431</v>
      </c>
      <c r="AD87" s="15">
        <v>3</v>
      </c>
      <c r="AE87" s="15">
        <v>2.7535043290043291</v>
      </c>
    </row>
    <row r="88" spans="2:31" x14ac:dyDescent="0.2">
      <c r="B88" s="15">
        <v>4</v>
      </c>
      <c r="C88" s="15">
        <v>3.8648470651920541</v>
      </c>
      <c r="D88" s="15">
        <v>4</v>
      </c>
      <c r="E88" s="15">
        <v>3.23</v>
      </c>
      <c r="F88" s="15">
        <v>4</v>
      </c>
      <c r="G88" s="15">
        <v>2.6999692848316932</v>
      </c>
      <c r="H88" s="15">
        <v>4</v>
      </c>
      <c r="I88" s="15">
        <v>3.340014</v>
      </c>
      <c r="J88" s="15">
        <v>4</v>
      </c>
      <c r="K88" s="15">
        <v>3.8648470651920541</v>
      </c>
      <c r="L88" s="15">
        <v>4</v>
      </c>
      <c r="M88" s="15">
        <v>2.5758620689655172</v>
      </c>
      <c r="N88" s="15">
        <v>4</v>
      </c>
      <c r="O88" s="15">
        <v>3.7253556687908889</v>
      </c>
      <c r="P88" s="15">
        <v>4</v>
      </c>
      <c r="Q88" s="15">
        <v>4.1303857123908818</v>
      </c>
      <c r="R88" s="15">
        <v>4</v>
      </c>
      <c r="S88" s="15">
        <v>4.0486851793695484</v>
      </c>
      <c r="T88" s="15">
        <v>4</v>
      </c>
      <c r="U88" s="15">
        <v>4</v>
      </c>
      <c r="V88" s="15">
        <v>4</v>
      </c>
      <c r="W88" s="15">
        <v>4.1180758476257324</v>
      </c>
      <c r="X88" s="15">
        <v>4</v>
      </c>
      <c r="Y88" s="15">
        <v>3.7778275047239789</v>
      </c>
      <c r="Z88" s="15">
        <v>4</v>
      </c>
      <c r="AA88" s="15">
        <v>4.0308032035827637</v>
      </c>
      <c r="AB88" s="15">
        <v>4</v>
      </c>
      <c r="AC88" s="15">
        <v>3.766166666666666</v>
      </c>
      <c r="AD88" s="15">
        <v>4</v>
      </c>
      <c r="AE88" s="15">
        <v>4.0561547619047618</v>
      </c>
    </row>
    <row r="89" spans="2:31" x14ac:dyDescent="0.2">
      <c r="B89" s="15">
        <v>1</v>
      </c>
      <c r="C89" s="15">
        <v>3.7673282812147209</v>
      </c>
      <c r="D89" s="15">
        <v>1</v>
      </c>
      <c r="E89" s="15">
        <v>3.61</v>
      </c>
      <c r="F89" s="15">
        <v>1</v>
      </c>
      <c r="G89" s="15">
        <v>3.6530504026421182</v>
      </c>
      <c r="H89" s="15">
        <v>1</v>
      </c>
      <c r="I89" s="15">
        <v>3.8540795000000001</v>
      </c>
      <c r="J89" s="15">
        <v>1</v>
      </c>
      <c r="K89" s="15">
        <v>3.7673282812147209</v>
      </c>
      <c r="L89" s="15">
        <v>1</v>
      </c>
      <c r="M89" s="15">
        <v>3.607255948611237</v>
      </c>
      <c r="N89" s="15">
        <v>1</v>
      </c>
      <c r="O89" s="15">
        <v>3.5292478313176678</v>
      </c>
      <c r="P89" s="15">
        <v>1</v>
      </c>
      <c r="Q89" s="15">
        <v>2.8620565257977209</v>
      </c>
      <c r="R89" s="15">
        <v>1</v>
      </c>
      <c r="S89" s="15">
        <v>2.623829672506647</v>
      </c>
      <c r="T89" s="15">
        <v>1</v>
      </c>
      <c r="U89" s="15">
        <v>1</v>
      </c>
      <c r="V89" s="15">
        <v>3</v>
      </c>
      <c r="W89" s="15">
        <v>1.6063210964202881</v>
      </c>
      <c r="X89" s="15">
        <v>1</v>
      </c>
      <c r="Y89" s="15">
        <v>2.7218568333490771</v>
      </c>
      <c r="Z89" s="15">
        <v>1</v>
      </c>
      <c r="AA89" s="15">
        <v>1.9440599679946899</v>
      </c>
      <c r="AB89" s="15">
        <v>1</v>
      </c>
      <c r="AC89" s="15">
        <v>1.6522380952380951</v>
      </c>
      <c r="AD89" s="15">
        <v>1</v>
      </c>
      <c r="AE89" s="15">
        <v>1.857166666666666</v>
      </c>
    </row>
    <row r="90" spans="2:31" x14ac:dyDescent="0.2">
      <c r="B90" s="15">
        <v>5</v>
      </c>
      <c r="C90" s="15">
        <v>3.7750351383282008</v>
      </c>
      <c r="D90" s="15">
        <v>5</v>
      </c>
      <c r="E90" s="15">
        <v>3.93</v>
      </c>
      <c r="F90" s="15">
        <v>5</v>
      </c>
      <c r="G90" s="15">
        <v>3.983763274931321</v>
      </c>
      <c r="H90" s="15">
        <v>5</v>
      </c>
      <c r="I90" s="15">
        <v>3.8222725</v>
      </c>
      <c r="J90" s="15">
        <v>5</v>
      </c>
      <c r="K90" s="15">
        <v>3.7750351383282008</v>
      </c>
      <c r="L90" s="15">
        <v>5</v>
      </c>
      <c r="M90" s="15">
        <v>3.681549220010758</v>
      </c>
      <c r="N90" s="15">
        <v>5</v>
      </c>
      <c r="O90" s="15">
        <v>3.2923917126178162</v>
      </c>
      <c r="P90" s="15">
        <v>5</v>
      </c>
      <c r="Q90" s="15">
        <v>4.2401156580138064</v>
      </c>
      <c r="R90" s="15">
        <v>5</v>
      </c>
      <c r="S90" s="15">
        <v>4.0221187692645248</v>
      </c>
      <c r="T90" s="15">
        <v>5</v>
      </c>
      <c r="U90" s="15">
        <v>5</v>
      </c>
      <c r="V90" s="15">
        <v>4</v>
      </c>
      <c r="W90" s="15">
        <v>4.2551894187927246</v>
      </c>
      <c r="X90" s="15">
        <v>5</v>
      </c>
      <c r="Y90" s="15">
        <v>3.701770915388606</v>
      </c>
      <c r="Z90" s="15">
        <v>5</v>
      </c>
      <c r="AA90" s="15">
        <v>4.0962977409362793</v>
      </c>
      <c r="AB90" s="15">
        <v>5</v>
      </c>
      <c r="AC90" s="15">
        <v>4.7939285714285713</v>
      </c>
      <c r="AD90" s="15">
        <v>5</v>
      </c>
      <c r="AE90" s="15">
        <v>4.6555</v>
      </c>
    </row>
    <row r="91" spans="2:31" x14ac:dyDescent="0.2">
      <c r="B91" s="15">
        <v>4</v>
      </c>
      <c r="C91" s="15">
        <v>3.6498180732722978</v>
      </c>
      <c r="D91" s="15">
        <v>4</v>
      </c>
      <c r="E91" s="15">
        <v>3.89</v>
      </c>
      <c r="F91" s="15">
        <v>4</v>
      </c>
      <c r="G91" s="15">
        <v>3.7286872783092369</v>
      </c>
      <c r="H91" s="15">
        <v>4</v>
      </c>
      <c r="I91" s="15">
        <v>3.7937829999999999</v>
      </c>
      <c r="J91" s="15">
        <v>4</v>
      </c>
      <c r="K91" s="15">
        <v>3.6498180732722978</v>
      </c>
      <c r="L91" s="15">
        <v>4</v>
      </c>
      <c r="M91" s="15">
        <v>3.466986351899668</v>
      </c>
      <c r="N91" s="15">
        <v>4</v>
      </c>
      <c r="O91" s="15">
        <v>3.6173877040869051</v>
      </c>
      <c r="P91" s="15">
        <v>4</v>
      </c>
      <c r="Q91" s="15">
        <v>3.5377788734674591</v>
      </c>
      <c r="R91" s="15">
        <v>4</v>
      </c>
      <c r="S91" s="15">
        <v>3.7798533587016792</v>
      </c>
      <c r="T91" s="15">
        <v>4</v>
      </c>
      <c r="U91" s="15">
        <v>4</v>
      </c>
      <c r="V91" s="15">
        <v>5</v>
      </c>
      <c r="W91" s="15">
        <v>4.0533585548400879</v>
      </c>
      <c r="X91" s="15">
        <v>4</v>
      </c>
      <c r="Y91" s="15">
        <v>3.5594112388117569</v>
      </c>
      <c r="Z91" s="15">
        <v>4</v>
      </c>
      <c r="AA91" s="15">
        <v>3.4905776977539058</v>
      </c>
      <c r="AB91" s="15">
        <v>4</v>
      </c>
      <c r="AC91" s="15">
        <v>3.996166666666666</v>
      </c>
      <c r="AD91" s="15">
        <v>4</v>
      </c>
      <c r="AE91" s="15">
        <v>4.1305000000000014</v>
      </c>
    </row>
    <row r="92" spans="2:31" x14ac:dyDescent="0.2">
      <c r="B92" s="15">
        <v>3</v>
      </c>
      <c r="C92" s="15">
        <v>3.80350454883851</v>
      </c>
      <c r="D92" s="15">
        <v>3</v>
      </c>
      <c r="E92" s="15">
        <v>4.29</v>
      </c>
      <c r="F92" s="15">
        <v>3</v>
      </c>
      <c r="G92" s="15">
        <v>4.0538032044783936</v>
      </c>
      <c r="H92" s="15">
        <v>3</v>
      </c>
      <c r="I92" s="15">
        <v>4.1988807000000001</v>
      </c>
      <c r="J92" s="15">
        <v>3</v>
      </c>
      <c r="K92" s="15">
        <v>3.80350454883851</v>
      </c>
      <c r="L92" s="15">
        <v>3</v>
      </c>
      <c r="M92" s="15">
        <v>3.9747958821441252</v>
      </c>
      <c r="N92" s="15">
        <v>3</v>
      </c>
      <c r="O92" s="15">
        <v>3.9547913778299839</v>
      </c>
      <c r="P92" s="15">
        <v>3</v>
      </c>
      <c r="Q92" s="15">
        <v>4.3768154609272472</v>
      </c>
      <c r="R92" s="15">
        <v>3</v>
      </c>
      <c r="S92" s="15">
        <v>4.3206121146022927</v>
      </c>
      <c r="T92" s="15">
        <v>3</v>
      </c>
      <c r="U92" s="15">
        <v>3</v>
      </c>
      <c r="V92" s="15">
        <v>2</v>
      </c>
      <c r="W92" s="15">
        <v>2.5386004447937012</v>
      </c>
      <c r="X92" s="15">
        <v>3</v>
      </c>
      <c r="Y92" s="15">
        <v>4.029504174284642</v>
      </c>
      <c r="Z92" s="15">
        <v>3</v>
      </c>
      <c r="AA92" s="15">
        <v>4.1004190444946289</v>
      </c>
      <c r="AB92" s="15">
        <v>3</v>
      </c>
      <c r="AC92" s="15">
        <v>3.610123015873016</v>
      </c>
      <c r="AD92" s="15">
        <v>3</v>
      </c>
      <c r="AE92" s="15">
        <v>3.3763452380952401</v>
      </c>
    </row>
    <row r="93" spans="2:31" x14ac:dyDescent="0.2">
      <c r="B93" s="15">
        <v>5</v>
      </c>
      <c r="C93" s="15">
        <v>3.8099896277348182</v>
      </c>
      <c r="D93" s="15">
        <v>5</v>
      </c>
      <c r="E93" s="15">
        <v>4.16</v>
      </c>
      <c r="F93" s="15">
        <v>5</v>
      </c>
      <c r="G93" s="15">
        <v>4.1891273974433618</v>
      </c>
      <c r="H93" s="15">
        <v>5</v>
      </c>
      <c r="I93" s="15">
        <v>4.0624399999999996</v>
      </c>
      <c r="J93" s="15">
        <v>5</v>
      </c>
      <c r="K93" s="15">
        <v>3.8099896277348191</v>
      </c>
      <c r="L93" s="15">
        <v>5</v>
      </c>
      <c r="M93" s="15">
        <v>4.0155208964264082</v>
      </c>
      <c r="N93" s="15">
        <v>5</v>
      </c>
      <c r="O93" s="15">
        <v>4.3245245068646962</v>
      </c>
      <c r="P93" s="15">
        <v>5</v>
      </c>
      <c r="Q93" s="15">
        <v>4.4538526241129679</v>
      </c>
      <c r="R93" s="15">
        <v>5</v>
      </c>
      <c r="S93" s="15">
        <v>4.7051455355974117</v>
      </c>
      <c r="T93" s="15">
        <v>5</v>
      </c>
      <c r="U93" s="15">
        <v>5</v>
      </c>
      <c r="V93" s="15">
        <v>3</v>
      </c>
      <c r="W93" s="15">
        <v>3.596523761749268</v>
      </c>
      <c r="X93" s="15">
        <v>5</v>
      </c>
      <c r="Y93" s="15">
        <v>4.3219901977140331</v>
      </c>
      <c r="Z93" s="15">
        <v>5</v>
      </c>
      <c r="AA93" s="15">
        <v>4.6407384872436523</v>
      </c>
      <c r="AB93" s="15">
        <v>5</v>
      </c>
      <c r="AC93" s="15">
        <v>4.4560634920634916</v>
      </c>
      <c r="AD93" s="15">
        <v>5</v>
      </c>
      <c r="AE93" s="15">
        <v>4.6194285714285721</v>
      </c>
    </row>
    <row r="94" spans="2:31" x14ac:dyDescent="0.2">
      <c r="B94" s="15">
        <v>3</v>
      </c>
      <c r="C94" s="15">
        <v>3.5739837032158852</v>
      </c>
      <c r="D94" s="15">
        <v>3</v>
      </c>
      <c r="E94" s="15">
        <v>2.9</v>
      </c>
      <c r="F94" s="15">
        <v>3</v>
      </c>
      <c r="G94" s="15">
        <v>3.2382691018207308</v>
      </c>
      <c r="H94" s="15">
        <v>3</v>
      </c>
      <c r="I94" s="15">
        <v>2.4931985999999999</v>
      </c>
      <c r="J94" s="15">
        <v>3</v>
      </c>
      <c r="K94" s="15">
        <v>3.5739837032158852</v>
      </c>
      <c r="L94" s="15">
        <v>3</v>
      </c>
      <c r="M94" s="15">
        <v>3.4249596557288871</v>
      </c>
      <c r="N94" s="15">
        <v>3</v>
      </c>
      <c r="O94" s="15">
        <v>4.0990011533676336</v>
      </c>
      <c r="P94" s="15">
        <v>3</v>
      </c>
      <c r="Q94" s="15">
        <v>3.4299456993106672</v>
      </c>
      <c r="R94" s="15">
        <v>3</v>
      </c>
      <c r="S94" s="15">
        <v>3.6668589939685292</v>
      </c>
      <c r="T94" s="15">
        <v>3</v>
      </c>
      <c r="U94" s="15">
        <v>3</v>
      </c>
      <c r="V94" s="15">
        <v>3</v>
      </c>
      <c r="W94" s="15">
        <v>3.359833717346191</v>
      </c>
      <c r="X94" s="15">
        <v>3</v>
      </c>
      <c r="Y94" s="15">
        <v>3.9741010410246158</v>
      </c>
      <c r="Z94" s="15">
        <v>3</v>
      </c>
      <c r="AA94" s="15">
        <v>3.9079716205596919</v>
      </c>
      <c r="AB94" s="15">
        <v>3</v>
      </c>
      <c r="AC94" s="15">
        <v>3.252436507936507</v>
      </c>
      <c r="AD94" s="15">
        <v>3</v>
      </c>
      <c r="AE94" s="15">
        <v>3.2329285714285709</v>
      </c>
    </row>
    <row r="95" spans="2:31" x14ac:dyDescent="0.2">
      <c r="B95" s="15">
        <v>2</v>
      </c>
      <c r="C95" s="15">
        <v>3.4653734399086362</v>
      </c>
      <c r="D95" s="15">
        <v>2</v>
      </c>
      <c r="E95" s="15">
        <v>2.5499999999999998</v>
      </c>
      <c r="F95" s="15">
        <v>2</v>
      </c>
      <c r="G95" s="15">
        <v>2.899215827949412</v>
      </c>
      <c r="H95" s="15">
        <v>2</v>
      </c>
      <c r="I95" s="15">
        <v>2.7432501</v>
      </c>
      <c r="J95" s="15">
        <v>2</v>
      </c>
      <c r="K95" s="15">
        <v>3.4653734399086349</v>
      </c>
      <c r="L95" s="15">
        <v>2</v>
      </c>
      <c r="M95" s="15">
        <v>3.1163594470046081</v>
      </c>
      <c r="N95" s="15">
        <v>2</v>
      </c>
      <c r="O95" s="15">
        <v>3.6434523765822422</v>
      </c>
      <c r="P95" s="15">
        <v>2</v>
      </c>
      <c r="Q95" s="15">
        <v>3.3898416122635409</v>
      </c>
      <c r="R95" s="15">
        <v>2</v>
      </c>
      <c r="S95" s="15">
        <v>3.3060256246519319</v>
      </c>
      <c r="T95" s="15">
        <v>2</v>
      </c>
      <c r="U95" s="15">
        <v>2</v>
      </c>
      <c r="V95" s="15">
        <v>3</v>
      </c>
      <c r="W95" s="15">
        <v>2.90398097038269</v>
      </c>
      <c r="X95" s="15">
        <v>2</v>
      </c>
      <c r="Y95" s="15">
        <v>3.4237999795745861</v>
      </c>
      <c r="Z95" s="15">
        <v>2</v>
      </c>
      <c r="AA95" s="15">
        <v>3.3911490440368648</v>
      </c>
      <c r="AB95" s="15">
        <v>2</v>
      </c>
      <c r="AC95" s="15">
        <v>2.5700238095238088</v>
      </c>
      <c r="AD95" s="15">
        <v>2</v>
      </c>
      <c r="AE95" s="15">
        <v>2.6076190476190471</v>
      </c>
    </row>
    <row r="96" spans="2:31" x14ac:dyDescent="0.2">
      <c r="B96" s="15">
        <v>3</v>
      </c>
      <c r="C96" s="15">
        <v>3.9713263339008051</v>
      </c>
      <c r="D96" s="15">
        <v>3</v>
      </c>
      <c r="E96" s="15">
        <v>3.75</v>
      </c>
      <c r="F96" s="15">
        <v>3</v>
      </c>
      <c r="G96" s="15">
        <v>3.9685903206376341</v>
      </c>
      <c r="H96" s="15">
        <v>3</v>
      </c>
      <c r="I96" s="15">
        <v>4.0073204000000002</v>
      </c>
      <c r="J96" s="15">
        <v>3</v>
      </c>
      <c r="K96" s="15">
        <v>3.9713263339008051</v>
      </c>
      <c r="L96" s="15">
        <v>3</v>
      </c>
      <c r="M96" s="15">
        <v>3.7552812071330588</v>
      </c>
      <c r="N96" s="15">
        <v>3</v>
      </c>
      <c r="O96" s="15">
        <v>3.861412427080519</v>
      </c>
      <c r="P96" s="15">
        <v>3</v>
      </c>
      <c r="Q96" s="15">
        <v>3.7794732387894392</v>
      </c>
      <c r="R96" s="15">
        <v>3</v>
      </c>
      <c r="S96" s="15">
        <v>3.5201205683147512</v>
      </c>
      <c r="T96" s="15">
        <v>3</v>
      </c>
      <c r="U96" s="15">
        <v>3</v>
      </c>
      <c r="V96" s="15">
        <v>5</v>
      </c>
      <c r="W96" s="15">
        <v>4.929840087890625</v>
      </c>
      <c r="X96" s="15">
        <v>3</v>
      </c>
      <c r="Y96" s="15">
        <v>3.8775605233216579</v>
      </c>
      <c r="Z96" s="15">
        <v>3</v>
      </c>
      <c r="AA96" s="15">
        <v>3.7653119564056401</v>
      </c>
      <c r="AB96" s="15">
        <v>3</v>
      </c>
      <c r="AC96" s="15">
        <v>3.431976190476191</v>
      </c>
      <c r="AD96" s="15">
        <v>3</v>
      </c>
      <c r="AE96" s="15">
        <v>3.3668095238095241</v>
      </c>
    </row>
    <row r="97" spans="2:31" x14ac:dyDescent="0.2">
      <c r="B97" s="15">
        <v>5</v>
      </c>
      <c r="C97" s="15">
        <v>3.793920410409144</v>
      </c>
      <c r="D97" s="15">
        <v>5</v>
      </c>
      <c r="E97" s="15">
        <v>3.97</v>
      </c>
      <c r="F97" s="15">
        <v>5</v>
      </c>
      <c r="G97" s="15">
        <v>4.1306753649008741</v>
      </c>
      <c r="H97" s="15">
        <v>5</v>
      </c>
      <c r="I97" s="15">
        <v>3.9652989999999999</v>
      </c>
      <c r="J97" s="15">
        <v>5</v>
      </c>
      <c r="K97" s="15">
        <v>3.793920410409144</v>
      </c>
      <c r="L97" s="15">
        <v>5</v>
      </c>
      <c r="M97" s="15">
        <v>4.0155208964264082</v>
      </c>
      <c r="N97" s="15">
        <v>5</v>
      </c>
      <c r="O97" s="15">
        <v>4.8514548886414417</v>
      </c>
      <c r="P97" s="15">
        <v>5</v>
      </c>
      <c r="Q97" s="15">
        <v>4.5895359002931473</v>
      </c>
      <c r="R97" s="15">
        <v>5</v>
      </c>
      <c r="S97" s="15">
        <v>5.0038212151272319</v>
      </c>
      <c r="T97" s="15">
        <v>5</v>
      </c>
      <c r="U97" s="15">
        <v>5</v>
      </c>
      <c r="V97" s="15">
        <v>5</v>
      </c>
      <c r="W97" s="15">
        <v>3.7816531658172612</v>
      </c>
      <c r="X97" s="15">
        <v>5</v>
      </c>
      <c r="Y97" s="15">
        <v>4.5939251015163878</v>
      </c>
      <c r="Z97" s="15">
        <v>5</v>
      </c>
      <c r="AA97" s="15">
        <v>4.7215986251831046</v>
      </c>
      <c r="AB97" s="15">
        <v>5</v>
      </c>
      <c r="AC97" s="15">
        <v>4.7793095238095242</v>
      </c>
      <c r="AD97" s="15">
        <v>5</v>
      </c>
      <c r="AE97" s="15">
        <v>4.7618333333333336</v>
      </c>
    </row>
    <row r="98" spans="2:31" x14ac:dyDescent="0.2">
      <c r="B98" s="15">
        <v>4</v>
      </c>
      <c r="C98" s="15">
        <v>3.6894487450935212</v>
      </c>
      <c r="D98" s="15">
        <v>4</v>
      </c>
      <c r="E98" s="15">
        <v>3.35</v>
      </c>
      <c r="F98" s="15">
        <v>4</v>
      </c>
      <c r="G98" s="15">
        <v>3.3866320444022309</v>
      </c>
      <c r="H98" s="15">
        <v>4</v>
      </c>
      <c r="I98" s="15">
        <v>3.3668447000000001</v>
      </c>
      <c r="J98" s="15">
        <v>4</v>
      </c>
      <c r="K98" s="15">
        <v>3.6894487450935212</v>
      </c>
      <c r="L98" s="15">
        <v>4</v>
      </c>
      <c r="M98" s="15">
        <v>3.4822274881516591</v>
      </c>
      <c r="N98" s="15">
        <v>4</v>
      </c>
      <c r="O98" s="15">
        <v>3.6816458077570209</v>
      </c>
      <c r="P98" s="15">
        <v>4</v>
      </c>
      <c r="Q98" s="15">
        <v>3.6346820301744511</v>
      </c>
      <c r="R98" s="15">
        <v>4</v>
      </c>
      <c r="S98" s="15">
        <v>3.7931866089058892</v>
      </c>
      <c r="T98" s="15">
        <v>4</v>
      </c>
      <c r="U98" s="15">
        <v>4</v>
      </c>
      <c r="V98" s="15">
        <v>1</v>
      </c>
      <c r="W98" s="15">
        <v>3.617223978042603</v>
      </c>
      <c r="X98" s="15">
        <v>4</v>
      </c>
      <c r="Y98" s="15">
        <v>3.5948056155590562</v>
      </c>
      <c r="Z98" s="15">
        <v>4</v>
      </c>
      <c r="AA98" s="15">
        <v>3.8976776599884029</v>
      </c>
      <c r="AB98" s="15">
        <v>4</v>
      </c>
      <c r="AC98" s="15">
        <v>3.9120833333333329</v>
      </c>
      <c r="AD98" s="15">
        <v>4</v>
      </c>
      <c r="AE98" s="15">
        <v>3.6641190476190468</v>
      </c>
    </row>
    <row r="99" spans="2:31" x14ac:dyDescent="0.2">
      <c r="B99" s="15">
        <v>4</v>
      </c>
      <c r="C99" s="15">
        <v>3.2822997976110102</v>
      </c>
      <c r="D99" s="15">
        <v>4</v>
      </c>
      <c r="E99" s="15">
        <v>3.16</v>
      </c>
      <c r="F99" s="15">
        <v>4</v>
      </c>
      <c r="G99" s="15">
        <v>3.2760660835252171</v>
      </c>
      <c r="H99" s="15">
        <v>4</v>
      </c>
      <c r="I99" s="15">
        <v>3.2420081999999999</v>
      </c>
      <c r="J99" s="15">
        <v>4</v>
      </c>
      <c r="K99" s="15">
        <v>3.2822997976110102</v>
      </c>
      <c r="L99" s="15">
        <v>4</v>
      </c>
      <c r="M99" s="15">
        <v>3.2113207547169811</v>
      </c>
      <c r="N99" s="15">
        <v>4</v>
      </c>
      <c r="O99" s="15">
        <v>3.8795157319693749</v>
      </c>
      <c r="P99" s="15">
        <v>4</v>
      </c>
      <c r="Q99" s="15">
        <v>3.5764449639878269</v>
      </c>
      <c r="R99" s="15">
        <v>4</v>
      </c>
      <c r="S99" s="15">
        <v>3.8535969905000682</v>
      </c>
      <c r="T99" s="15">
        <v>4</v>
      </c>
      <c r="U99" s="15">
        <v>4</v>
      </c>
      <c r="V99" s="15">
        <v>5</v>
      </c>
      <c r="W99" s="15">
        <v>3.3112862110137939</v>
      </c>
      <c r="X99" s="15">
        <v>4</v>
      </c>
      <c r="Y99" s="15">
        <v>3.996104002316446</v>
      </c>
      <c r="Z99" s="15">
        <v>4</v>
      </c>
      <c r="AA99" s="15">
        <v>3.5492649078369141</v>
      </c>
      <c r="AB99" s="15">
        <v>4</v>
      </c>
      <c r="AC99" s="15">
        <v>3.7410873015873021</v>
      </c>
      <c r="AD99" s="15">
        <v>4</v>
      </c>
      <c r="AE99" s="15">
        <v>3.632654761904762</v>
      </c>
    </row>
    <row r="100" spans="2:31" x14ac:dyDescent="0.2">
      <c r="B100" s="15">
        <v>3</v>
      </c>
      <c r="C100" s="15">
        <v>3.6398925094722578</v>
      </c>
      <c r="D100" s="15">
        <v>3</v>
      </c>
      <c r="E100" s="15">
        <v>3.87</v>
      </c>
      <c r="F100" s="15">
        <v>3</v>
      </c>
      <c r="G100" s="15">
        <v>3.2952222987809838</v>
      </c>
      <c r="H100" s="15">
        <v>3</v>
      </c>
      <c r="I100" s="15">
        <v>3.7374475</v>
      </c>
      <c r="J100" s="15">
        <v>3</v>
      </c>
      <c r="K100" s="15">
        <v>3.6398925094722578</v>
      </c>
      <c r="L100" s="15">
        <v>3</v>
      </c>
      <c r="M100" s="15">
        <v>3.859941844364442</v>
      </c>
      <c r="N100" s="15">
        <v>3</v>
      </c>
      <c r="O100" s="15">
        <v>3.8985137639075389</v>
      </c>
      <c r="P100" s="15">
        <v>3</v>
      </c>
      <c r="Q100" s="15">
        <v>2.8633970342666148</v>
      </c>
      <c r="R100" s="15">
        <v>3</v>
      </c>
      <c r="S100" s="15">
        <v>2.8824781091278182</v>
      </c>
      <c r="T100" s="15">
        <v>3</v>
      </c>
      <c r="U100" s="15">
        <v>3</v>
      </c>
      <c r="V100" s="15">
        <v>3</v>
      </c>
      <c r="W100" s="15">
        <v>4.1173825263977051</v>
      </c>
      <c r="X100" s="15">
        <v>3</v>
      </c>
      <c r="Y100" s="15">
        <v>3.722775395275963</v>
      </c>
      <c r="Z100" s="15">
        <v>3</v>
      </c>
      <c r="AA100" s="15">
        <v>3.601127147674561</v>
      </c>
      <c r="AB100" s="15">
        <v>3</v>
      </c>
      <c r="AC100" s="15">
        <v>3.1305595238095241</v>
      </c>
      <c r="AD100" s="15">
        <v>3</v>
      </c>
      <c r="AE100" s="15">
        <v>3.068470779220779</v>
      </c>
    </row>
    <row r="101" spans="2:31" x14ac:dyDescent="0.2">
      <c r="B101" s="15">
        <v>3</v>
      </c>
      <c r="C101" s="15">
        <v>4.1153171716155867</v>
      </c>
      <c r="D101" s="15">
        <v>3</v>
      </c>
      <c r="E101" s="15">
        <v>3.91</v>
      </c>
      <c r="F101" s="15">
        <v>3</v>
      </c>
      <c r="G101" s="15">
        <v>3.896758725477937</v>
      </c>
      <c r="H101" s="15">
        <v>3</v>
      </c>
      <c r="I101" s="15">
        <v>3.7502947</v>
      </c>
      <c r="J101" s="15">
        <v>3</v>
      </c>
      <c r="K101" s="15">
        <v>4.1153171716155867</v>
      </c>
      <c r="L101" s="15">
        <v>3</v>
      </c>
      <c r="M101" s="15">
        <v>4.201342281879195</v>
      </c>
      <c r="N101" s="15">
        <v>3</v>
      </c>
      <c r="O101" s="15">
        <v>2.290641007069369</v>
      </c>
      <c r="P101" s="15">
        <v>3</v>
      </c>
      <c r="Q101" s="15">
        <v>3.5387873649565882</v>
      </c>
      <c r="R101" s="15">
        <v>3</v>
      </c>
      <c r="S101" s="15">
        <v>2.739832080451543</v>
      </c>
      <c r="T101" s="15">
        <v>3</v>
      </c>
      <c r="U101" s="15">
        <v>3</v>
      </c>
      <c r="V101" s="15">
        <v>1</v>
      </c>
      <c r="W101" s="15">
        <v>2.9862256050109859</v>
      </c>
      <c r="X101" s="15">
        <v>3</v>
      </c>
      <c r="Y101" s="15">
        <v>2.7835916207869711</v>
      </c>
      <c r="Z101" s="15">
        <v>3</v>
      </c>
      <c r="AA101" s="15">
        <v>2.568676233291626</v>
      </c>
      <c r="AB101" s="15">
        <v>3</v>
      </c>
      <c r="AC101" s="15">
        <v>3.0495952380952378</v>
      </c>
      <c r="AD101" s="15">
        <v>3</v>
      </c>
      <c r="AE101" s="15">
        <v>3.098238095238095</v>
      </c>
    </row>
    <row r="102" spans="2:31" x14ac:dyDescent="0.2">
      <c r="B102" s="15">
        <v>4</v>
      </c>
      <c r="C102" s="15">
        <v>3.7904259430711891</v>
      </c>
      <c r="D102" s="15">
        <v>4</v>
      </c>
      <c r="E102" s="15">
        <v>3.47</v>
      </c>
      <c r="F102" s="15">
        <v>4</v>
      </c>
      <c r="G102" s="15">
        <v>4.0972221151290187</v>
      </c>
      <c r="H102" s="15">
        <v>4</v>
      </c>
      <c r="I102" s="15">
        <v>3.8439667000000002</v>
      </c>
      <c r="J102" s="15">
        <v>4</v>
      </c>
      <c r="K102" s="15">
        <v>3.7904259430711891</v>
      </c>
      <c r="L102" s="15">
        <v>4</v>
      </c>
      <c r="M102" s="15">
        <v>4.1691297208538591</v>
      </c>
      <c r="N102" s="15">
        <v>4</v>
      </c>
      <c r="O102" s="15">
        <v>2.9906885968425949</v>
      </c>
      <c r="P102" s="15">
        <v>4</v>
      </c>
      <c r="Q102" s="15">
        <v>3.6854450514151211</v>
      </c>
      <c r="R102" s="15">
        <v>4</v>
      </c>
      <c r="S102" s="15">
        <v>3.7285656860693468</v>
      </c>
      <c r="T102" s="15">
        <v>4</v>
      </c>
      <c r="U102" s="15">
        <v>4</v>
      </c>
      <c r="V102" s="15">
        <v>3</v>
      </c>
      <c r="W102" s="15">
        <v>3.496376514434814</v>
      </c>
      <c r="X102" s="15">
        <v>4</v>
      </c>
      <c r="Y102" s="15">
        <v>3.3473753814682521</v>
      </c>
      <c r="Z102" s="15">
        <v>4</v>
      </c>
      <c r="AA102" s="15">
        <v>3.1830184459686279</v>
      </c>
      <c r="AB102" s="15">
        <v>4</v>
      </c>
      <c r="AC102" s="15">
        <v>3.9441666666666668</v>
      </c>
      <c r="AD102" s="15">
        <v>4</v>
      </c>
      <c r="AE102" s="15">
        <v>4.0264047619047618</v>
      </c>
    </row>
    <row r="103" spans="2:31" x14ac:dyDescent="0.2">
      <c r="B103" s="15">
        <v>2</v>
      </c>
      <c r="C103" s="15">
        <v>2.8784829661911941</v>
      </c>
      <c r="D103" s="15">
        <v>2</v>
      </c>
      <c r="E103" s="15">
        <v>1.74</v>
      </c>
      <c r="F103" s="15">
        <v>2</v>
      </c>
      <c r="G103" s="15">
        <v>1.781993123310144</v>
      </c>
      <c r="H103" s="15">
        <v>2</v>
      </c>
      <c r="I103" s="15">
        <v>2.002424</v>
      </c>
      <c r="J103" s="15">
        <v>2</v>
      </c>
      <c r="K103" s="15">
        <v>2.8784829661911941</v>
      </c>
      <c r="L103" s="15">
        <v>2</v>
      </c>
      <c r="M103" s="15">
        <v>1.6890756302521011</v>
      </c>
      <c r="N103" s="15">
        <v>2</v>
      </c>
      <c r="O103" s="15">
        <v>2.1918286186682239</v>
      </c>
      <c r="P103" s="15">
        <v>2</v>
      </c>
      <c r="Q103" s="15">
        <v>1.1293634689943861</v>
      </c>
      <c r="R103" s="15">
        <v>2</v>
      </c>
      <c r="S103" s="15">
        <v>2.171580830559642</v>
      </c>
      <c r="T103" s="15">
        <v>2</v>
      </c>
      <c r="U103" s="15">
        <v>2</v>
      </c>
      <c r="V103" s="15">
        <v>4</v>
      </c>
      <c r="W103" s="15">
        <v>3.684850931167603</v>
      </c>
      <c r="X103" s="15">
        <v>2</v>
      </c>
      <c r="Y103" s="15">
        <v>2.4043416176083112</v>
      </c>
      <c r="Z103" s="15">
        <v>2</v>
      </c>
      <c r="AA103" s="15">
        <v>1.9336977005004881</v>
      </c>
      <c r="AB103" s="15">
        <v>2</v>
      </c>
      <c r="AC103" s="15">
        <v>1.90368722943723</v>
      </c>
      <c r="AD103" s="15">
        <v>2</v>
      </c>
      <c r="AE103" s="15">
        <v>2.042448412698413</v>
      </c>
    </row>
    <row r="104" spans="2:31" x14ac:dyDescent="0.2">
      <c r="B104" s="15">
        <v>5</v>
      </c>
      <c r="C104" s="15">
        <v>3.5942487145100421</v>
      </c>
      <c r="D104" s="15">
        <v>5</v>
      </c>
      <c r="E104" s="15">
        <v>3.48</v>
      </c>
      <c r="F104" s="15">
        <v>5</v>
      </c>
      <c r="G104" s="15">
        <v>3.453333325761851</v>
      </c>
      <c r="H104" s="15">
        <v>5</v>
      </c>
      <c r="I104" s="15">
        <v>3.3439844000000001</v>
      </c>
      <c r="J104" s="15">
        <v>5</v>
      </c>
      <c r="K104" s="15">
        <v>3.5942487145100421</v>
      </c>
      <c r="L104" s="15">
        <v>5</v>
      </c>
      <c r="M104" s="15">
        <v>3.4800233304170312</v>
      </c>
      <c r="N104" s="15">
        <v>5</v>
      </c>
      <c r="O104" s="15">
        <v>4.2800696973944001</v>
      </c>
      <c r="P104" s="15">
        <v>5</v>
      </c>
      <c r="Q104" s="15">
        <v>4.9016745961708619</v>
      </c>
      <c r="R104" s="15">
        <v>5</v>
      </c>
      <c r="S104" s="15">
        <v>5.2162925098413471</v>
      </c>
      <c r="T104" s="15">
        <v>5</v>
      </c>
      <c r="U104" s="15">
        <v>5</v>
      </c>
      <c r="V104" s="15">
        <v>4</v>
      </c>
      <c r="W104" s="15">
        <v>2.8315789699554439</v>
      </c>
      <c r="X104" s="15">
        <v>5</v>
      </c>
      <c r="Y104" s="15">
        <v>4.2571514869509901</v>
      </c>
      <c r="Z104" s="15">
        <v>5</v>
      </c>
      <c r="AA104" s="15">
        <v>4.0789618492126456</v>
      </c>
      <c r="AB104" s="15">
        <v>5</v>
      </c>
      <c r="AC104" s="15">
        <v>4.7886111111111118</v>
      </c>
      <c r="AD104" s="15">
        <v>5</v>
      </c>
      <c r="AE104" s="15">
        <v>4.6917777777777774</v>
      </c>
    </row>
    <row r="105" spans="2:31" x14ac:dyDescent="0.2">
      <c r="B105" s="15">
        <v>3</v>
      </c>
      <c r="C105" s="15">
        <v>3.9032680439212628</v>
      </c>
      <c r="D105" s="15">
        <v>3</v>
      </c>
      <c r="E105" s="15">
        <v>4.22</v>
      </c>
      <c r="F105" s="15">
        <v>3</v>
      </c>
      <c r="G105" s="15">
        <v>4.4680625919592201</v>
      </c>
      <c r="H105" s="15">
        <v>3</v>
      </c>
      <c r="I105" s="15">
        <v>4.3708315000000004</v>
      </c>
      <c r="J105" s="15">
        <v>3</v>
      </c>
      <c r="K105" s="15">
        <v>3.9032680439212628</v>
      </c>
      <c r="L105" s="15">
        <v>3</v>
      </c>
      <c r="M105" s="15">
        <v>4.6301633045148893</v>
      </c>
      <c r="N105" s="15">
        <v>3</v>
      </c>
      <c r="O105" s="15">
        <v>3.5050636964435391</v>
      </c>
      <c r="P105" s="15">
        <v>3</v>
      </c>
      <c r="Q105" s="15">
        <v>3.0015101999051139</v>
      </c>
      <c r="R105" s="15">
        <v>3</v>
      </c>
      <c r="S105" s="15">
        <v>2.933483010528577</v>
      </c>
      <c r="T105" s="15">
        <v>3</v>
      </c>
      <c r="U105" s="15">
        <v>3</v>
      </c>
      <c r="V105" s="15">
        <v>3</v>
      </c>
      <c r="W105" s="15">
        <v>3.319828987121582</v>
      </c>
      <c r="X105" s="15">
        <v>3</v>
      </c>
      <c r="Y105" s="15">
        <v>3.539996742197296</v>
      </c>
      <c r="Z105" s="15">
        <v>3</v>
      </c>
      <c r="AA105" s="15">
        <v>3.7051889896392818</v>
      </c>
      <c r="AB105" s="15">
        <v>3</v>
      </c>
      <c r="AC105" s="15">
        <v>3.2585119047619049</v>
      </c>
      <c r="AD105" s="15">
        <v>3</v>
      </c>
      <c r="AE105" s="15">
        <v>3.057396825396824</v>
      </c>
    </row>
    <row r="106" spans="2:31" x14ac:dyDescent="0.2">
      <c r="B106" s="15">
        <v>5</v>
      </c>
      <c r="C106" s="15">
        <v>3.8872092532644569</v>
      </c>
      <c r="D106" s="15">
        <v>5</v>
      </c>
      <c r="E106" s="15">
        <v>3.66</v>
      </c>
      <c r="F106" s="15">
        <v>5</v>
      </c>
      <c r="G106" s="15">
        <v>3.6324447495154022</v>
      </c>
      <c r="H106" s="15">
        <v>5</v>
      </c>
      <c r="I106" s="15">
        <v>3.6456947</v>
      </c>
      <c r="J106" s="15">
        <v>5</v>
      </c>
      <c r="K106" s="15">
        <v>3.8872092532644569</v>
      </c>
      <c r="L106" s="15">
        <v>5</v>
      </c>
      <c r="M106" s="15">
        <v>3.6448673277941568</v>
      </c>
      <c r="N106" s="15">
        <v>5</v>
      </c>
      <c r="O106" s="15">
        <v>4.1763636879272186</v>
      </c>
      <c r="P106" s="15">
        <v>5</v>
      </c>
      <c r="Q106" s="15">
        <v>4.1823117171365114</v>
      </c>
      <c r="R106" s="15">
        <v>5</v>
      </c>
      <c r="S106" s="15">
        <v>4.2445540502862498</v>
      </c>
      <c r="T106" s="15">
        <v>5</v>
      </c>
      <c r="U106" s="15">
        <v>5</v>
      </c>
      <c r="V106" s="15">
        <v>3</v>
      </c>
      <c r="W106" s="15">
        <v>3.9780106544494629</v>
      </c>
      <c r="X106" s="15">
        <v>5</v>
      </c>
      <c r="Y106" s="15">
        <v>4.0859601876104552</v>
      </c>
      <c r="Z106" s="15">
        <v>5</v>
      </c>
      <c r="AA106" s="15">
        <v>3.9568722248077388</v>
      </c>
      <c r="AB106" s="15">
        <v>5</v>
      </c>
      <c r="AC106" s="15">
        <v>4.5142499999999997</v>
      </c>
      <c r="AD106" s="15">
        <v>5</v>
      </c>
      <c r="AE106" s="15">
        <v>4.6981666666666673</v>
      </c>
    </row>
    <row r="107" spans="2:31" x14ac:dyDescent="0.2">
      <c r="B107" s="15">
        <v>4</v>
      </c>
      <c r="C107" s="15">
        <v>3.7976007733517991</v>
      </c>
      <c r="D107" s="15">
        <v>4</v>
      </c>
      <c r="E107" s="15">
        <v>4.4800000000000004</v>
      </c>
      <c r="F107" s="15">
        <v>4</v>
      </c>
      <c r="G107" s="15">
        <v>4.2925030662682397</v>
      </c>
      <c r="H107" s="15">
        <v>4</v>
      </c>
      <c r="I107" s="15">
        <v>4.3456970000000004</v>
      </c>
      <c r="J107" s="15">
        <v>4</v>
      </c>
      <c r="K107" s="15">
        <v>3.7976007733517991</v>
      </c>
      <c r="L107" s="15">
        <v>4</v>
      </c>
      <c r="M107" s="15">
        <v>4.2636709069882706</v>
      </c>
      <c r="N107" s="15">
        <v>4</v>
      </c>
      <c r="O107" s="15">
        <v>4.1409009529364544</v>
      </c>
      <c r="P107" s="15">
        <v>4</v>
      </c>
      <c r="Q107" s="15">
        <v>3.893589857193152</v>
      </c>
      <c r="R107" s="15">
        <v>4</v>
      </c>
      <c r="S107" s="15">
        <v>4.0942693155636434</v>
      </c>
      <c r="T107" s="15">
        <v>4</v>
      </c>
      <c r="U107" s="15">
        <v>4</v>
      </c>
      <c r="V107" s="15">
        <v>4</v>
      </c>
      <c r="W107" s="15">
        <v>4.5506653785705566</v>
      </c>
      <c r="X107" s="15">
        <v>4</v>
      </c>
      <c r="Y107" s="15">
        <v>4.304173111246163</v>
      </c>
      <c r="Z107" s="15">
        <v>4</v>
      </c>
      <c r="AA107" s="15">
        <v>4.5615568161010742</v>
      </c>
      <c r="AB107" s="15">
        <v>4</v>
      </c>
      <c r="AC107" s="15">
        <v>4.1196666666666664</v>
      </c>
      <c r="AD107" s="15">
        <v>4</v>
      </c>
      <c r="AE107" s="15">
        <v>3.9538333333333329</v>
      </c>
    </row>
    <row r="108" spans="2:31" x14ac:dyDescent="0.2">
      <c r="B108" s="15">
        <v>5</v>
      </c>
      <c r="C108" s="15">
        <v>3.8884965026617571</v>
      </c>
      <c r="D108" s="15">
        <v>5</v>
      </c>
      <c r="E108" s="15">
        <v>4.1100000000000003</v>
      </c>
      <c r="F108" s="15">
        <v>5</v>
      </c>
      <c r="G108" s="15">
        <v>3.9280161632507968</v>
      </c>
      <c r="H108" s="15">
        <v>5</v>
      </c>
      <c r="I108" s="15">
        <v>4.1390219999999998</v>
      </c>
      <c r="J108" s="15">
        <v>5</v>
      </c>
      <c r="K108" s="15">
        <v>3.8884965026617571</v>
      </c>
      <c r="L108" s="15">
        <v>5</v>
      </c>
      <c r="M108" s="15">
        <v>3.8227938549481961</v>
      </c>
      <c r="N108" s="15">
        <v>5</v>
      </c>
      <c r="O108" s="15">
        <v>3.5727895667276188</v>
      </c>
      <c r="P108" s="15">
        <v>5</v>
      </c>
      <c r="Q108" s="15">
        <v>3.1378452052971562</v>
      </c>
      <c r="R108" s="15">
        <v>5</v>
      </c>
      <c r="S108" s="15">
        <v>3.4585819099474988</v>
      </c>
      <c r="T108" s="15">
        <v>5</v>
      </c>
      <c r="U108" s="15">
        <v>5</v>
      </c>
      <c r="V108" s="15">
        <v>5</v>
      </c>
      <c r="W108" s="15">
        <v>4.8550004959106454</v>
      </c>
      <c r="X108" s="15">
        <v>5</v>
      </c>
      <c r="Y108" s="15">
        <v>3.5884206597704069</v>
      </c>
      <c r="Z108" s="15">
        <v>5</v>
      </c>
      <c r="AA108" s="15">
        <v>3.475374698638916</v>
      </c>
      <c r="AB108" s="15">
        <v>5</v>
      </c>
      <c r="AC108" s="15">
        <v>4.5757500000000002</v>
      </c>
      <c r="AD108" s="15">
        <v>5</v>
      </c>
      <c r="AE108" s="15">
        <v>4.5467380952380951</v>
      </c>
    </row>
    <row r="109" spans="2:31" x14ac:dyDescent="0.2">
      <c r="B109" s="15">
        <v>5</v>
      </c>
      <c r="C109" s="15">
        <v>3.8921726266738972</v>
      </c>
      <c r="D109" s="15">
        <v>5</v>
      </c>
      <c r="E109" s="15">
        <v>4.1399999999999997</v>
      </c>
      <c r="F109" s="15">
        <v>5</v>
      </c>
      <c r="G109" s="15">
        <v>4.0957453249929836</v>
      </c>
      <c r="H109" s="15">
        <v>5</v>
      </c>
      <c r="I109" s="15">
        <v>4.1137670000000002</v>
      </c>
      <c r="J109" s="15">
        <v>5</v>
      </c>
      <c r="K109" s="15">
        <v>3.8921726266738972</v>
      </c>
      <c r="L109" s="15">
        <v>5</v>
      </c>
      <c r="M109" s="15">
        <v>4.1486227721313886</v>
      </c>
      <c r="N109" s="15">
        <v>5</v>
      </c>
      <c r="O109" s="15">
        <v>3.801458012448669</v>
      </c>
      <c r="P109" s="15">
        <v>5</v>
      </c>
      <c r="Q109" s="15">
        <v>4.1210399493308021</v>
      </c>
      <c r="R109" s="15">
        <v>5</v>
      </c>
      <c r="S109" s="15">
        <v>4.1244803765228344</v>
      </c>
      <c r="T109" s="15">
        <v>5</v>
      </c>
      <c r="U109" s="15">
        <v>5</v>
      </c>
      <c r="V109" s="15">
        <v>3</v>
      </c>
      <c r="W109" s="15">
        <v>1.700369596481323</v>
      </c>
      <c r="X109" s="15">
        <v>5</v>
      </c>
      <c r="Y109" s="15">
        <v>3.9909288806022771</v>
      </c>
      <c r="Z109" s="15">
        <v>5</v>
      </c>
      <c r="AA109" s="15">
        <v>3.7488279342651372</v>
      </c>
      <c r="AB109" s="15">
        <v>5</v>
      </c>
      <c r="AC109" s="15">
        <v>4.7128333333333332</v>
      </c>
      <c r="AD109" s="15">
        <v>5</v>
      </c>
      <c r="AE109" s="15">
        <v>4.7117380952380952</v>
      </c>
    </row>
    <row r="110" spans="2:31" x14ac:dyDescent="0.2">
      <c r="B110" s="15">
        <v>4</v>
      </c>
      <c r="C110" s="15">
        <v>3.983523970976921</v>
      </c>
      <c r="D110" s="15">
        <v>4</v>
      </c>
      <c r="E110" s="15">
        <v>4.71</v>
      </c>
      <c r="F110" s="15">
        <v>4</v>
      </c>
      <c r="G110" s="15">
        <v>4.5637215485486724</v>
      </c>
      <c r="H110" s="15">
        <v>4</v>
      </c>
      <c r="I110" s="15">
        <v>4.9179835000000001</v>
      </c>
      <c r="J110" s="15">
        <v>4</v>
      </c>
      <c r="K110" s="15">
        <v>3.983523970976921</v>
      </c>
      <c r="L110" s="15">
        <v>4</v>
      </c>
      <c r="M110" s="15">
        <v>4.5788177339901477</v>
      </c>
      <c r="N110" s="15">
        <v>4</v>
      </c>
      <c r="O110" s="15">
        <v>4.219324993132016</v>
      </c>
      <c r="P110" s="15">
        <v>4</v>
      </c>
      <c r="Q110" s="15">
        <v>4.964707728793714</v>
      </c>
      <c r="R110" s="15">
        <v>4</v>
      </c>
      <c r="S110" s="15">
        <v>5.061580196834444</v>
      </c>
      <c r="T110" s="15">
        <v>4</v>
      </c>
      <c r="U110" s="15">
        <v>4</v>
      </c>
      <c r="V110" s="15">
        <v>5</v>
      </c>
      <c r="W110" s="15">
        <v>3.6647524833679199</v>
      </c>
      <c r="X110" s="15">
        <v>4</v>
      </c>
      <c r="Y110" s="15">
        <v>4.1519611016866413</v>
      </c>
      <c r="Z110" s="15">
        <v>4</v>
      </c>
      <c r="AA110" s="15">
        <v>4.1926407814025879</v>
      </c>
      <c r="AB110" s="15">
        <v>4</v>
      </c>
      <c r="AC110" s="15">
        <v>4.1929761904761902</v>
      </c>
      <c r="AD110" s="15">
        <v>4</v>
      </c>
      <c r="AE110" s="15">
        <v>4.2019047619047614</v>
      </c>
    </row>
    <row r="111" spans="2:31" x14ac:dyDescent="0.2">
      <c r="B111" s="15">
        <v>1</v>
      </c>
      <c r="C111" s="15">
        <v>3.3870238017859311</v>
      </c>
      <c r="D111" s="15">
        <v>1</v>
      </c>
      <c r="E111" s="15">
        <v>1.97</v>
      </c>
      <c r="F111" s="15">
        <v>1</v>
      </c>
      <c r="G111" s="15">
        <v>1.8898649256487301</v>
      </c>
      <c r="H111" s="15">
        <v>1</v>
      </c>
      <c r="I111" s="15">
        <v>2.0254672</v>
      </c>
      <c r="J111" s="15">
        <v>1</v>
      </c>
      <c r="K111" s="15">
        <v>3.3870238017859311</v>
      </c>
      <c r="L111" s="15">
        <v>1</v>
      </c>
      <c r="M111" s="15">
        <v>1.839285714285714</v>
      </c>
      <c r="N111" s="15">
        <v>1</v>
      </c>
      <c r="O111" s="15">
        <v>2.5825206063752519</v>
      </c>
      <c r="P111" s="15">
        <v>1</v>
      </c>
      <c r="Q111" s="15">
        <v>2.0898218287087231</v>
      </c>
      <c r="R111" s="15">
        <v>1</v>
      </c>
      <c r="S111" s="15">
        <v>1.9794694184653749</v>
      </c>
      <c r="T111" s="15">
        <v>1</v>
      </c>
      <c r="U111" s="15">
        <v>1</v>
      </c>
      <c r="V111" s="15">
        <v>5</v>
      </c>
      <c r="W111" s="15">
        <v>4.6368217468261719</v>
      </c>
      <c r="X111" s="15">
        <v>1</v>
      </c>
      <c r="Y111" s="15">
        <v>1.319165795827981</v>
      </c>
      <c r="Z111" s="15">
        <v>1</v>
      </c>
      <c r="AA111" s="15">
        <v>1.4230295419692991</v>
      </c>
      <c r="AB111" s="15">
        <v>1</v>
      </c>
      <c r="AC111" s="15">
        <v>1.312761904761905</v>
      </c>
      <c r="AD111" s="15">
        <v>1</v>
      </c>
      <c r="AE111" s="15">
        <v>1.206833333333333</v>
      </c>
    </row>
    <row r="112" spans="2:31" x14ac:dyDescent="0.2">
      <c r="B112" s="15">
        <v>3</v>
      </c>
      <c r="C112" s="15">
        <v>3.5237328440283879</v>
      </c>
      <c r="D112" s="15">
        <v>3</v>
      </c>
      <c r="E112" s="15">
        <v>3.28</v>
      </c>
      <c r="F112" s="15">
        <v>3</v>
      </c>
      <c r="G112" s="15">
        <v>2.5112227321820648</v>
      </c>
      <c r="H112" s="15">
        <v>3</v>
      </c>
      <c r="I112" s="15">
        <v>2.9674939999999999</v>
      </c>
      <c r="J112" s="15">
        <v>3</v>
      </c>
      <c r="K112" s="15">
        <v>3.5237328440283879</v>
      </c>
      <c r="L112" s="15">
        <v>3</v>
      </c>
      <c r="M112" s="15">
        <v>2.303370786516854</v>
      </c>
      <c r="N112" s="15">
        <v>3</v>
      </c>
      <c r="O112" s="15">
        <v>3.6503095480269558</v>
      </c>
      <c r="P112" s="15">
        <v>3</v>
      </c>
      <c r="Q112" s="15">
        <v>2.7965310964164591</v>
      </c>
      <c r="R112" s="15">
        <v>3</v>
      </c>
      <c r="S112" s="15">
        <v>2.4763504292615601</v>
      </c>
      <c r="T112" s="15">
        <v>3</v>
      </c>
      <c r="U112" s="15">
        <v>3</v>
      </c>
      <c r="V112" s="15">
        <v>4</v>
      </c>
      <c r="W112" s="15">
        <v>4.5208687782287598</v>
      </c>
      <c r="X112" s="15">
        <v>3</v>
      </c>
      <c r="Y112" s="15">
        <v>3.8662661485468668</v>
      </c>
      <c r="Z112" s="15">
        <v>3</v>
      </c>
      <c r="AA112" s="15">
        <v>3.4237136840820308</v>
      </c>
      <c r="AB112" s="15">
        <v>3</v>
      </c>
      <c r="AC112" s="15">
        <v>2.9663809523809528</v>
      </c>
      <c r="AD112" s="15">
        <v>3</v>
      </c>
      <c r="AE112" s="15">
        <v>2.7659523809523812</v>
      </c>
    </row>
    <row r="113" spans="2:31" x14ac:dyDescent="0.2">
      <c r="B113" s="15">
        <v>4</v>
      </c>
      <c r="C113" s="15">
        <v>3.791307353839608</v>
      </c>
      <c r="D113" s="15">
        <v>4</v>
      </c>
      <c r="E113" s="15">
        <v>4.0199999999999996</v>
      </c>
      <c r="F113" s="15">
        <v>4</v>
      </c>
      <c r="G113" s="15">
        <v>4.0921188658726262</v>
      </c>
      <c r="H113" s="15">
        <v>4</v>
      </c>
      <c r="I113" s="15">
        <v>4.2992334000000003</v>
      </c>
      <c r="J113" s="15">
        <v>4</v>
      </c>
      <c r="K113" s="15">
        <v>3.791307353839608</v>
      </c>
      <c r="L113" s="15">
        <v>4</v>
      </c>
      <c r="M113" s="15">
        <v>4.1238532110091741</v>
      </c>
      <c r="N113" s="15">
        <v>4</v>
      </c>
      <c r="O113" s="15">
        <v>3.4132701215369909</v>
      </c>
      <c r="P113" s="15">
        <v>4</v>
      </c>
      <c r="Q113" s="15">
        <v>4.4402154929235804</v>
      </c>
      <c r="R113" s="15">
        <v>4</v>
      </c>
      <c r="S113" s="15">
        <v>4.2205947359417557</v>
      </c>
      <c r="T113" s="15">
        <v>4</v>
      </c>
      <c r="U113" s="15">
        <v>4</v>
      </c>
      <c r="V113" s="15">
        <v>3</v>
      </c>
      <c r="W113" s="15">
        <v>2.3607521057128911</v>
      </c>
      <c r="X113" s="15">
        <v>4</v>
      </c>
      <c r="Y113" s="15">
        <v>3.465669275383612</v>
      </c>
      <c r="Z113" s="15">
        <v>4</v>
      </c>
      <c r="AA113" s="15">
        <v>3.6075730323791499</v>
      </c>
      <c r="AB113" s="15">
        <v>4</v>
      </c>
      <c r="AC113" s="15">
        <v>4.0244285714285706</v>
      </c>
      <c r="AD113" s="15">
        <v>4</v>
      </c>
      <c r="AE113" s="15">
        <v>4.0170000000000003</v>
      </c>
    </row>
    <row r="114" spans="2:31" x14ac:dyDescent="0.2">
      <c r="B114" s="15">
        <v>3</v>
      </c>
      <c r="C114" s="15">
        <v>2.9295134581242279</v>
      </c>
      <c r="D114" s="15">
        <v>3</v>
      </c>
      <c r="E114" s="15">
        <v>3.07</v>
      </c>
      <c r="F114" s="15">
        <v>3</v>
      </c>
      <c r="G114" s="15">
        <v>2.80456776478557</v>
      </c>
      <c r="H114" s="15">
        <v>3</v>
      </c>
      <c r="I114" s="15">
        <v>2.8513690999999999</v>
      </c>
      <c r="J114" s="15">
        <v>3</v>
      </c>
      <c r="K114" s="15">
        <v>2.9295134581242279</v>
      </c>
      <c r="L114" s="15">
        <v>3</v>
      </c>
      <c r="M114" s="15">
        <v>3.109170305676856</v>
      </c>
      <c r="N114" s="15">
        <v>3</v>
      </c>
      <c r="O114" s="15">
        <v>3.7989181044360389</v>
      </c>
      <c r="P114" s="15">
        <v>3</v>
      </c>
      <c r="Q114" s="15">
        <v>3.281108224711077</v>
      </c>
      <c r="R114" s="15">
        <v>3</v>
      </c>
      <c r="S114" s="15">
        <v>3.2851936096770982</v>
      </c>
      <c r="T114" s="15">
        <v>3</v>
      </c>
      <c r="U114" s="15">
        <v>3</v>
      </c>
      <c r="V114" s="15">
        <v>3</v>
      </c>
      <c r="W114" s="15">
        <v>3.9976246356964111</v>
      </c>
      <c r="X114" s="15">
        <v>3</v>
      </c>
      <c r="Y114" s="15">
        <v>3.5767351608367379</v>
      </c>
      <c r="Z114" s="15">
        <v>3</v>
      </c>
      <c r="AA114" s="15">
        <v>3.6338739395141602</v>
      </c>
      <c r="AB114" s="15">
        <v>3</v>
      </c>
      <c r="AC114" s="15">
        <v>2.9748333333333341</v>
      </c>
      <c r="AD114" s="15">
        <v>3</v>
      </c>
      <c r="AE114" s="15">
        <v>3.0048809523809519</v>
      </c>
    </row>
    <row r="115" spans="2:31" x14ac:dyDescent="0.2">
      <c r="B115" s="15">
        <v>5</v>
      </c>
      <c r="C115" s="15">
        <v>3.9775666277260222</v>
      </c>
      <c r="D115" s="15">
        <v>5</v>
      </c>
      <c r="E115" s="15">
        <v>3.89</v>
      </c>
      <c r="F115" s="15">
        <v>5</v>
      </c>
      <c r="G115" s="15">
        <v>4.1359953407283356</v>
      </c>
      <c r="H115" s="15">
        <v>5</v>
      </c>
      <c r="I115" s="15">
        <v>4.1671804999999997</v>
      </c>
      <c r="J115" s="15">
        <v>5</v>
      </c>
      <c r="K115" s="15">
        <v>3.9775666277260222</v>
      </c>
      <c r="L115" s="15">
        <v>5</v>
      </c>
      <c r="M115" s="15">
        <v>3.8995308835027371</v>
      </c>
      <c r="N115" s="15">
        <v>5</v>
      </c>
      <c r="O115" s="15">
        <v>3.6796407169313001</v>
      </c>
      <c r="P115" s="15">
        <v>5</v>
      </c>
      <c r="Q115" s="15">
        <v>3.51687703822956</v>
      </c>
      <c r="R115" s="15">
        <v>5</v>
      </c>
      <c r="S115" s="15">
        <v>3.587396610154836</v>
      </c>
      <c r="T115" s="15">
        <v>5</v>
      </c>
      <c r="U115" s="15">
        <v>5</v>
      </c>
      <c r="V115" s="15">
        <v>4</v>
      </c>
      <c r="W115" s="15">
        <v>4.0348415374755859</v>
      </c>
      <c r="X115" s="15">
        <v>5</v>
      </c>
      <c r="Y115" s="15">
        <v>3.8478492429738109</v>
      </c>
      <c r="Z115" s="15">
        <v>5</v>
      </c>
      <c r="AA115" s="15">
        <v>3.967445850372314</v>
      </c>
      <c r="AB115" s="15">
        <v>5</v>
      </c>
      <c r="AC115" s="15">
        <v>4.3481904761904762</v>
      </c>
      <c r="AD115" s="15">
        <v>5</v>
      </c>
      <c r="AE115" s="15">
        <v>4.2677500000000004</v>
      </c>
    </row>
    <row r="116" spans="2:31" x14ac:dyDescent="0.2">
      <c r="B116" s="15">
        <v>5</v>
      </c>
      <c r="C116" s="15">
        <v>3.990930551860675</v>
      </c>
      <c r="D116" s="15">
        <v>5</v>
      </c>
      <c r="E116" s="15">
        <v>4.43</v>
      </c>
      <c r="F116" s="15">
        <v>5</v>
      </c>
      <c r="G116" s="15">
        <v>4.3586405236786989</v>
      </c>
      <c r="H116" s="15">
        <v>5</v>
      </c>
      <c r="I116" s="15">
        <v>4.6146320000000003</v>
      </c>
      <c r="J116" s="15">
        <v>5</v>
      </c>
      <c r="K116" s="15">
        <v>3.990930551860675</v>
      </c>
      <c r="L116" s="15">
        <v>5</v>
      </c>
      <c r="M116" s="15">
        <v>4.4914089347079038</v>
      </c>
      <c r="N116" s="15">
        <v>5</v>
      </c>
      <c r="O116" s="15">
        <v>4.0492565714156976</v>
      </c>
      <c r="P116" s="15">
        <v>5</v>
      </c>
      <c r="Q116" s="15">
        <v>4.128193576982099</v>
      </c>
      <c r="R116" s="15">
        <v>5</v>
      </c>
      <c r="S116" s="15">
        <v>3.882849475520012</v>
      </c>
      <c r="T116" s="15">
        <v>5</v>
      </c>
      <c r="U116" s="15">
        <v>5</v>
      </c>
      <c r="V116" s="15">
        <v>1</v>
      </c>
      <c r="W116" s="15">
        <v>2.9770767688751221</v>
      </c>
      <c r="X116" s="15">
        <v>5</v>
      </c>
      <c r="Y116" s="15">
        <v>4.3661331034440627</v>
      </c>
      <c r="Z116" s="15">
        <v>5</v>
      </c>
      <c r="AA116" s="15">
        <v>4.3317379951477051</v>
      </c>
      <c r="AB116" s="15">
        <v>5</v>
      </c>
      <c r="AC116" s="15">
        <v>4.8516190476190477</v>
      </c>
      <c r="AD116" s="15">
        <v>5</v>
      </c>
      <c r="AE116" s="15">
        <v>4.6894999999999998</v>
      </c>
    </row>
    <row r="117" spans="2:31" x14ac:dyDescent="0.2">
      <c r="B117" s="15">
        <v>4</v>
      </c>
      <c r="C117" s="15">
        <v>3.7978281890872609</v>
      </c>
      <c r="D117" s="15">
        <v>4</v>
      </c>
      <c r="E117" s="15">
        <v>4.2699999999999996</v>
      </c>
      <c r="F117" s="15">
        <v>4</v>
      </c>
      <c r="G117" s="15">
        <v>3.9473035270339549</v>
      </c>
      <c r="H117" s="15">
        <v>4</v>
      </c>
      <c r="I117" s="15">
        <v>4.0461850000000004</v>
      </c>
      <c r="J117" s="15">
        <v>4</v>
      </c>
      <c r="K117" s="15">
        <v>3.7978281890872609</v>
      </c>
      <c r="L117" s="15">
        <v>4</v>
      </c>
      <c r="M117" s="15">
        <v>3.8227938549481961</v>
      </c>
      <c r="N117" s="15">
        <v>4</v>
      </c>
      <c r="O117" s="15">
        <v>4.4099048151415001</v>
      </c>
      <c r="P117" s="15">
        <v>4</v>
      </c>
      <c r="Q117" s="15">
        <v>4.4201876373524236</v>
      </c>
      <c r="R117" s="15">
        <v>4</v>
      </c>
      <c r="S117" s="15">
        <v>4.4040309633057033</v>
      </c>
      <c r="T117" s="15">
        <v>4</v>
      </c>
      <c r="U117" s="15">
        <v>4</v>
      </c>
      <c r="V117" s="15">
        <v>1</v>
      </c>
      <c r="W117" s="15">
        <v>2.813169002532959</v>
      </c>
      <c r="X117" s="15">
        <v>4</v>
      </c>
      <c r="Y117" s="15">
        <v>4.0207469581816353</v>
      </c>
      <c r="Z117" s="15">
        <v>4</v>
      </c>
      <c r="AA117" s="15">
        <v>4.1156802177429199</v>
      </c>
      <c r="AB117" s="15">
        <v>4</v>
      </c>
      <c r="AC117" s="15">
        <v>4.1808333333333323</v>
      </c>
      <c r="AD117" s="15">
        <v>4</v>
      </c>
      <c r="AE117" s="15">
        <v>4.1515000000000004</v>
      </c>
    </row>
    <row r="118" spans="2:31" x14ac:dyDescent="0.2">
      <c r="B118" s="15">
        <v>4</v>
      </c>
      <c r="C118" s="15">
        <v>3.8409612781868252</v>
      </c>
      <c r="D118" s="15">
        <v>4</v>
      </c>
      <c r="E118" s="15">
        <v>4.63</v>
      </c>
      <c r="F118" s="15">
        <v>4</v>
      </c>
      <c r="G118" s="15">
        <v>4.6927164037033133</v>
      </c>
      <c r="H118" s="15">
        <v>4</v>
      </c>
      <c r="I118" s="15">
        <v>4.8125809999999998</v>
      </c>
      <c r="J118" s="15">
        <v>4</v>
      </c>
      <c r="K118" s="15">
        <v>3.8409612781868252</v>
      </c>
      <c r="L118" s="15">
        <v>4</v>
      </c>
      <c r="M118" s="15">
        <v>4.2791702679343127</v>
      </c>
      <c r="N118" s="15">
        <v>4</v>
      </c>
      <c r="O118" s="15">
        <v>4.3101628805640368</v>
      </c>
      <c r="P118" s="15">
        <v>4</v>
      </c>
      <c r="Q118" s="15">
        <v>4.7465082621261887</v>
      </c>
      <c r="R118" s="15">
        <v>4</v>
      </c>
      <c r="S118" s="15">
        <v>4.5071267018341716</v>
      </c>
      <c r="T118" s="15">
        <v>4</v>
      </c>
      <c r="U118" s="15">
        <v>4</v>
      </c>
      <c r="V118" s="15">
        <v>5</v>
      </c>
      <c r="W118" s="15">
        <v>3.8724217414855961</v>
      </c>
      <c r="X118" s="15">
        <v>4</v>
      </c>
      <c r="Y118" s="15">
        <v>4.4449908290481686</v>
      </c>
      <c r="Z118" s="15">
        <v>4</v>
      </c>
      <c r="AA118" s="15">
        <v>4.7108559608459473</v>
      </c>
      <c r="AB118" s="15">
        <v>4</v>
      </c>
      <c r="AC118" s="15">
        <v>4.2489761904761911</v>
      </c>
      <c r="AD118" s="15">
        <v>4</v>
      </c>
      <c r="AE118" s="15">
        <v>4.1877380952380951</v>
      </c>
    </row>
    <row r="119" spans="2:31" x14ac:dyDescent="0.2">
      <c r="B119" s="15">
        <v>4</v>
      </c>
      <c r="C119" s="15">
        <v>3.5869226394490932</v>
      </c>
      <c r="D119" s="15">
        <v>4</v>
      </c>
      <c r="E119" s="15">
        <v>3.42</v>
      </c>
      <c r="F119" s="15">
        <v>4</v>
      </c>
      <c r="G119" s="15">
        <v>3.3706903515910058</v>
      </c>
      <c r="H119" s="15">
        <v>4</v>
      </c>
      <c r="I119" s="15">
        <v>3.2494122999999999</v>
      </c>
      <c r="J119" s="15">
        <v>4</v>
      </c>
      <c r="K119" s="15">
        <v>3.5869226394490932</v>
      </c>
      <c r="L119" s="15">
        <v>4</v>
      </c>
      <c r="M119" s="15">
        <v>3.3430637386181039</v>
      </c>
      <c r="N119" s="15">
        <v>4</v>
      </c>
      <c r="O119" s="15">
        <v>4.3871706839735882</v>
      </c>
      <c r="P119" s="15">
        <v>4</v>
      </c>
      <c r="Q119" s="15">
        <v>4.1479746784136404</v>
      </c>
      <c r="R119" s="15">
        <v>4</v>
      </c>
      <c r="S119" s="15">
        <v>4.2881495139012724</v>
      </c>
      <c r="T119" s="15">
        <v>4</v>
      </c>
      <c r="U119" s="15">
        <v>4</v>
      </c>
      <c r="V119" s="15">
        <v>2</v>
      </c>
      <c r="W119" s="15">
        <v>2.9331984519958501</v>
      </c>
      <c r="X119" s="15">
        <v>4</v>
      </c>
      <c r="Y119" s="15">
        <v>4.530366318800378</v>
      </c>
      <c r="Z119" s="15">
        <v>4</v>
      </c>
      <c r="AA119" s="15">
        <v>4.3930068016052246</v>
      </c>
      <c r="AB119" s="15">
        <v>4</v>
      </c>
      <c r="AC119" s="15">
        <v>4.1145238095238099</v>
      </c>
      <c r="AD119" s="15">
        <v>4</v>
      </c>
      <c r="AE119" s="15">
        <v>3.9861666666666662</v>
      </c>
    </row>
    <row r="120" spans="2:31" x14ac:dyDescent="0.2">
      <c r="B120" s="15">
        <v>4</v>
      </c>
      <c r="C120" s="15">
        <v>3.6185572303041509</v>
      </c>
      <c r="D120" s="15">
        <v>4</v>
      </c>
      <c r="E120" s="15">
        <v>2.89</v>
      </c>
      <c r="F120" s="15">
        <v>4</v>
      </c>
      <c r="G120" s="15">
        <v>3.1617092391309138</v>
      </c>
      <c r="H120" s="15">
        <v>4</v>
      </c>
      <c r="I120" s="15">
        <v>3.1835673</v>
      </c>
      <c r="J120" s="15">
        <v>4</v>
      </c>
      <c r="K120" s="15">
        <v>3.6185572303041509</v>
      </c>
      <c r="L120" s="15">
        <v>4</v>
      </c>
      <c r="M120" s="15">
        <v>2.8256087981146898</v>
      </c>
      <c r="N120" s="15">
        <v>4</v>
      </c>
      <c r="O120" s="15">
        <v>2.986032424699697</v>
      </c>
      <c r="P120" s="15">
        <v>4</v>
      </c>
      <c r="Q120" s="15">
        <v>2.6829864605900702</v>
      </c>
      <c r="R120" s="15">
        <v>4</v>
      </c>
      <c r="S120" s="15">
        <v>2.6244929294795072</v>
      </c>
      <c r="T120" s="15">
        <v>4</v>
      </c>
      <c r="U120" s="15">
        <v>4</v>
      </c>
      <c r="V120" s="15">
        <v>2</v>
      </c>
      <c r="W120" s="15">
        <v>3.3419487476348881</v>
      </c>
      <c r="X120" s="15">
        <v>4</v>
      </c>
      <c r="Y120" s="15">
        <v>3.0072450733674039</v>
      </c>
      <c r="Z120" s="15">
        <v>4</v>
      </c>
      <c r="AA120" s="15">
        <v>2.8994381427764888</v>
      </c>
      <c r="AB120" s="15">
        <v>4</v>
      </c>
      <c r="AC120" s="15">
        <v>3.391630952380952</v>
      </c>
      <c r="AD120" s="15">
        <v>4</v>
      </c>
      <c r="AE120" s="15">
        <v>3.5045595238095228</v>
      </c>
    </row>
    <row r="121" spans="2:31" x14ac:dyDescent="0.2">
      <c r="B121" s="15">
        <v>4</v>
      </c>
      <c r="C121" s="15">
        <v>4.7273188115070708</v>
      </c>
      <c r="D121" s="15">
        <v>4</v>
      </c>
      <c r="E121" s="15">
        <v>4.05</v>
      </c>
      <c r="F121" s="15">
        <v>4</v>
      </c>
      <c r="G121" s="15">
        <v>4.0488795747190354</v>
      </c>
      <c r="H121" s="15">
        <v>4</v>
      </c>
      <c r="I121" s="15">
        <v>4.0831065000000004</v>
      </c>
      <c r="J121" s="15">
        <v>4</v>
      </c>
      <c r="K121" s="15">
        <v>4.7273188115070708</v>
      </c>
      <c r="L121" s="15">
        <v>4</v>
      </c>
      <c r="M121" s="15">
        <v>3.859649122807018</v>
      </c>
      <c r="N121" s="15">
        <v>4</v>
      </c>
      <c r="O121" s="15">
        <v>2.023032622858544</v>
      </c>
      <c r="P121" s="15">
        <v>4</v>
      </c>
      <c r="Q121" s="15">
        <v>4.7879564630456564</v>
      </c>
      <c r="R121" s="15">
        <v>4</v>
      </c>
      <c r="S121" s="15">
        <v>3.5822578751605372</v>
      </c>
      <c r="T121" s="15">
        <v>4</v>
      </c>
      <c r="U121" s="15">
        <v>4</v>
      </c>
      <c r="V121" s="15">
        <v>1</v>
      </c>
      <c r="W121" s="15">
        <v>2.685167789459229</v>
      </c>
      <c r="X121" s="15">
        <v>4</v>
      </c>
      <c r="Y121" s="15">
        <v>2.6366432823310602</v>
      </c>
      <c r="Z121" s="15">
        <v>4</v>
      </c>
      <c r="AA121" s="15">
        <v>3.2600419521331792</v>
      </c>
      <c r="AB121" s="15">
        <v>4</v>
      </c>
      <c r="AC121" s="15">
        <v>4.2230158730158731</v>
      </c>
      <c r="AD121" s="15">
        <v>4</v>
      </c>
      <c r="AE121" s="15">
        <v>4.2128874458874446</v>
      </c>
    </row>
    <row r="122" spans="2:31" x14ac:dyDescent="0.2">
      <c r="B122" s="15">
        <v>5</v>
      </c>
      <c r="C122" s="15">
        <v>3.8886321669332262</v>
      </c>
      <c r="D122" s="15">
        <v>5</v>
      </c>
      <c r="E122" s="15">
        <v>4.08</v>
      </c>
      <c r="F122" s="15">
        <v>5</v>
      </c>
      <c r="G122" s="15">
        <v>4.2127340150002368</v>
      </c>
      <c r="H122" s="15">
        <v>5</v>
      </c>
      <c r="I122" s="15">
        <v>4.1619429999999999</v>
      </c>
      <c r="J122" s="15">
        <v>5</v>
      </c>
      <c r="K122" s="15">
        <v>3.8886321669332262</v>
      </c>
      <c r="L122" s="15">
        <v>5</v>
      </c>
      <c r="M122" s="15">
        <v>3.9747958821441252</v>
      </c>
      <c r="N122" s="15">
        <v>5</v>
      </c>
      <c r="O122" s="15">
        <v>4.2890042131814914</v>
      </c>
      <c r="P122" s="15">
        <v>5</v>
      </c>
      <c r="Q122" s="15">
        <v>4.8289603643671537</v>
      </c>
      <c r="R122" s="15">
        <v>5</v>
      </c>
      <c r="S122" s="15">
        <v>4.8458961727820862</v>
      </c>
      <c r="T122" s="15">
        <v>5</v>
      </c>
      <c r="U122" s="15">
        <v>5</v>
      </c>
      <c r="V122" s="15">
        <v>4</v>
      </c>
      <c r="W122" s="15">
        <v>3.6176636219024658</v>
      </c>
      <c r="X122" s="15">
        <v>5</v>
      </c>
      <c r="Y122" s="15">
        <v>4.300485233889086</v>
      </c>
      <c r="Z122" s="15">
        <v>5</v>
      </c>
      <c r="AA122" s="15">
        <v>4.5292906761169434</v>
      </c>
      <c r="AB122" s="15">
        <v>5</v>
      </c>
      <c r="AC122" s="15">
        <v>4.7942222222222224</v>
      </c>
      <c r="AD122" s="15">
        <v>5</v>
      </c>
      <c r="AE122" s="15">
        <v>4.8746428571428568</v>
      </c>
    </row>
    <row r="123" spans="2:31" x14ac:dyDescent="0.2">
      <c r="B123" s="15">
        <v>4</v>
      </c>
      <c r="C123" s="15">
        <v>3.8711432270957942</v>
      </c>
      <c r="D123" s="15">
        <v>4</v>
      </c>
      <c r="E123" s="15">
        <v>4.1100000000000003</v>
      </c>
      <c r="F123" s="15">
        <v>4</v>
      </c>
      <c r="G123" s="15">
        <v>4.0289242089993396</v>
      </c>
      <c r="H123" s="15">
        <v>4</v>
      </c>
      <c r="I123" s="15">
        <v>3.9782047</v>
      </c>
      <c r="J123" s="15">
        <v>4</v>
      </c>
      <c r="K123" s="15">
        <v>3.8711432270957942</v>
      </c>
      <c r="L123" s="15">
        <v>4</v>
      </c>
      <c r="M123" s="15">
        <v>3.831386441976254</v>
      </c>
      <c r="N123" s="15">
        <v>4</v>
      </c>
      <c r="O123" s="15">
        <v>4.2384642516753281</v>
      </c>
      <c r="P123" s="15">
        <v>4</v>
      </c>
      <c r="Q123" s="15">
        <v>3.4574607720244992</v>
      </c>
      <c r="R123" s="15">
        <v>4</v>
      </c>
      <c r="S123" s="15">
        <v>3.660327135019497</v>
      </c>
      <c r="T123" s="15">
        <v>4</v>
      </c>
      <c r="U123" s="15">
        <v>4</v>
      </c>
      <c r="V123" s="15">
        <v>3</v>
      </c>
      <c r="W123" s="15">
        <v>3.854640007019043</v>
      </c>
      <c r="X123" s="15">
        <v>4</v>
      </c>
      <c r="Y123" s="15">
        <v>4.0879102696757572</v>
      </c>
      <c r="Z123" s="15">
        <v>4</v>
      </c>
      <c r="AA123" s="15">
        <v>4.1883149147033691</v>
      </c>
      <c r="AB123" s="15">
        <v>4</v>
      </c>
      <c r="AC123" s="15">
        <v>3.8660714285714279</v>
      </c>
      <c r="AD123" s="15">
        <v>4</v>
      </c>
      <c r="AE123" s="15">
        <v>3.7433928571428572</v>
      </c>
    </row>
    <row r="124" spans="2:31" x14ac:dyDescent="0.2">
      <c r="B124" s="15">
        <v>5</v>
      </c>
      <c r="C124" s="15">
        <v>3.8002408098736731</v>
      </c>
      <c r="D124" s="15">
        <v>5</v>
      </c>
      <c r="E124" s="15">
        <v>4.08</v>
      </c>
      <c r="F124" s="15">
        <v>5</v>
      </c>
      <c r="G124" s="15">
        <v>4.1842962176135208</v>
      </c>
      <c r="H124" s="15">
        <v>5</v>
      </c>
      <c r="I124" s="15">
        <v>4.124485</v>
      </c>
      <c r="J124" s="15">
        <v>5</v>
      </c>
      <c r="K124" s="15">
        <v>3.8002408098736731</v>
      </c>
      <c r="L124" s="15">
        <v>5</v>
      </c>
      <c r="M124" s="15">
        <v>3.859941844364442</v>
      </c>
      <c r="N124" s="15">
        <v>5</v>
      </c>
      <c r="O124" s="15">
        <v>3.382343134417773</v>
      </c>
      <c r="P124" s="15">
        <v>5</v>
      </c>
      <c r="Q124" s="15">
        <v>4.5504461183922231</v>
      </c>
      <c r="R124" s="15">
        <v>5</v>
      </c>
      <c r="S124" s="15">
        <v>4.6694842867342192</v>
      </c>
      <c r="T124" s="15">
        <v>5</v>
      </c>
      <c r="U124" s="15">
        <v>5</v>
      </c>
      <c r="V124" s="15">
        <v>3</v>
      </c>
      <c r="W124" s="15">
        <v>1.9838589429855349</v>
      </c>
      <c r="X124" s="15">
        <v>5</v>
      </c>
      <c r="Y124" s="15">
        <v>3.807274461988841</v>
      </c>
      <c r="Z124" s="15">
        <v>5</v>
      </c>
      <c r="AA124" s="15">
        <v>3.9242017269134521</v>
      </c>
      <c r="AB124" s="15">
        <v>5</v>
      </c>
      <c r="AC124" s="15">
        <v>4.8174999999999999</v>
      </c>
      <c r="AD124" s="15">
        <v>5</v>
      </c>
      <c r="AE124" s="15">
        <v>4.7916666666666661</v>
      </c>
    </row>
    <row r="125" spans="2:31" x14ac:dyDescent="0.2">
      <c r="B125" s="15">
        <v>3</v>
      </c>
      <c r="C125" s="15">
        <v>2.7219669696082138</v>
      </c>
      <c r="D125" s="15">
        <v>3</v>
      </c>
      <c r="E125" s="15">
        <v>1.94</v>
      </c>
      <c r="F125" s="15">
        <v>3</v>
      </c>
      <c r="G125" s="15">
        <v>2.1772071233426442</v>
      </c>
      <c r="H125" s="15">
        <v>3</v>
      </c>
      <c r="I125" s="15">
        <v>2.1452296</v>
      </c>
      <c r="J125" s="15">
        <v>3</v>
      </c>
      <c r="K125" s="15">
        <v>2.7219669696082138</v>
      </c>
      <c r="L125" s="15">
        <v>3</v>
      </c>
      <c r="M125" s="15">
        <v>2.0060422960725082</v>
      </c>
      <c r="N125" s="15">
        <v>3</v>
      </c>
      <c r="O125" s="15">
        <v>3.7296677023876348</v>
      </c>
      <c r="P125" s="15">
        <v>3</v>
      </c>
      <c r="Q125" s="15">
        <v>2.846637452241481</v>
      </c>
      <c r="R125" s="15">
        <v>3</v>
      </c>
      <c r="S125" s="15">
        <v>3.496578528906884</v>
      </c>
      <c r="T125" s="15">
        <v>3</v>
      </c>
      <c r="U125" s="15">
        <v>3</v>
      </c>
      <c r="V125" s="15">
        <v>5</v>
      </c>
      <c r="W125" s="15">
        <v>3.9247136116027832</v>
      </c>
      <c r="X125" s="15">
        <v>3</v>
      </c>
      <c r="Y125" s="15">
        <v>3.1456081846980779</v>
      </c>
      <c r="Z125" s="15">
        <v>3</v>
      </c>
      <c r="AA125" s="15">
        <v>3.3465783596038818</v>
      </c>
      <c r="AB125" s="15">
        <v>3</v>
      </c>
      <c r="AC125" s="15">
        <v>2.69075</v>
      </c>
      <c r="AD125" s="15">
        <v>3</v>
      </c>
      <c r="AE125" s="15">
        <v>3.1421309523809531</v>
      </c>
    </row>
    <row r="126" spans="2:31" x14ac:dyDescent="0.2">
      <c r="B126" s="15">
        <v>4</v>
      </c>
      <c r="C126" s="15">
        <v>4.0163620893173748</v>
      </c>
      <c r="D126" s="15">
        <v>4</v>
      </c>
      <c r="E126" s="15">
        <v>4.3899999999999997</v>
      </c>
      <c r="F126" s="15">
        <v>4</v>
      </c>
      <c r="G126" s="15">
        <v>4.4383597031804518</v>
      </c>
      <c r="H126" s="15">
        <v>4</v>
      </c>
      <c r="I126" s="15">
        <v>4.5551352999999999</v>
      </c>
      <c r="J126" s="15">
        <v>4</v>
      </c>
      <c r="K126" s="15">
        <v>4.0163620893173748</v>
      </c>
      <c r="L126" s="15">
        <v>4</v>
      </c>
      <c r="M126" s="15">
        <v>4.4168314035583167</v>
      </c>
      <c r="N126" s="15">
        <v>4</v>
      </c>
      <c r="O126" s="15">
        <v>3.9722850672672392</v>
      </c>
      <c r="P126" s="15">
        <v>4</v>
      </c>
      <c r="Q126" s="15">
        <v>4.3018586844140749</v>
      </c>
      <c r="R126" s="15">
        <v>4</v>
      </c>
      <c r="S126" s="15">
        <v>4.3556697581659014</v>
      </c>
      <c r="T126" s="15">
        <v>4</v>
      </c>
      <c r="U126" s="15">
        <v>4</v>
      </c>
      <c r="V126" s="15">
        <v>1</v>
      </c>
      <c r="W126" s="15">
        <v>1.3810745477676389</v>
      </c>
      <c r="X126" s="15">
        <v>4</v>
      </c>
      <c r="Y126" s="15">
        <v>4.2335789399066641</v>
      </c>
      <c r="Z126" s="15">
        <v>4</v>
      </c>
      <c r="AA126" s="15">
        <v>4.2064790725708008</v>
      </c>
      <c r="AB126" s="15">
        <v>4</v>
      </c>
      <c r="AC126" s="15">
        <v>4.1604722222222223</v>
      </c>
      <c r="AD126" s="15">
        <v>4</v>
      </c>
      <c r="AE126" s="15">
        <v>4.1178333333333326</v>
      </c>
    </row>
    <row r="127" spans="2:31" x14ac:dyDescent="0.2">
      <c r="B127" s="15">
        <v>2</v>
      </c>
      <c r="C127" s="15">
        <v>3.017464317332299</v>
      </c>
      <c r="D127" s="15">
        <v>2</v>
      </c>
      <c r="E127" s="15">
        <v>2.29</v>
      </c>
      <c r="F127" s="15">
        <v>2</v>
      </c>
      <c r="G127" s="15">
        <v>2.1818248485858209</v>
      </c>
      <c r="H127" s="15">
        <v>2</v>
      </c>
      <c r="I127" s="15">
        <v>1.9246745999999999</v>
      </c>
      <c r="J127" s="15">
        <v>2</v>
      </c>
      <c r="K127" s="15">
        <v>3.017464317332299</v>
      </c>
      <c r="L127" s="15">
        <v>2</v>
      </c>
      <c r="M127" s="15">
        <v>2.3204697986577179</v>
      </c>
      <c r="N127" s="15">
        <v>2</v>
      </c>
      <c r="O127" s="15">
        <v>3.5343431580559921</v>
      </c>
      <c r="P127" s="15">
        <v>2</v>
      </c>
      <c r="Q127" s="15">
        <v>2.982250889114435</v>
      </c>
      <c r="R127" s="15">
        <v>2</v>
      </c>
      <c r="S127" s="15">
        <v>2.8498488955114838</v>
      </c>
      <c r="T127" s="15">
        <v>2</v>
      </c>
      <c r="U127" s="15">
        <v>2</v>
      </c>
      <c r="V127" s="15">
        <v>4</v>
      </c>
      <c r="W127" s="15">
        <v>4.0455055236816406</v>
      </c>
      <c r="X127" s="15">
        <v>2</v>
      </c>
      <c r="Y127" s="15">
        <v>2.6232546301083048</v>
      </c>
      <c r="Z127" s="15">
        <v>2</v>
      </c>
      <c r="AA127" s="15">
        <v>2.241855144500732</v>
      </c>
      <c r="AB127" s="15">
        <v>2</v>
      </c>
      <c r="AC127" s="15">
        <v>2.230428571428571</v>
      </c>
      <c r="AD127" s="15">
        <v>2</v>
      </c>
      <c r="AE127" s="15">
        <v>2.1301688311688309</v>
      </c>
    </row>
    <row r="128" spans="2:31" x14ac:dyDescent="0.2">
      <c r="B128" s="15">
        <v>4</v>
      </c>
      <c r="C128" s="15">
        <v>3.4513864420555178</v>
      </c>
      <c r="D128" s="15">
        <v>4</v>
      </c>
      <c r="E128" s="15">
        <v>3.42</v>
      </c>
      <c r="F128" s="15">
        <v>4</v>
      </c>
      <c r="G128" s="15">
        <v>3.2742638175312511</v>
      </c>
      <c r="H128" s="15">
        <v>4</v>
      </c>
      <c r="I128" s="15">
        <v>3.3842043999999998</v>
      </c>
      <c r="J128" s="15">
        <v>4</v>
      </c>
      <c r="K128" s="15">
        <v>3.4513864420555178</v>
      </c>
      <c r="L128" s="15">
        <v>4</v>
      </c>
      <c r="M128" s="15">
        <v>3.3430637386181039</v>
      </c>
      <c r="N128" s="15">
        <v>4</v>
      </c>
      <c r="O128" s="15">
        <v>3.6056136643002601</v>
      </c>
      <c r="P128" s="15">
        <v>4</v>
      </c>
      <c r="Q128" s="15">
        <v>3.5956729843559758</v>
      </c>
      <c r="R128" s="15">
        <v>4</v>
      </c>
      <c r="S128" s="15">
        <v>3.3268094600466092</v>
      </c>
      <c r="T128" s="15">
        <v>4</v>
      </c>
      <c r="U128" s="15">
        <v>4</v>
      </c>
      <c r="V128" s="15">
        <v>5</v>
      </c>
      <c r="W128" s="15">
        <v>3.567880392074585</v>
      </c>
      <c r="X128" s="15">
        <v>4</v>
      </c>
      <c r="Y128" s="15">
        <v>3.6970193808114229</v>
      </c>
      <c r="Z128" s="15">
        <v>4</v>
      </c>
      <c r="AA128" s="15">
        <v>3.767966747283936</v>
      </c>
      <c r="AB128" s="15">
        <v>4</v>
      </c>
      <c r="AC128" s="15">
        <v>3.8995000000000002</v>
      </c>
      <c r="AD128" s="15">
        <v>4</v>
      </c>
      <c r="AE128" s="15">
        <v>3.948472222222223</v>
      </c>
    </row>
    <row r="129" spans="2:31" x14ac:dyDescent="0.2">
      <c r="B129" s="15">
        <v>5</v>
      </c>
      <c r="C129" s="15">
        <v>3.616024949131992</v>
      </c>
      <c r="D129" s="15">
        <v>5</v>
      </c>
      <c r="E129" s="15">
        <v>4.07</v>
      </c>
      <c r="F129" s="15">
        <v>5</v>
      </c>
      <c r="G129" s="15">
        <v>3.9548693427688408</v>
      </c>
      <c r="H129" s="15">
        <v>5</v>
      </c>
      <c r="I129" s="15">
        <v>3.8346863</v>
      </c>
      <c r="J129" s="15">
        <v>5</v>
      </c>
      <c r="K129" s="15">
        <v>3.616024949131992</v>
      </c>
      <c r="L129" s="15">
        <v>5</v>
      </c>
      <c r="M129" s="15">
        <v>3.859941844364442</v>
      </c>
      <c r="N129" s="15">
        <v>5</v>
      </c>
      <c r="O129" s="15">
        <v>2.799048460705106</v>
      </c>
      <c r="P129" s="15">
        <v>5</v>
      </c>
      <c r="Q129" s="15">
        <v>2.842837236987759</v>
      </c>
      <c r="R129" s="15">
        <v>5</v>
      </c>
      <c r="S129" s="15">
        <v>2.9237572539857659</v>
      </c>
      <c r="T129" s="15">
        <v>5</v>
      </c>
      <c r="U129" s="15">
        <v>5</v>
      </c>
      <c r="V129" s="15">
        <v>1</v>
      </c>
      <c r="W129" s="15">
        <v>2.693534135818481</v>
      </c>
      <c r="X129" s="15">
        <v>5</v>
      </c>
      <c r="Y129" s="15">
        <v>2.9285258973417152</v>
      </c>
      <c r="Z129" s="15">
        <v>5</v>
      </c>
      <c r="AA129" s="15">
        <v>3.4038429260253911</v>
      </c>
      <c r="AB129" s="15">
        <v>5</v>
      </c>
      <c r="AC129" s="15">
        <v>4.1615952380952379</v>
      </c>
      <c r="AD129" s="15">
        <v>5</v>
      </c>
      <c r="AE129" s="15">
        <v>4.2119920634920627</v>
      </c>
    </row>
    <row r="130" spans="2:31" x14ac:dyDescent="0.2">
      <c r="B130" s="15">
        <v>1</v>
      </c>
      <c r="C130" s="15">
        <v>-0.7335820975105527</v>
      </c>
      <c r="D130" s="15">
        <v>1</v>
      </c>
      <c r="E130" s="15">
        <v>1.45</v>
      </c>
      <c r="F130" s="15">
        <v>1</v>
      </c>
      <c r="G130" s="15">
        <v>1.467772182591303</v>
      </c>
      <c r="H130" s="15">
        <v>1</v>
      </c>
      <c r="I130" s="15">
        <v>1.473546</v>
      </c>
      <c r="J130" s="15">
        <v>1</v>
      </c>
      <c r="K130" s="15">
        <v>-0.7335820975105527</v>
      </c>
      <c r="L130" s="15">
        <v>1</v>
      </c>
      <c r="M130" s="15">
        <v>1.5931863727454909</v>
      </c>
      <c r="N130" s="15">
        <v>1</v>
      </c>
      <c r="O130" s="15">
        <v>0.61985460942034232</v>
      </c>
      <c r="P130" s="15">
        <v>1</v>
      </c>
      <c r="Q130" s="15">
        <v>0.1271125834529272</v>
      </c>
      <c r="R130" s="15">
        <v>1</v>
      </c>
      <c r="S130" s="15">
        <v>1.4175312216672831</v>
      </c>
      <c r="T130" s="15">
        <v>1</v>
      </c>
      <c r="U130" s="15">
        <v>1</v>
      </c>
      <c r="V130" s="15">
        <v>4</v>
      </c>
      <c r="W130" s="15">
        <v>3.547919750213623</v>
      </c>
      <c r="X130" s="15">
        <v>1</v>
      </c>
      <c r="Y130" s="15">
        <v>2.02652066994865</v>
      </c>
      <c r="Z130" s="15">
        <v>1</v>
      </c>
      <c r="AA130" s="15">
        <v>1.1379132270812991</v>
      </c>
      <c r="AB130" s="15">
        <v>1</v>
      </c>
      <c r="AC130" s="15">
        <v>1.2819047619047621</v>
      </c>
      <c r="AD130" s="15">
        <v>1</v>
      </c>
      <c r="AE130" s="15">
        <v>1.508916666666666</v>
      </c>
    </row>
    <row r="131" spans="2:31" x14ac:dyDescent="0.2">
      <c r="B131" s="15">
        <v>5</v>
      </c>
      <c r="C131" s="15">
        <v>3.6157613662515939</v>
      </c>
      <c r="D131" s="15">
        <v>5</v>
      </c>
      <c r="E131" s="15">
        <v>4.0599999999999996</v>
      </c>
      <c r="F131" s="15">
        <v>5</v>
      </c>
      <c r="G131" s="15">
        <v>4.1398807294447604</v>
      </c>
      <c r="H131" s="15">
        <v>5</v>
      </c>
      <c r="I131" s="15">
        <v>3.9635777000000001</v>
      </c>
      <c r="J131" s="15">
        <v>5</v>
      </c>
      <c r="K131" s="15">
        <v>3.6157613662515939</v>
      </c>
      <c r="L131" s="15">
        <v>5</v>
      </c>
      <c r="M131" s="15">
        <v>4.0956156716417906</v>
      </c>
      <c r="N131" s="15">
        <v>5</v>
      </c>
      <c r="O131" s="15">
        <v>4.4044857902048138</v>
      </c>
      <c r="P131" s="15">
        <v>5</v>
      </c>
      <c r="Q131" s="15">
        <v>4.3909361560842646</v>
      </c>
      <c r="R131" s="15">
        <v>5</v>
      </c>
      <c r="S131" s="15">
        <v>4.4292324690072702</v>
      </c>
      <c r="T131" s="15">
        <v>5</v>
      </c>
      <c r="U131" s="15">
        <v>5</v>
      </c>
      <c r="V131" s="15">
        <v>4</v>
      </c>
      <c r="W131" s="15">
        <v>4.396484375</v>
      </c>
      <c r="X131" s="15">
        <v>5</v>
      </c>
      <c r="Y131" s="15">
        <v>4.0169514203786028</v>
      </c>
      <c r="Z131" s="15">
        <v>5</v>
      </c>
      <c r="AA131" s="15">
        <v>3.886956930160522</v>
      </c>
      <c r="AB131" s="15">
        <v>5</v>
      </c>
      <c r="AC131" s="15">
        <v>4.6580833333333329</v>
      </c>
      <c r="AD131" s="15">
        <v>5</v>
      </c>
      <c r="AE131" s="15">
        <v>4.7028888888888893</v>
      </c>
    </row>
    <row r="132" spans="2:31" x14ac:dyDescent="0.2">
      <c r="B132" s="15">
        <v>5</v>
      </c>
      <c r="C132" s="15">
        <v>3.7488012147387408</v>
      </c>
      <c r="D132" s="15">
        <v>5</v>
      </c>
      <c r="E132" s="15">
        <v>3.94</v>
      </c>
      <c r="F132" s="15">
        <v>5</v>
      </c>
      <c r="G132" s="15">
        <v>4.2037146060155797</v>
      </c>
      <c r="H132" s="15">
        <v>5</v>
      </c>
      <c r="I132" s="15">
        <v>4.0935119999999996</v>
      </c>
      <c r="J132" s="15">
        <v>5</v>
      </c>
      <c r="K132" s="15">
        <v>3.7488012147387408</v>
      </c>
      <c r="L132" s="15">
        <v>5</v>
      </c>
      <c r="M132" s="15">
        <v>4.2791702679343127</v>
      </c>
      <c r="N132" s="15">
        <v>5</v>
      </c>
      <c r="O132" s="15">
        <v>4.3180295755360589</v>
      </c>
      <c r="P132" s="15">
        <v>5</v>
      </c>
      <c r="Q132" s="15">
        <v>4.0476182722758889</v>
      </c>
      <c r="R132" s="15">
        <v>5</v>
      </c>
      <c r="S132" s="15">
        <v>4.5349628049344997</v>
      </c>
      <c r="T132" s="15">
        <v>5</v>
      </c>
      <c r="U132" s="15">
        <v>5</v>
      </c>
      <c r="V132" s="15">
        <v>4</v>
      </c>
      <c r="W132" s="15">
        <v>4.3412685394287109</v>
      </c>
      <c r="X132" s="15">
        <v>5</v>
      </c>
      <c r="Y132" s="15">
        <v>4.2929140772280068</v>
      </c>
      <c r="Z132" s="15">
        <v>5</v>
      </c>
      <c r="AA132" s="15">
        <v>4.4100370407104492</v>
      </c>
      <c r="AB132" s="15">
        <v>5</v>
      </c>
      <c r="AC132" s="15">
        <v>4.8760000000000003</v>
      </c>
      <c r="AD132" s="15">
        <v>5</v>
      </c>
      <c r="AE132" s="15">
        <v>4.5334206349206347</v>
      </c>
    </row>
    <row r="133" spans="2:31" x14ac:dyDescent="0.2">
      <c r="B133" s="15">
        <v>4</v>
      </c>
      <c r="C133" s="15">
        <v>3.629891049116877</v>
      </c>
      <c r="D133" s="15">
        <v>4</v>
      </c>
      <c r="E133" s="15">
        <v>3.52</v>
      </c>
      <c r="F133" s="15">
        <v>4</v>
      </c>
      <c r="G133" s="15">
        <v>3.6303310005595271</v>
      </c>
      <c r="H133" s="15">
        <v>4</v>
      </c>
      <c r="I133" s="15">
        <v>3.4838200000000001</v>
      </c>
      <c r="J133" s="15">
        <v>4</v>
      </c>
      <c r="K133" s="15">
        <v>3.629891049116877</v>
      </c>
      <c r="L133" s="15">
        <v>4</v>
      </c>
      <c r="M133" s="15">
        <v>3.2632103688933198</v>
      </c>
      <c r="N133" s="15">
        <v>4</v>
      </c>
      <c r="O133" s="15">
        <v>3.9627815767892312</v>
      </c>
      <c r="P133" s="15">
        <v>4</v>
      </c>
      <c r="Q133" s="15">
        <v>3.8438214180893739</v>
      </c>
      <c r="R133" s="15">
        <v>4</v>
      </c>
      <c r="S133" s="15">
        <v>3.9165022496876811</v>
      </c>
      <c r="T133" s="15">
        <v>4</v>
      </c>
      <c r="U133" s="15">
        <v>4</v>
      </c>
      <c r="V133" s="15">
        <v>5</v>
      </c>
      <c r="W133" s="15">
        <v>4.1410956382751456</v>
      </c>
      <c r="X133" s="15">
        <v>4</v>
      </c>
      <c r="Y133" s="15">
        <v>4.2068871943922748</v>
      </c>
      <c r="Z133" s="15">
        <v>4</v>
      </c>
      <c r="AA133" s="15">
        <v>4.2045192718505859</v>
      </c>
      <c r="AB133" s="15">
        <v>4</v>
      </c>
      <c r="AC133" s="15">
        <v>4.0072817460317456</v>
      </c>
      <c r="AD133" s="15">
        <v>4</v>
      </c>
      <c r="AE133" s="15">
        <v>4.1699047619047613</v>
      </c>
    </row>
    <row r="134" spans="2:31" x14ac:dyDescent="0.2">
      <c r="B134" s="15">
        <v>5</v>
      </c>
      <c r="C134" s="15">
        <v>3.65072441644653</v>
      </c>
      <c r="D134" s="15">
        <v>5</v>
      </c>
      <c r="E134" s="15">
        <v>3.33</v>
      </c>
      <c r="F134" s="15">
        <v>5</v>
      </c>
      <c r="G134" s="15">
        <v>3.562150708615468</v>
      </c>
      <c r="H134" s="15">
        <v>5</v>
      </c>
      <c r="I134" s="15">
        <v>3.394539</v>
      </c>
      <c r="J134" s="15">
        <v>5</v>
      </c>
      <c r="K134" s="15">
        <v>3.65072441644653</v>
      </c>
      <c r="L134" s="15">
        <v>5</v>
      </c>
      <c r="M134" s="15">
        <v>3.371737173717372</v>
      </c>
      <c r="N134" s="15">
        <v>5</v>
      </c>
      <c r="O134" s="15">
        <v>2.2528315958632099</v>
      </c>
      <c r="P134" s="15">
        <v>5</v>
      </c>
      <c r="Q134" s="15">
        <v>3.2241941236725928</v>
      </c>
      <c r="R134" s="15">
        <v>5</v>
      </c>
      <c r="S134" s="15">
        <v>3.0858406501831759</v>
      </c>
      <c r="T134" s="15">
        <v>5</v>
      </c>
      <c r="U134" s="15">
        <v>5</v>
      </c>
      <c r="V134" s="15">
        <v>5</v>
      </c>
      <c r="W134" s="15">
        <v>4.4124350547790527</v>
      </c>
      <c r="X134" s="15">
        <v>5</v>
      </c>
      <c r="Y134" s="15">
        <v>2.6208926189649211</v>
      </c>
      <c r="Z134" s="15">
        <v>5</v>
      </c>
      <c r="AA134" s="15">
        <v>2.586051464080811</v>
      </c>
      <c r="AB134" s="15">
        <v>5</v>
      </c>
      <c r="AC134" s="15">
        <v>4.3337142857142856</v>
      </c>
      <c r="AD134" s="15">
        <v>5</v>
      </c>
      <c r="AE134" s="15">
        <v>4.1185476190476189</v>
      </c>
    </row>
    <row r="135" spans="2:31" x14ac:dyDescent="0.2">
      <c r="B135" s="15">
        <v>5</v>
      </c>
      <c r="C135" s="15">
        <v>3.8567321533305572</v>
      </c>
      <c r="D135" s="15">
        <v>5</v>
      </c>
      <c r="E135" s="15">
        <v>4.04</v>
      </c>
      <c r="F135" s="15">
        <v>5</v>
      </c>
      <c r="G135" s="15">
        <v>4.1333765826130806</v>
      </c>
      <c r="H135" s="15">
        <v>5</v>
      </c>
      <c r="I135" s="15">
        <v>4.1623954999999997</v>
      </c>
      <c r="J135" s="15">
        <v>5</v>
      </c>
      <c r="K135" s="15">
        <v>3.8567321533305572</v>
      </c>
      <c r="L135" s="15">
        <v>5</v>
      </c>
      <c r="M135" s="15">
        <v>3.607255948611237</v>
      </c>
      <c r="N135" s="15">
        <v>5</v>
      </c>
      <c r="O135" s="15">
        <v>4.1922012364807397</v>
      </c>
      <c r="P135" s="15">
        <v>5</v>
      </c>
      <c r="Q135" s="15">
        <v>3.9279666505207351</v>
      </c>
      <c r="R135" s="15">
        <v>5</v>
      </c>
      <c r="S135" s="15">
        <v>3.9112676779263822</v>
      </c>
      <c r="T135" s="15">
        <v>5</v>
      </c>
      <c r="U135" s="15">
        <v>5</v>
      </c>
      <c r="V135" s="15">
        <v>4</v>
      </c>
      <c r="W135" s="15">
        <v>4.1940212249755859</v>
      </c>
      <c r="X135" s="15">
        <v>5</v>
      </c>
      <c r="Y135" s="15">
        <v>4.3376618736734791</v>
      </c>
      <c r="Z135" s="15">
        <v>5</v>
      </c>
      <c r="AA135" s="15">
        <v>4.2899317741394043</v>
      </c>
      <c r="AB135" s="15">
        <v>5</v>
      </c>
      <c r="AC135" s="15">
        <v>4.6665714285714284</v>
      </c>
      <c r="AD135" s="15">
        <v>5</v>
      </c>
      <c r="AE135" s="15">
        <v>4.6578333333333326</v>
      </c>
    </row>
    <row r="136" spans="2:31" x14ac:dyDescent="0.2">
      <c r="B136" s="15">
        <v>3</v>
      </c>
      <c r="C136" s="15">
        <v>3.7138974798194941</v>
      </c>
      <c r="D136" s="15">
        <v>3</v>
      </c>
      <c r="E136" s="15">
        <v>3.86</v>
      </c>
      <c r="F136" s="15">
        <v>3</v>
      </c>
      <c r="G136" s="15">
        <v>3.8903637853466688</v>
      </c>
      <c r="H136" s="15">
        <v>3</v>
      </c>
      <c r="I136" s="15">
        <v>3.8313000000000001</v>
      </c>
      <c r="J136" s="15">
        <v>3</v>
      </c>
      <c r="K136" s="15">
        <v>3.7138974798194941</v>
      </c>
      <c r="L136" s="15">
        <v>3</v>
      </c>
      <c r="M136" s="15">
        <v>3.831386441976254</v>
      </c>
      <c r="N136" s="15">
        <v>3</v>
      </c>
      <c r="O136" s="15">
        <v>4.1283299907599442</v>
      </c>
      <c r="P136" s="15">
        <v>3</v>
      </c>
      <c r="Q136" s="15">
        <v>4.1921593680073661</v>
      </c>
      <c r="R136" s="15">
        <v>3</v>
      </c>
      <c r="S136" s="15">
        <v>4.3147073142595351</v>
      </c>
      <c r="T136" s="15">
        <v>3</v>
      </c>
      <c r="U136" s="15">
        <v>3</v>
      </c>
      <c r="V136" s="15">
        <v>5</v>
      </c>
      <c r="W136" s="15">
        <v>4.8917999267578116</v>
      </c>
      <c r="X136" s="15">
        <v>3</v>
      </c>
      <c r="Y136" s="15">
        <v>3.9671162130832012</v>
      </c>
      <c r="Z136" s="15">
        <v>3</v>
      </c>
      <c r="AA136" s="15">
        <v>3.9867873191833501</v>
      </c>
      <c r="AB136" s="15">
        <v>3</v>
      </c>
      <c r="AC136" s="15">
        <v>3.5024999999999999</v>
      </c>
      <c r="AD136" s="15">
        <v>3</v>
      </c>
      <c r="AE136" s="15">
        <v>3.5445714285714289</v>
      </c>
    </row>
    <row r="137" spans="2:31" x14ac:dyDescent="0.2">
      <c r="B137" s="15">
        <v>5</v>
      </c>
      <c r="C137" s="15">
        <v>4.5770706789694859</v>
      </c>
      <c r="D137" s="15">
        <v>5</v>
      </c>
      <c r="E137" s="15">
        <v>4.72</v>
      </c>
      <c r="F137" s="15">
        <v>5</v>
      </c>
      <c r="G137" s="15">
        <v>4.7668364714954867</v>
      </c>
      <c r="H137" s="15">
        <v>5</v>
      </c>
      <c r="I137" s="15">
        <v>4.7049649999999996</v>
      </c>
      <c r="J137" s="15">
        <v>5</v>
      </c>
      <c r="K137" s="15">
        <v>4.5770706789694859</v>
      </c>
      <c r="L137" s="15">
        <v>5</v>
      </c>
      <c r="M137" s="15">
        <v>4.6177241740954376</v>
      </c>
      <c r="N137" s="15">
        <v>5</v>
      </c>
      <c r="O137" s="15">
        <v>3.3075551388512099</v>
      </c>
      <c r="P137" s="15">
        <v>5</v>
      </c>
      <c r="Q137" s="15">
        <v>3.597516548723489</v>
      </c>
      <c r="R137" s="15">
        <v>5</v>
      </c>
      <c r="S137" s="15">
        <v>3.001845500650103</v>
      </c>
      <c r="T137" s="15">
        <v>5</v>
      </c>
      <c r="U137" s="15">
        <v>5</v>
      </c>
      <c r="V137" s="15">
        <v>2</v>
      </c>
      <c r="W137" s="15">
        <v>3.5635156631469731</v>
      </c>
      <c r="X137" s="15">
        <v>5</v>
      </c>
      <c r="Y137" s="15">
        <v>3.4169829894694872</v>
      </c>
      <c r="Z137" s="15">
        <v>5</v>
      </c>
      <c r="AA137" s="15">
        <v>3.6150753498077388</v>
      </c>
      <c r="AB137" s="15">
        <v>5</v>
      </c>
      <c r="AC137" s="15">
        <v>4.6037380952380946</v>
      </c>
      <c r="AD137" s="15">
        <v>5</v>
      </c>
      <c r="AE137" s="15">
        <v>4.1749126984126983</v>
      </c>
    </row>
    <row r="138" spans="2:31" x14ac:dyDescent="0.2">
      <c r="B138" s="15">
        <v>1</v>
      </c>
      <c r="C138" s="15">
        <v>3.474864416253876</v>
      </c>
      <c r="D138" s="15">
        <v>1</v>
      </c>
      <c r="E138" s="15">
        <v>3.68</v>
      </c>
      <c r="F138" s="15">
        <v>1</v>
      </c>
      <c r="G138" s="15">
        <v>3.5629157026501939</v>
      </c>
      <c r="H138" s="15">
        <v>1</v>
      </c>
      <c r="I138" s="15">
        <v>3.7262590000000002</v>
      </c>
      <c r="J138" s="15">
        <v>1</v>
      </c>
      <c r="K138" s="15">
        <v>3.474864416253876</v>
      </c>
      <c r="L138" s="15">
        <v>1</v>
      </c>
      <c r="M138" s="15">
        <v>3.7283003633427532</v>
      </c>
      <c r="N138" s="15">
        <v>1</v>
      </c>
      <c r="O138" s="15">
        <v>4.2648847470964677</v>
      </c>
      <c r="P138" s="15">
        <v>1</v>
      </c>
      <c r="Q138" s="15">
        <v>3.4380212937163792</v>
      </c>
      <c r="R138" s="15">
        <v>1</v>
      </c>
      <c r="S138" s="15">
        <v>3.3321915599673821</v>
      </c>
      <c r="T138" s="15">
        <v>1</v>
      </c>
      <c r="U138" s="15">
        <v>1</v>
      </c>
      <c r="V138" s="15">
        <v>5</v>
      </c>
      <c r="W138" s="15">
        <v>4.4464340209960938</v>
      </c>
      <c r="X138" s="15">
        <v>1</v>
      </c>
      <c r="Y138" s="15">
        <v>3.5688609599840699</v>
      </c>
      <c r="Z138" s="15">
        <v>1</v>
      </c>
      <c r="AA138" s="15">
        <v>3.928032398223877</v>
      </c>
      <c r="AB138" s="15">
        <v>1</v>
      </c>
      <c r="AC138" s="15">
        <v>1.587018398268399</v>
      </c>
      <c r="AD138" s="15">
        <v>1</v>
      </c>
      <c r="AE138" s="15">
        <v>1.490345238095238</v>
      </c>
    </row>
    <row r="139" spans="2:31" x14ac:dyDescent="0.2">
      <c r="B139" s="15">
        <v>5</v>
      </c>
      <c r="C139" s="15">
        <v>4.1450224168204493</v>
      </c>
      <c r="D139" s="15">
        <v>5</v>
      </c>
      <c r="E139" s="15">
        <v>4.3499999999999996</v>
      </c>
      <c r="F139" s="15">
        <v>5</v>
      </c>
      <c r="G139" s="15">
        <v>4.3426999997535072</v>
      </c>
      <c r="H139" s="15">
        <v>5</v>
      </c>
      <c r="I139" s="15">
        <v>3.9965269999999999</v>
      </c>
      <c r="J139" s="15">
        <v>5</v>
      </c>
      <c r="K139" s="15">
        <v>4.1450224168204493</v>
      </c>
      <c r="L139" s="15">
        <v>5</v>
      </c>
      <c r="M139" s="15">
        <v>4.2202020202020201</v>
      </c>
      <c r="N139" s="15">
        <v>5</v>
      </c>
      <c r="O139" s="15">
        <v>4.4023021108367786</v>
      </c>
      <c r="P139" s="15">
        <v>5</v>
      </c>
      <c r="Q139" s="15">
        <v>4.0554132165620151</v>
      </c>
      <c r="R139" s="15">
        <v>5</v>
      </c>
      <c r="S139" s="15">
        <v>3.99132840058925</v>
      </c>
      <c r="T139" s="15">
        <v>5</v>
      </c>
      <c r="U139" s="15">
        <v>5</v>
      </c>
      <c r="V139" s="15">
        <v>1</v>
      </c>
      <c r="W139" s="15">
        <v>1.8676871061325071</v>
      </c>
      <c r="X139" s="15">
        <v>5</v>
      </c>
      <c r="Y139" s="15">
        <v>4.2308183902660792</v>
      </c>
      <c r="Z139" s="15">
        <v>5</v>
      </c>
      <c r="AA139" s="15">
        <v>4.2500247955322266</v>
      </c>
      <c r="AB139" s="15">
        <v>5</v>
      </c>
      <c r="AC139" s="15">
        <v>4.6590595238095229</v>
      </c>
      <c r="AD139" s="15">
        <v>5</v>
      </c>
      <c r="AE139" s="15">
        <v>4.6383888888888887</v>
      </c>
    </row>
    <row r="140" spans="2:31" x14ac:dyDescent="0.2">
      <c r="B140" s="15">
        <v>4</v>
      </c>
      <c r="C140" s="15">
        <v>3.8595048448061919</v>
      </c>
      <c r="D140" s="15">
        <v>4</v>
      </c>
      <c r="E140" s="15">
        <v>3.43</v>
      </c>
      <c r="F140" s="15">
        <v>4</v>
      </c>
      <c r="G140" s="15">
        <v>3.7154214783944899</v>
      </c>
      <c r="H140" s="15">
        <v>4</v>
      </c>
      <c r="I140" s="15">
        <v>3.7660054999999999</v>
      </c>
      <c r="J140" s="15">
        <v>4</v>
      </c>
      <c r="K140" s="15">
        <v>3.859504844806191</v>
      </c>
      <c r="L140" s="15">
        <v>4</v>
      </c>
      <c r="M140" s="15">
        <v>3.4732775273663878</v>
      </c>
      <c r="N140" s="15">
        <v>4</v>
      </c>
      <c r="O140" s="15">
        <v>4.2130185997175751</v>
      </c>
      <c r="P140" s="15">
        <v>4</v>
      </c>
      <c r="Q140" s="15">
        <v>4.2159957355163593</v>
      </c>
      <c r="R140" s="15">
        <v>4</v>
      </c>
      <c r="S140" s="15">
        <v>4.1617281223180367</v>
      </c>
      <c r="T140" s="15">
        <v>4</v>
      </c>
      <c r="U140" s="15">
        <v>4</v>
      </c>
      <c r="V140" s="15">
        <v>3</v>
      </c>
      <c r="W140" s="15">
        <v>2.5451498031616211</v>
      </c>
      <c r="X140" s="15">
        <v>4</v>
      </c>
      <c r="Y140" s="15">
        <v>3.9913538594822868</v>
      </c>
      <c r="Z140" s="15">
        <v>4</v>
      </c>
      <c r="AA140" s="15">
        <v>3.821685791015625</v>
      </c>
      <c r="AB140" s="15">
        <v>4</v>
      </c>
      <c r="AC140" s="15">
        <v>3.937071428571429</v>
      </c>
      <c r="AD140" s="15">
        <v>4</v>
      </c>
      <c r="AE140" s="15">
        <v>4.1166666666666671</v>
      </c>
    </row>
    <row r="141" spans="2:31" x14ac:dyDescent="0.2">
      <c r="B141" s="15">
        <v>4</v>
      </c>
      <c r="C141" s="15">
        <v>3.4275869352810719</v>
      </c>
      <c r="D141" s="15">
        <v>4</v>
      </c>
      <c r="E141" s="15">
        <v>3.6</v>
      </c>
      <c r="F141" s="15">
        <v>4</v>
      </c>
      <c r="G141" s="15">
        <v>3.2223521814544411</v>
      </c>
      <c r="H141" s="15">
        <v>4</v>
      </c>
      <c r="I141" s="15">
        <v>3.2540714999999998</v>
      </c>
      <c r="J141" s="15">
        <v>4</v>
      </c>
      <c r="K141" s="15">
        <v>3.4275869352810719</v>
      </c>
      <c r="L141" s="15">
        <v>4</v>
      </c>
      <c r="M141" s="15">
        <v>3.2632103688933198</v>
      </c>
      <c r="N141" s="15">
        <v>4</v>
      </c>
      <c r="O141" s="15">
        <v>3.2666506875866599</v>
      </c>
      <c r="P141" s="15">
        <v>4</v>
      </c>
      <c r="Q141" s="15">
        <v>3.350481767760126</v>
      </c>
      <c r="R141" s="15">
        <v>4</v>
      </c>
      <c r="S141" s="15">
        <v>3.145704808013027</v>
      </c>
      <c r="T141" s="15">
        <v>4</v>
      </c>
      <c r="U141" s="15">
        <v>4</v>
      </c>
      <c r="V141" s="15">
        <v>5</v>
      </c>
      <c r="W141" s="15">
        <v>5.038884162902832</v>
      </c>
      <c r="X141" s="15">
        <v>4</v>
      </c>
      <c r="Y141" s="15">
        <v>3.0339756786963901</v>
      </c>
      <c r="Z141" s="15">
        <v>4</v>
      </c>
      <c r="AA141" s="15">
        <v>2.962830781936646</v>
      </c>
      <c r="AB141" s="15">
        <v>4</v>
      </c>
      <c r="AC141" s="15">
        <v>3.514654761904763</v>
      </c>
      <c r="AD141" s="15">
        <v>4</v>
      </c>
      <c r="AE141" s="15">
        <v>3.802337301587301</v>
      </c>
    </row>
    <row r="142" spans="2:31" x14ac:dyDescent="0.2">
      <c r="B142" s="15">
        <v>4</v>
      </c>
      <c r="C142" s="15">
        <v>3.734139215382752</v>
      </c>
      <c r="D142" s="15">
        <v>4</v>
      </c>
      <c r="E142" s="15">
        <v>3.94</v>
      </c>
      <c r="F142" s="15">
        <v>4</v>
      </c>
      <c r="G142" s="15">
        <v>3.7323856245992681</v>
      </c>
      <c r="H142" s="15">
        <v>4</v>
      </c>
      <c r="I142" s="15">
        <v>3.6931155000000002</v>
      </c>
      <c r="J142" s="15">
        <v>4</v>
      </c>
      <c r="K142" s="15">
        <v>3.734139215382752</v>
      </c>
      <c r="L142" s="15">
        <v>4</v>
      </c>
      <c r="M142" s="15">
        <v>4.0956156716417906</v>
      </c>
      <c r="N142" s="15">
        <v>4</v>
      </c>
      <c r="O142" s="15">
        <v>3.336343849932097</v>
      </c>
      <c r="P142" s="15">
        <v>4</v>
      </c>
      <c r="Q142" s="15">
        <v>3.1788887616017329</v>
      </c>
      <c r="R142" s="15">
        <v>4</v>
      </c>
      <c r="S142" s="15">
        <v>3.123398739559573</v>
      </c>
      <c r="T142" s="15">
        <v>4</v>
      </c>
      <c r="U142" s="15">
        <v>4</v>
      </c>
      <c r="V142" s="15">
        <v>1</v>
      </c>
      <c r="W142" s="15">
        <v>2.618808269500732</v>
      </c>
      <c r="X142" s="15">
        <v>4</v>
      </c>
      <c r="Y142" s="15">
        <v>3.3624894921858002</v>
      </c>
      <c r="Z142" s="15">
        <v>4</v>
      </c>
      <c r="AA142" s="15">
        <v>3.3645172119140621</v>
      </c>
      <c r="AB142" s="15">
        <v>4</v>
      </c>
      <c r="AC142" s="15">
        <v>3.6110238095238092</v>
      </c>
      <c r="AD142" s="15">
        <v>4</v>
      </c>
      <c r="AE142" s="15">
        <v>3.603071428571428</v>
      </c>
    </row>
    <row r="143" spans="2:31" x14ac:dyDescent="0.2">
      <c r="B143" s="15">
        <v>3</v>
      </c>
      <c r="C143" s="15">
        <v>3.830978040099577</v>
      </c>
      <c r="D143" s="15">
        <v>3</v>
      </c>
      <c r="E143" s="15">
        <v>3.85</v>
      </c>
      <c r="F143" s="15">
        <v>3</v>
      </c>
      <c r="G143" s="15">
        <v>3.933896375377762</v>
      </c>
      <c r="H143" s="15">
        <v>3</v>
      </c>
      <c r="I143" s="15">
        <v>3.8846326000000002</v>
      </c>
      <c r="J143" s="15">
        <v>3</v>
      </c>
      <c r="K143" s="15">
        <v>3.830978040099577</v>
      </c>
      <c r="L143" s="15">
        <v>3</v>
      </c>
      <c r="M143" s="15">
        <v>3.766025641025641</v>
      </c>
      <c r="N143" s="15">
        <v>3</v>
      </c>
      <c r="O143" s="15">
        <v>3.1056379574778208</v>
      </c>
      <c r="P143" s="15">
        <v>3</v>
      </c>
      <c r="Q143" s="15">
        <v>3.2567057209071129</v>
      </c>
      <c r="R143" s="15">
        <v>3</v>
      </c>
      <c r="S143" s="15">
        <v>3.46762972549713</v>
      </c>
      <c r="T143" s="15">
        <v>3</v>
      </c>
      <c r="U143" s="15">
        <v>3</v>
      </c>
      <c r="V143" s="15">
        <v>3</v>
      </c>
      <c r="W143" s="15">
        <v>4.115790843963623</v>
      </c>
      <c r="X143" s="15">
        <v>3</v>
      </c>
      <c r="Y143" s="15">
        <v>3.097623997633637</v>
      </c>
      <c r="Z143" s="15">
        <v>3</v>
      </c>
      <c r="AA143" s="15">
        <v>2.9281690120697021</v>
      </c>
      <c r="AB143" s="15">
        <v>3</v>
      </c>
      <c r="AC143" s="15">
        <v>3.118650432900433</v>
      </c>
      <c r="AD143" s="15">
        <v>3</v>
      </c>
      <c r="AE143" s="15">
        <v>3.164059523809525</v>
      </c>
    </row>
    <row r="144" spans="2:31" x14ac:dyDescent="0.2">
      <c r="B144" s="15">
        <v>1</v>
      </c>
      <c r="C144" s="15">
        <v>2.3356770596121739</v>
      </c>
      <c r="D144" s="15">
        <v>1</v>
      </c>
      <c r="E144" s="15">
        <v>1.58</v>
      </c>
      <c r="F144" s="15">
        <v>1</v>
      </c>
      <c r="G144" s="15">
        <v>1.619640143345197</v>
      </c>
      <c r="H144" s="15">
        <v>1</v>
      </c>
      <c r="I144" s="15">
        <v>1.8275272</v>
      </c>
      <c r="J144" s="15">
        <v>1</v>
      </c>
      <c r="K144" s="15">
        <v>2.3356770596121739</v>
      </c>
      <c r="L144" s="15">
        <v>1</v>
      </c>
      <c r="M144" s="15">
        <v>1.6890756302521011</v>
      </c>
      <c r="N144" s="15">
        <v>1</v>
      </c>
      <c r="O144" s="15">
        <v>2.723751604071774</v>
      </c>
      <c r="P144" s="15">
        <v>1</v>
      </c>
      <c r="Q144" s="15">
        <v>1.5113539849182309</v>
      </c>
      <c r="R144" s="15">
        <v>1</v>
      </c>
      <c r="S144" s="15">
        <v>2.3041090836021461</v>
      </c>
      <c r="T144" s="15">
        <v>1</v>
      </c>
      <c r="U144" s="15">
        <v>1</v>
      </c>
      <c r="V144" s="15">
        <v>4</v>
      </c>
      <c r="W144" s="15">
        <v>3.664243221282959</v>
      </c>
      <c r="X144" s="15">
        <v>1</v>
      </c>
      <c r="Y144" s="15">
        <v>1.849033033004633</v>
      </c>
      <c r="Z144" s="15">
        <v>1</v>
      </c>
      <c r="AA144" s="15">
        <v>1.5212545394897461</v>
      </c>
      <c r="AB144" s="15">
        <v>1</v>
      </c>
      <c r="AC144" s="15">
        <v>1.26875</v>
      </c>
      <c r="AD144" s="15">
        <v>1</v>
      </c>
      <c r="AE144" s="15">
        <v>1.522023809523809</v>
      </c>
    </row>
    <row r="145" spans="2:31" x14ac:dyDescent="0.2">
      <c r="B145" s="15">
        <v>3</v>
      </c>
      <c r="C145" s="15">
        <v>3.7600176891053869</v>
      </c>
      <c r="D145" s="15">
        <v>3</v>
      </c>
      <c r="E145" s="15">
        <v>3.37</v>
      </c>
      <c r="F145" s="15">
        <v>3</v>
      </c>
      <c r="G145" s="15">
        <v>4.016191205105069</v>
      </c>
      <c r="H145" s="15">
        <v>3</v>
      </c>
      <c r="I145" s="15">
        <v>3.9475235999999998</v>
      </c>
      <c r="J145" s="15">
        <v>3</v>
      </c>
      <c r="K145" s="15">
        <v>3.7600176891053869</v>
      </c>
      <c r="L145" s="15">
        <v>3</v>
      </c>
      <c r="M145" s="15">
        <v>4.2791702679343127</v>
      </c>
      <c r="N145" s="15">
        <v>3</v>
      </c>
      <c r="O145" s="15">
        <v>3.4236925238776301</v>
      </c>
      <c r="P145" s="15">
        <v>3</v>
      </c>
      <c r="Q145" s="15">
        <v>2.8992425903333991</v>
      </c>
      <c r="R145" s="15">
        <v>3</v>
      </c>
      <c r="S145" s="15">
        <v>2.929881420597038</v>
      </c>
      <c r="T145" s="15">
        <v>3</v>
      </c>
      <c r="U145" s="15">
        <v>3</v>
      </c>
      <c r="V145" s="15">
        <v>5</v>
      </c>
      <c r="W145" s="15">
        <v>3.9181723594665532</v>
      </c>
      <c r="X145" s="15">
        <v>3</v>
      </c>
      <c r="Y145" s="15">
        <v>3.1882005326136089</v>
      </c>
      <c r="Z145" s="15">
        <v>3</v>
      </c>
      <c r="AA145" s="15">
        <v>2.8550257682800289</v>
      </c>
      <c r="AB145" s="15">
        <v>3</v>
      </c>
      <c r="AC145" s="15">
        <v>2.9245595238095241</v>
      </c>
      <c r="AD145" s="15">
        <v>3</v>
      </c>
      <c r="AE145" s="15">
        <v>3.067333333333333</v>
      </c>
    </row>
    <row r="146" spans="2:31" x14ac:dyDescent="0.2">
      <c r="B146" s="15">
        <v>1</v>
      </c>
      <c r="C146" s="15">
        <v>3.343520128501523</v>
      </c>
      <c r="D146" s="15">
        <v>1</v>
      </c>
      <c r="E146" s="15">
        <v>2.15</v>
      </c>
      <c r="F146" s="15">
        <v>1</v>
      </c>
      <c r="G146" s="15">
        <v>2.4172280308134031</v>
      </c>
      <c r="H146" s="15">
        <v>1</v>
      </c>
      <c r="I146" s="15">
        <v>2.0184855000000002</v>
      </c>
      <c r="J146" s="15">
        <v>1</v>
      </c>
      <c r="K146" s="15">
        <v>3.343520128501523</v>
      </c>
      <c r="L146" s="15">
        <v>1</v>
      </c>
      <c r="M146" s="15">
        <v>2.1582278481012662</v>
      </c>
      <c r="N146" s="15">
        <v>1</v>
      </c>
      <c r="O146" s="15">
        <v>3.148349623858659</v>
      </c>
      <c r="P146" s="15">
        <v>1</v>
      </c>
      <c r="Q146" s="15">
        <v>2.4954709597989151</v>
      </c>
      <c r="R146" s="15">
        <v>1</v>
      </c>
      <c r="S146" s="15">
        <v>2.5288770044816551</v>
      </c>
      <c r="T146" s="15">
        <v>1</v>
      </c>
      <c r="U146" s="15">
        <v>1</v>
      </c>
      <c r="V146" s="15">
        <v>1</v>
      </c>
      <c r="W146" s="15">
        <v>2.551547527313232</v>
      </c>
      <c r="X146" s="15">
        <v>1</v>
      </c>
      <c r="Y146" s="15">
        <v>2.782852357324384</v>
      </c>
      <c r="Z146" s="15">
        <v>1</v>
      </c>
      <c r="AA146" s="15">
        <v>2.6114096641540532</v>
      </c>
      <c r="AB146" s="15">
        <v>1</v>
      </c>
      <c r="AC146" s="15">
        <v>1.533333333333333</v>
      </c>
      <c r="AD146" s="15">
        <v>1</v>
      </c>
      <c r="AE146" s="15">
        <v>1.7105833333333329</v>
      </c>
    </row>
    <row r="147" spans="2:31" x14ac:dyDescent="0.2">
      <c r="B147" s="15">
        <v>5</v>
      </c>
      <c r="C147" s="15">
        <v>3.9402962499894572</v>
      </c>
      <c r="D147" s="15">
        <v>5</v>
      </c>
      <c r="E147" s="15">
        <v>4.3899999999999997</v>
      </c>
      <c r="F147" s="15">
        <v>5</v>
      </c>
      <c r="G147" s="15">
        <v>4.250149632348676</v>
      </c>
      <c r="H147" s="15">
        <v>5</v>
      </c>
      <c r="I147" s="15">
        <v>4.2705669999999998</v>
      </c>
      <c r="J147" s="15">
        <v>5</v>
      </c>
      <c r="K147" s="15">
        <v>3.9402962499894572</v>
      </c>
      <c r="L147" s="15">
        <v>5</v>
      </c>
      <c r="M147" s="15">
        <v>4.1486227721313886</v>
      </c>
      <c r="N147" s="15">
        <v>5</v>
      </c>
      <c r="O147" s="15">
        <v>4.0476820076535462</v>
      </c>
      <c r="P147" s="15">
        <v>5</v>
      </c>
      <c r="Q147" s="15">
        <v>4.5850144389097718</v>
      </c>
      <c r="R147" s="15">
        <v>5</v>
      </c>
      <c r="S147" s="15">
        <v>4.6259054213791044</v>
      </c>
      <c r="T147" s="15">
        <v>5</v>
      </c>
      <c r="U147" s="15">
        <v>5</v>
      </c>
      <c r="V147" s="15">
        <v>4</v>
      </c>
      <c r="W147" s="15">
        <v>4.3446121215820312</v>
      </c>
      <c r="X147" s="15">
        <v>5</v>
      </c>
      <c r="Y147" s="15">
        <v>4.4694832575049954</v>
      </c>
      <c r="Z147" s="15">
        <v>5</v>
      </c>
      <c r="AA147" s="15">
        <v>4.4680342674255371</v>
      </c>
      <c r="AB147" s="15">
        <v>5</v>
      </c>
      <c r="AC147" s="15">
        <v>4.7805</v>
      </c>
      <c r="AD147" s="15">
        <v>5</v>
      </c>
      <c r="AE147" s="15">
        <v>4.8168333333333333</v>
      </c>
    </row>
    <row r="148" spans="2:31" x14ac:dyDescent="0.2">
      <c r="B148" s="15">
        <v>4</v>
      </c>
      <c r="C148" s="15">
        <v>3.696410952185329</v>
      </c>
      <c r="D148" s="15">
        <v>4</v>
      </c>
      <c r="E148" s="15">
        <v>4.09</v>
      </c>
      <c r="F148" s="15">
        <v>4</v>
      </c>
      <c r="G148" s="15">
        <v>4.1171609820314474</v>
      </c>
      <c r="H148" s="15">
        <v>4</v>
      </c>
      <c r="I148" s="15">
        <v>3.8888351999999999</v>
      </c>
      <c r="J148" s="15">
        <v>4</v>
      </c>
      <c r="K148" s="15">
        <v>3.696410952185329</v>
      </c>
      <c r="L148" s="15">
        <v>4</v>
      </c>
      <c r="M148" s="15">
        <v>3.9747958821441252</v>
      </c>
      <c r="N148" s="15">
        <v>4</v>
      </c>
      <c r="O148" s="15">
        <v>4.2002074188537781</v>
      </c>
      <c r="P148" s="15">
        <v>4</v>
      </c>
      <c r="Q148" s="15">
        <v>3.7420767296350661</v>
      </c>
      <c r="R148" s="15">
        <v>4</v>
      </c>
      <c r="S148" s="15">
        <v>3.703084133047994</v>
      </c>
      <c r="T148" s="15">
        <v>4</v>
      </c>
      <c r="U148" s="15">
        <v>4</v>
      </c>
      <c r="V148" s="15">
        <v>3</v>
      </c>
      <c r="W148" s="15">
        <v>2.4394123554229741</v>
      </c>
      <c r="X148" s="15">
        <v>4</v>
      </c>
      <c r="Y148" s="15">
        <v>4.1247098028462474</v>
      </c>
      <c r="Z148" s="15">
        <v>4</v>
      </c>
      <c r="AA148" s="15">
        <v>3.8726198673248291</v>
      </c>
      <c r="AB148" s="15">
        <v>4</v>
      </c>
      <c r="AC148" s="15">
        <v>4.0341666666666667</v>
      </c>
      <c r="AD148" s="15">
        <v>4</v>
      </c>
      <c r="AE148" s="15">
        <v>3.7600555555555548</v>
      </c>
    </row>
    <row r="149" spans="2:31" x14ac:dyDescent="0.2">
      <c r="B149" s="15">
        <v>3</v>
      </c>
      <c r="C149" s="15">
        <v>3.0663335261257232</v>
      </c>
      <c r="D149" s="15">
        <v>3</v>
      </c>
      <c r="E149" s="15">
        <v>1.9</v>
      </c>
      <c r="F149" s="15">
        <v>3</v>
      </c>
      <c r="G149" s="15">
        <v>1.715426240614131</v>
      </c>
      <c r="H149" s="15">
        <v>3</v>
      </c>
      <c r="I149" s="15">
        <v>1.7524172</v>
      </c>
      <c r="J149" s="15">
        <v>3</v>
      </c>
      <c r="K149" s="15">
        <v>3.0663335261257232</v>
      </c>
      <c r="L149" s="15">
        <v>3</v>
      </c>
      <c r="M149" s="15">
        <v>1.685589519650655</v>
      </c>
      <c r="N149" s="15">
        <v>3</v>
      </c>
      <c r="O149" s="15">
        <v>3.0826106574019678</v>
      </c>
      <c r="P149" s="15">
        <v>3</v>
      </c>
      <c r="Q149" s="15">
        <v>3.0454728637187758</v>
      </c>
      <c r="R149" s="15">
        <v>3</v>
      </c>
      <c r="S149" s="15">
        <v>3.1208828623001899</v>
      </c>
      <c r="T149" s="15">
        <v>3</v>
      </c>
      <c r="U149" s="15">
        <v>3</v>
      </c>
      <c r="V149" s="15">
        <v>4</v>
      </c>
      <c r="W149" s="15">
        <v>4.150151252746582</v>
      </c>
      <c r="X149" s="15">
        <v>3</v>
      </c>
      <c r="Y149" s="15">
        <v>3.0740720228978629</v>
      </c>
      <c r="Z149" s="15">
        <v>3</v>
      </c>
      <c r="AA149" s="15">
        <v>2.7860386371612549</v>
      </c>
      <c r="AB149" s="15">
        <v>3</v>
      </c>
      <c r="AC149" s="15">
        <v>2.6046428571428568</v>
      </c>
      <c r="AD149" s="15">
        <v>3</v>
      </c>
      <c r="AE149" s="15">
        <v>3.1751785714285718</v>
      </c>
    </row>
    <row r="150" spans="2:31" x14ac:dyDescent="0.2">
      <c r="B150" s="15">
        <v>5</v>
      </c>
      <c r="C150" s="15">
        <v>3.8077634454640759</v>
      </c>
      <c r="D150" s="15">
        <v>5</v>
      </c>
      <c r="E150" s="15">
        <v>3.91</v>
      </c>
      <c r="F150" s="15">
        <v>5</v>
      </c>
      <c r="G150" s="15">
        <v>4.1492954669365147</v>
      </c>
      <c r="H150" s="15">
        <v>5</v>
      </c>
      <c r="I150" s="15">
        <v>4.0616263999999997</v>
      </c>
      <c r="J150" s="15">
        <v>5</v>
      </c>
      <c r="K150" s="15">
        <v>3.8077634454640759</v>
      </c>
      <c r="L150" s="15">
        <v>5</v>
      </c>
      <c r="M150" s="15">
        <v>4.0956156716417906</v>
      </c>
      <c r="N150" s="15">
        <v>5</v>
      </c>
      <c r="O150" s="15">
        <v>2.8561345157112892</v>
      </c>
      <c r="P150" s="15">
        <v>5</v>
      </c>
      <c r="Q150" s="15">
        <v>3.3840421373585592</v>
      </c>
      <c r="R150" s="15">
        <v>5</v>
      </c>
      <c r="S150" s="15">
        <v>3.3707279664311831</v>
      </c>
      <c r="T150" s="15">
        <v>5</v>
      </c>
      <c r="U150" s="15">
        <v>5</v>
      </c>
      <c r="V150" s="15">
        <v>4</v>
      </c>
      <c r="W150" s="15">
        <v>3.268832683563232</v>
      </c>
      <c r="X150" s="15">
        <v>5</v>
      </c>
      <c r="Y150" s="15">
        <v>3.231563868110682</v>
      </c>
      <c r="Z150" s="15">
        <v>5</v>
      </c>
      <c r="AA150" s="15">
        <v>3.5848593711853032</v>
      </c>
      <c r="AB150" s="15">
        <v>5</v>
      </c>
      <c r="AC150" s="15">
        <v>4.5898214285714278</v>
      </c>
      <c r="AD150" s="15">
        <v>5</v>
      </c>
      <c r="AE150" s="15">
        <v>4.5247142857142846</v>
      </c>
    </row>
    <row r="151" spans="2:31" x14ac:dyDescent="0.2">
      <c r="B151" s="15">
        <v>4</v>
      </c>
      <c r="C151" s="15">
        <v>3.9274233680207971</v>
      </c>
      <c r="D151" s="15">
        <v>4</v>
      </c>
      <c r="E151" s="15">
        <v>3.79</v>
      </c>
      <c r="F151" s="15">
        <v>4</v>
      </c>
      <c r="G151" s="15">
        <v>3.7668132353818251</v>
      </c>
      <c r="H151" s="15">
        <v>4</v>
      </c>
      <c r="I151" s="15">
        <v>3.7914835999999998</v>
      </c>
      <c r="J151" s="15">
        <v>4</v>
      </c>
      <c r="K151" s="15">
        <v>3.9274233680207971</v>
      </c>
      <c r="L151" s="15">
        <v>4</v>
      </c>
      <c r="M151" s="15">
        <v>3.7917898193760262</v>
      </c>
      <c r="N151" s="15">
        <v>4</v>
      </c>
      <c r="O151" s="15">
        <v>3.3472295088447721</v>
      </c>
      <c r="P151" s="15">
        <v>4</v>
      </c>
      <c r="Q151" s="15">
        <v>3.1235154981258009</v>
      </c>
      <c r="R151" s="15">
        <v>4</v>
      </c>
      <c r="S151" s="15">
        <v>3.1346043427853161</v>
      </c>
      <c r="T151" s="15">
        <v>4</v>
      </c>
      <c r="U151" s="15">
        <v>4</v>
      </c>
      <c r="V151" s="15">
        <v>3</v>
      </c>
      <c r="W151" s="15">
        <v>3.185203075408936</v>
      </c>
      <c r="X151" s="15">
        <v>4</v>
      </c>
      <c r="Y151" s="15">
        <v>3.6652568194363631</v>
      </c>
      <c r="Z151" s="15">
        <v>4</v>
      </c>
      <c r="AA151" s="15">
        <v>3.4930763244628911</v>
      </c>
      <c r="AB151" s="15">
        <v>4</v>
      </c>
      <c r="AC151" s="15">
        <v>3.7635357142857151</v>
      </c>
      <c r="AD151" s="15">
        <v>4</v>
      </c>
      <c r="AE151" s="15">
        <v>3.7940000000000009</v>
      </c>
    </row>
    <row r="152" spans="2:31" x14ac:dyDescent="0.2">
      <c r="B152" s="15">
        <v>3</v>
      </c>
      <c r="C152" s="15">
        <v>3.3817980301350228</v>
      </c>
      <c r="D152" s="15">
        <v>3</v>
      </c>
      <c r="E152" s="15">
        <v>2.48</v>
      </c>
      <c r="F152" s="15">
        <v>3</v>
      </c>
      <c r="G152" s="15">
        <v>2.4532308905197251</v>
      </c>
      <c r="H152" s="15">
        <v>3</v>
      </c>
      <c r="I152" s="15">
        <v>2.5145578</v>
      </c>
      <c r="J152" s="15">
        <v>3</v>
      </c>
      <c r="K152" s="15">
        <v>3.3817980301350228</v>
      </c>
      <c r="L152" s="15">
        <v>3</v>
      </c>
      <c r="M152" s="15">
        <v>2.3134796238244508</v>
      </c>
      <c r="N152" s="15">
        <v>3</v>
      </c>
      <c r="O152" s="15">
        <v>3.619509188372418</v>
      </c>
      <c r="P152" s="15">
        <v>3</v>
      </c>
      <c r="Q152" s="15">
        <v>3.349914796321217</v>
      </c>
      <c r="R152" s="15">
        <v>3</v>
      </c>
      <c r="S152" s="15">
        <v>3.557040167992918</v>
      </c>
      <c r="T152" s="15">
        <v>3</v>
      </c>
      <c r="U152" s="15">
        <v>3</v>
      </c>
      <c r="V152" s="15">
        <v>3</v>
      </c>
      <c r="W152" s="15">
        <v>2.827895879745483</v>
      </c>
      <c r="X152" s="15">
        <v>3</v>
      </c>
      <c r="Y152" s="15">
        <v>3.556654596082562</v>
      </c>
      <c r="Z152" s="15">
        <v>3</v>
      </c>
      <c r="AA152" s="15">
        <v>3.5885546207427979</v>
      </c>
      <c r="AB152" s="15">
        <v>3</v>
      </c>
      <c r="AC152" s="15">
        <v>2.906571428571429</v>
      </c>
      <c r="AD152" s="15">
        <v>3</v>
      </c>
      <c r="AE152" s="15">
        <v>3.2370000000000001</v>
      </c>
    </row>
    <row r="153" spans="2:31" x14ac:dyDescent="0.2">
      <c r="B153" s="15">
        <v>5</v>
      </c>
      <c r="C153" s="15">
        <v>4.0088087440684221</v>
      </c>
      <c r="D153" s="15">
        <v>5</v>
      </c>
      <c r="E153" s="15">
        <v>4.42</v>
      </c>
      <c r="F153" s="15">
        <v>5</v>
      </c>
      <c r="G153" s="15">
        <v>4.6901608969402027</v>
      </c>
      <c r="H153" s="15">
        <v>5</v>
      </c>
      <c r="I153" s="15">
        <v>4.6571736000000001</v>
      </c>
      <c r="J153" s="15">
        <v>5</v>
      </c>
      <c r="K153" s="15">
        <v>4.0088087440684221</v>
      </c>
      <c r="L153" s="15">
        <v>5</v>
      </c>
      <c r="M153" s="15">
        <v>4.6670435274166193</v>
      </c>
      <c r="N153" s="15">
        <v>5</v>
      </c>
      <c r="O153" s="15">
        <v>4.1241627327251349</v>
      </c>
      <c r="P153" s="15">
        <v>5</v>
      </c>
      <c r="Q153" s="15">
        <v>4.923797633400639</v>
      </c>
      <c r="R153" s="15">
        <v>5</v>
      </c>
      <c r="S153" s="15">
        <v>4.8705649404768092</v>
      </c>
      <c r="T153" s="15">
        <v>5</v>
      </c>
      <c r="U153" s="15">
        <v>5</v>
      </c>
      <c r="V153" s="15">
        <v>1</v>
      </c>
      <c r="W153" s="15">
        <v>0.78229063749313354</v>
      </c>
      <c r="X153" s="15">
        <v>5</v>
      </c>
      <c r="Y153" s="15">
        <v>4.7001303162790871</v>
      </c>
      <c r="Z153" s="15">
        <v>5</v>
      </c>
      <c r="AA153" s="15">
        <v>4.6134238243103027</v>
      </c>
      <c r="AB153" s="15">
        <v>5</v>
      </c>
      <c r="AC153" s="15">
        <v>4.8047619047619046</v>
      </c>
      <c r="AD153" s="15">
        <v>5</v>
      </c>
      <c r="AE153" s="15">
        <v>4.7730952380952383</v>
      </c>
    </row>
    <row r="154" spans="2:31" x14ac:dyDescent="0.2">
      <c r="B154" s="15">
        <v>5</v>
      </c>
      <c r="C154" s="15">
        <v>3.8237660226640422</v>
      </c>
      <c r="D154" s="15">
        <v>5</v>
      </c>
      <c r="E154" s="15">
        <v>3.81</v>
      </c>
      <c r="F154" s="15">
        <v>5</v>
      </c>
      <c r="G154" s="15">
        <v>3.6654660449053549</v>
      </c>
      <c r="H154" s="15">
        <v>5</v>
      </c>
      <c r="I154" s="15">
        <v>3.6253370999999999</v>
      </c>
      <c r="J154" s="15">
        <v>5</v>
      </c>
      <c r="K154" s="15">
        <v>3.8237660226640422</v>
      </c>
      <c r="L154" s="15">
        <v>5</v>
      </c>
      <c r="M154" s="15">
        <v>3.7990622906898861</v>
      </c>
      <c r="N154" s="15">
        <v>5</v>
      </c>
      <c r="O154" s="15">
        <v>3.2027115496005591</v>
      </c>
      <c r="P154" s="15">
        <v>5</v>
      </c>
      <c r="Q154" s="15">
        <v>3.0015229956952232</v>
      </c>
      <c r="R154" s="15">
        <v>5</v>
      </c>
      <c r="S154" s="15">
        <v>3.0767854089967188</v>
      </c>
      <c r="T154" s="15">
        <v>5</v>
      </c>
      <c r="U154" s="15">
        <v>5</v>
      </c>
      <c r="V154" s="15">
        <v>4</v>
      </c>
      <c r="W154" s="15">
        <v>3.6930582523345952</v>
      </c>
      <c r="X154" s="15">
        <v>5</v>
      </c>
      <c r="Y154" s="15">
        <v>3.4072449337101638</v>
      </c>
      <c r="Z154" s="15">
        <v>5</v>
      </c>
      <c r="AA154" s="15">
        <v>3.6839413642883301</v>
      </c>
      <c r="AB154" s="15">
        <v>5</v>
      </c>
      <c r="AC154" s="15">
        <v>4.4621190476190469</v>
      </c>
      <c r="AD154" s="15">
        <v>5</v>
      </c>
      <c r="AE154" s="15">
        <v>4.3867142857142856</v>
      </c>
    </row>
    <row r="155" spans="2:31" x14ac:dyDescent="0.2">
      <c r="B155" s="15">
        <v>4</v>
      </c>
      <c r="C155" s="15">
        <v>3.8897863369382941</v>
      </c>
      <c r="D155" s="15">
        <v>4</v>
      </c>
      <c r="E155" s="15">
        <v>4.1399999999999997</v>
      </c>
      <c r="F155" s="15">
        <v>4</v>
      </c>
      <c r="G155" s="15">
        <v>4.2832608429411136</v>
      </c>
      <c r="H155" s="15">
        <v>4</v>
      </c>
      <c r="I155" s="15">
        <v>4.2346763999999997</v>
      </c>
      <c r="J155" s="15">
        <v>4</v>
      </c>
      <c r="K155" s="15">
        <v>3.8897863369382941</v>
      </c>
      <c r="L155" s="15">
        <v>4</v>
      </c>
      <c r="M155" s="15">
        <v>4.3643724696356276</v>
      </c>
      <c r="N155" s="15">
        <v>4</v>
      </c>
      <c r="O155" s="15">
        <v>3.3440731488434028</v>
      </c>
      <c r="P155" s="15">
        <v>4</v>
      </c>
      <c r="Q155" s="15">
        <v>3.112556847571875</v>
      </c>
      <c r="R155" s="15">
        <v>4</v>
      </c>
      <c r="S155" s="15">
        <v>2.8075741216044809</v>
      </c>
      <c r="T155" s="15">
        <v>4</v>
      </c>
      <c r="U155" s="15">
        <v>4</v>
      </c>
      <c r="V155" s="15">
        <v>1</v>
      </c>
      <c r="W155" s="15">
        <v>3.185551643371582</v>
      </c>
      <c r="X155" s="15">
        <v>4</v>
      </c>
      <c r="Y155" s="15">
        <v>3.2675810509805809</v>
      </c>
      <c r="Z155" s="15">
        <v>4</v>
      </c>
      <c r="AA155" s="15">
        <v>3.3679952621459961</v>
      </c>
      <c r="AB155" s="15">
        <v>4</v>
      </c>
      <c r="AC155" s="15">
        <v>3.8047936507936502</v>
      </c>
      <c r="AD155" s="15">
        <v>4</v>
      </c>
      <c r="AE155" s="15">
        <v>3.5300595238095238</v>
      </c>
    </row>
    <row r="156" spans="2:31" x14ac:dyDescent="0.2">
      <c r="B156" s="15">
        <v>4</v>
      </c>
      <c r="C156" s="15">
        <v>3.7005738408795898</v>
      </c>
      <c r="D156" s="15">
        <v>4</v>
      </c>
      <c r="E156" s="15">
        <v>3.96</v>
      </c>
      <c r="F156" s="15">
        <v>4</v>
      </c>
      <c r="G156" s="15">
        <v>3.9001102741867131</v>
      </c>
      <c r="H156" s="15">
        <v>4</v>
      </c>
      <c r="I156" s="15">
        <v>3.7994297000000001</v>
      </c>
      <c r="J156" s="15">
        <v>4</v>
      </c>
      <c r="K156" s="15">
        <v>3.7005738408795898</v>
      </c>
      <c r="L156" s="15">
        <v>4</v>
      </c>
      <c r="M156" s="15">
        <v>4.2636709069882706</v>
      </c>
      <c r="N156" s="15">
        <v>4</v>
      </c>
      <c r="O156" s="15">
        <v>4.5572459761999156</v>
      </c>
      <c r="P156" s="15">
        <v>4</v>
      </c>
      <c r="Q156" s="15">
        <v>4.4477262363384336</v>
      </c>
      <c r="R156" s="15">
        <v>4</v>
      </c>
      <c r="S156" s="15">
        <v>4.1670016818700866</v>
      </c>
      <c r="T156" s="15">
        <v>4</v>
      </c>
      <c r="U156" s="15">
        <v>4</v>
      </c>
      <c r="V156" s="15">
        <v>4</v>
      </c>
      <c r="W156" s="15">
        <v>3.6872761249542241</v>
      </c>
      <c r="X156" s="15">
        <v>4</v>
      </c>
      <c r="Y156" s="15">
        <v>4.0350679429809464</v>
      </c>
      <c r="Z156" s="15">
        <v>4</v>
      </c>
      <c r="AA156" s="15">
        <v>4.0643148422241211</v>
      </c>
      <c r="AB156" s="15">
        <v>4</v>
      </c>
      <c r="AC156" s="15">
        <v>4.144055555555556</v>
      </c>
      <c r="AD156" s="15">
        <v>4</v>
      </c>
      <c r="AE156" s="15">
        <v>3.9687380952380948</v>
      </c>
    </row>
    <row r="157" spans="2:31" x14ac:dyDescent="0.2">
      <c r="B157" s="15">
        <v>3</v>
      </c>
      <c r="C157" s="15">
        <v>3.5135104332910818</v>
      </c>
      <c r="D157" s="15">
        <v>3</v>
      </c>
      <c r="E157" s="15">
        <v>2.59</v>
      </c>
      <c r="F157" s="15">
        <v>3</v>
      </c>
      <c r="G157" s="15">
        <v>2.7913253502248572</v>
      </c>
      <c r="H157" s="15">
        <v>3</v>
      </c>
      <c r="I157" s="15">
        <v>2.8792667000000001</v>
      </c>
      <c r="J157" s="15">
        <v>3</v>
      </c>
      <c r="K157" s="15">
        <v>3.5135104332910818</v>
      </c>
      <c r="L157" s="15">
        <v>3</v>
      </c>
      <c r="M157" s="15">
        <v>2.2801932367149762</v>
      </c>
      <c r="N157" s="15">
        <v>3</v>
      </c>
      <c r="O157" s="15">
        <v>3.826489457039977</v>
      </c>
      <c r="P157" s="15">
        <v>3</v>
      </c>
      <c r="Q157" s="15">
        <v>3.7280573978288012</v>
      </c>
      <c r="R157" s="15">
        <v>3</v>
      </c>
      <c r="S157" s="15">
        <v>4.2000355530683047</v>
      </c>
      <c r="T157" s="15">
        <v>3</v>
      </c>
      <c r="U157" s="15">
        <v>3</v>
      </c>
      <c r="V157" s="15">
        <v>5</v>
      </c>
      <c r="W157" s="15">
        <v>3.8347504138946529</v>
      </c>
      <c r="X157" s="15">
        <v>3</v>
      </c>
      <c r="Y157" s="15">
        <v>2.357347187631611</v>
      </c>
      <c r="Z157" s="15">
        <v>3</v>
      </c>
      <c r="AA157" s="15">
        <v>2.4491512775421138</v>
      </c>
      <c r="AB157" s="15">
        <v>3</v>
      </c>
      <c r="AC157" s="15">
        <v>2.829931818181818</v>
      </c>
      <c r="AD157" s="15">
        <v>3</v>
      </c>
      <c r="AE157" s="15">
        <v>3.3941944444444441</v>
      </c>
    </row>
    <row r="158" spans="2:31" x14ac:dyDescent="0.2">
      <c r="B158" s="15">
        <v>4</v>
      </c>
      <c r="C158" s="15">
        <v>3.8825553010272822</v>
      </c>
      <c r="D158" s="15">
        <v>4</v>
      </c>
      <c r="E158" s="15">
        <v>3.71</v>
      </c>
      <c r="F158" s="15">
        <v>4</v>
      </c>
      <c r="G158" s="15">
        <v>3.7867590363805119</v>
      </c>
      <c r="H158" s="15">
        <v>4</v>
      </c>
      <c r="I158" s="15">
        <v>3.8950076</v>
      </c>
      <c r="J158" s="15">
        <v>4</v>
      </c>
      <c r="K158" s="15">
        <v>3.8825553010272822</v>
      </c>
      <c r="L158" s="15">
        <v>4</v>
      </c>
      <c r="M158" s="15">
        <v>3.607255948611237</v>
      </c>
      <c r="N158" s="15">
        <v>4</v>
      </c>
      <c r="O158" s="15">
        <v>3.213777101882072</v>
      </c>
      <c r="P158" s="15">
        <v>4</v>
      </c>
      <c r="Q158" s="15">
        <v>2.8656154265134388</v>
      </c>
      <c r="R158" s="15">
        <v>4</v>
      </c>
      <c r="S158" s="15">
        <v>2.9968314047065281</v>
      </c>
      <c r="T158" s="15">
        <v>4</v>
      </c>
      <c r="U158" s="15">
        <v>4</v>
      </c>
      <c r="V158" s="15">
        <v>3</v>
      </c>
      <c r="W158" s="15">
        <v>3.8721129894256592</v>
      </c>
      <c r="X158" s="15">
        <v>4</v>
      </c>
      <c r="Y158" s="15">
        <v>3.1494214816441</v>
      </c>
      <c r="Z158" s="15">
        <v>4</v>
      </c>
      <c r="AA158" s="15">
        <v>3.2858161926269531</v>
      </c>
      <c r="AB158" s="15">
        <v>4</v>
      </c>
      <c r="AC158" s="15">
        <v>3.6804880952380952</v>
      </c>
      <c r="AD158" s="15">
        <v>4</v>
      </c>
      <c r="AE158" s="15">
        <v>3.6213888888888892</v>
      </c>
    </row>
    <row r="159" spans="2:31" x14ac:dyDescent="0.2">
      <c r="B159" s="15">
        <v>1</v>
      </c>
      <c r="C159" s="15">
        <v>1.7684250225952991</v>
      </c>
      <c r="D159" s="15">
        <v>1</v>
      </c>
      <c r="E159" s="15">
        <v>1.86</v>
      </c>
      <c r="F159" s="15">
        <v>1</v>
      </c>
      <c r="G159" s="15">
        <v>1.807020228008674</v>
      </c>
      <c r="H159" s="15">
        <v>1</v>
      </c>
      <c r="I159" s="15">
        <v>1.8811998000000001</v>
      </c>
      <c r="J159" s="15">
        <v>1</v>
      </c>
      <c r="K159" s="15">
        <v>1.7684250225952991</v>
      </c>
      <c r="L159" s="15">
        <v>1</v>
      </c>
      <c r="M159" s="15">
        <v>2.0183066361556059</v>
      </c>
      <c r="N159" s="15">
        <v>1</v>
      </c>
      <c r="O159" s="15">
        <v>2.6710110370797051</v>
      </c>
      <c r="P159" s="15">
        <v>1</v>
      </c>
      <c r="Q159" s="15">
        <v>1.280883794917677</v>
      </c>
      <c r="R159" s="15">
        <v>1</v>
      </c>
      <c r="S159" s="15">
        <v>2.2794925478521679</v>
      </c>
      <c r="T159" s="15">
        <v>1</v>
      </c>
      <c r="U159" s="15">
        <v>1</v>
      </c>
      <c r="V159" s="15">
        <v>5</v>
      </c>
      <c r="W159" s="15">
        <v>4.5295109748840332</v>
      </c>
      <c r="X159" s="15">
        <v>1</v>
      </c>
      <c r="Y159" s="15">
        <v>3.1084851818696242</v>
      </c>
      <c r="Z159" s="15">
        <v>1</v>
      </c>
      <c r="AA159" s="15">
        <v>2.1425893306732182</v>
      </c>
      <c r="AB159" s="15">
        <v>1</v>
      </c>
      <c r="AC159" s="15">
        <v>1.233166666666667</v>
      </c>
      <c r="AD159" s="15">
        <v>1</v>
      </c>
      <c r="AE159" s="15">
        <v>1.4826111111111111</v>
      </c>
    </row>
    <row r="160" spans="2:31" x14ac:dyDescent="0.2">
      <c r="B160" s="15">
        <v>3</v>
      </c>
      <c r="C160" s="15">
        <v>4.0432157145272214</v>
      </c>
      <c r="D160" s="15">
        <v>3</v>
      </c>
      <c r="E160" s="15">
        <v>4.42</v>
      </c>
      <c r="F160" s="15">
        <v>3</v>
      </c>
      <c r="G160" s="15">
        <v>4.2297693459017562</v>
      </c>
      <c r="H160" s="15">
        <v>3</v>
      </c>
      <c r="I160" s="15">
        <v>4.3671939999999996</v>
      </c>
      <c r="J160" s="15">
        <v>3</v>
      </c>
      <c r="K160" s="15">
        <v>4.0432157145272214</v>
      </c>
      <c r="L160" s="15">
        <v>3</v>
      </c>
      <c r="M160" s="15">
        <v>4.3705148205928239</v>
      </c>
      <c r="N160" s="15">
        <v>3</v>
      </c>
      <c r="O160" s="15">
        <v>3.843162708763415</v>
      </c>
      <c r="P160" s="15">
        <v>3</v>
      </c>
      <c r="Q160" s="15">
        <v>4.1229979830334837</v>
      </c>
      <c r="R160" s="15">
        <v>3</v>
      </c>
      <c r="S160" s="15">
        <v>4.1871362570153527</v>
      </c>
      <c r="T160" s="15">
        <v>3</v>
      </c>
      <c r="U160" s="15">
        <v>3</v>
      </c>
      <c r="V160" s="15">
        <v>3</v>
      </c>
      <c r="W160" s="15">
        <v>3.1612915992736821</v>
      </c>
      <c r="X160" s="15">
        <v>3</v>
      </c>
      <c r="Y160" s="15">
        <v>3.619180253847754</v>
      </c>
      <c r="Z160" s="15">
        <v>3</v>
      </c>
      <c r="AA160" s="15">
        <v>3.8089151382446289</v>
      </c>
      <c r="AB160" s="15">
        <v>3</v>
      </c>
      <c r="AC160" s="15">
        <v>3.4269166666666671</v>
      </c>
      <c r="AD160" s="15">
        <v>3</v>
      </c>
      <c r="AE160" s="15">
        <v>3.378880952380952</v>
      </c>
    </row>
    <row r="161" spans="2:31" x14ac:dyDescent="0.2">
      <c r="B161" s="15">
        <v>4</v>
      </c>
      <c r="C161" s="15">
        <v>3.8354440876675042</v>
      </c>
      <c r="D161" s="15">
        <v>4</v>
      </c>
      <c r="E161" s="15">
        <v>4.32</v>
      </c>
      <c r="F161" s="15">
        <v>4</v>
      </c>
      <c r="G161" s="15">
        <v>4.2269352908058533</v>
      </c>
      <c r="H161" s="15">
        <v>4</v>
      </c>
      <c r="I161" s="15">
        <v>4.1991496000000001</v>
      </c>
      <c r="J161" s="15">
        <v>4</v>
      </c>
      <c r="K161" s="15">
        <v>3.8354440876675042</v>
      </c>
      <c r="L161" s="15">
        <v>4</v>
      </c>
      <c r="M161" s="15">
        <v>3.7917898193760262</v>
      </c>
      <c r="N161" s="15">
        <v>4</v>
      </c>
      <c r="O161" s="15">
        <v>4.2922502438597654</v>
      </c>
      <c r="P161" s="15">
        <v>4</v>
      </c>
      <c r="Q161" s="15">
        <v>4.176377098691292</v>
      </c>
      <c r="R161" s="15">
        <v>4</v>
      </c>
      <c r="S161" s="15">
        <v>4.091078963129247</v>
      </c>
      <c r="T161" s="15">
        <v>4</v>
      </c>
      <c r="U161" s="15">
        <v>4</v>
      </c>
      <c r="V161" s="15">
        <v>2</v>
      </c>
      <c r="W161" s="15">
        <v>3.228819608688354</v>
      </c>
      <c r="X161" s="15">
        <v>4</v>
      </c>
      <c r="Y161" s="15">
        <v>4.4609766207302632</v>
      </c>
      <c r="Z161" s="15">
        <v>4</v>
      </c>
      <c r="AA161" s="15">
        <v>4.4163002967834473</v>
      </c>
      <c r="AB161" s="15">
        <v>4</v>
      </c>
      <c r="AC161" s="15">
        <v>4.2353214285714289</v>
      </c>
      <c r="AD161" s="15">
        <v>4</v>
      </c>
      <c r="AE161" s="15">
        <v>3.937472222222222</v>
      </c>
    </row>
    <row r="162" spans="2:31" x14ac:dyDescent="0.2">
      <c r="B162" s="15">
        <v>4</v>
      </c>
      <c r="C162" s="15">
        <v>3.8987852493491939</v>
      </c>
      <c r="D162" s="15">
        <v>4</v>
      </c>
      <c r="E162" s="15">
        <v>3.78</v>
      </c>
      <c r="F162" s="15">
        <v>4</v>
      </c>
      <c r="G162" s="15">
        <v>4.2364687534948509</v>
      </c>
      <c r="H162" s="15">
        <v>4</v>
      </c>
      <c r="I162" s="15">
        <v>4.2046595</v>
      </c>
      <c r="J162" s="15">
        <v>4</v>
      </c>
      <c r="K162" s="15">
        <v>3.8987852493491939</v>
      </c>
      <c r="L162" s="15">
        <v>4</v>
      </c>
      <c r="M162" s="15">
        <v>4.0128452151573537</v>
      </c>
      <c r="N162" s="15">
        <v>4</v>
      </c>
      <c r="O162" s="15">
        <v>4.0109040493363866</v>
      </c>
      <c r="P162" s="15">
        <v>4</v>
      </c>
      <c r="Q162" s="15">
        <v>3.60542906827096</v>
      </c>
      <c r="R162" s="15">
        <v>4</v>
      </c>
      <c r="S162" s="15">
        <v>3.489977084548316</v>
      </c>
      <c r="T162" s="15">
        <v>4</v>
      </c>
      <c r="U162" s="15">
        <v>4</v>
      </c>
      <c r="V162" s="15">
        <v>5</v>
      </c>
      <c r="W162" s="15">
        <v>4.6263928413391113</v>
      </c>
      <c r="X162" s="15">
        <v>4</v>
      </c>
      <c r="Y162" s="15">
        <v>3.6578859945535829</v>
      </c>
      <c r="Z162" s="15">
        <v>4</v>
      </c>
      <c r="AA162" s="15">
        <v>3.2776036262512211</v>
      </c>
      <c r="AB162" s="15">
        <v>4</v>
      </c>
      <c r="AC162" s="15">
        <v>3.9005833333333331</v>
      </c>
      <c r="AD162" s="15">
        <v>4</v>
      </c>
      <c r="AE162" s="15">
        <v>3.8141666666666669</v>
      </c>
    </row>
    <row r="163" spans="2:31" x14ac:dyDescent="0.2">
      <c r="B163" s="15">
        <v>4</v>
      </c>
      <c r="C163" s="15">
        <v>3.913760345635243</v>
      </c>
      <c r="D163" s="15">
        <v>4</v>
      </c>
      <c r="E163" s="15">
        <v>4.09</v>
      </c>
      <c r="F163" s="15">
        <v>4</v>
      </c>
      <c r="G163" s="15">
        <v>4.3057282523729432</v>
      </c>
      <c r="H163" s="15">
        <v>4</v>
      </c>
      <c r="I163" s="15">
        <v>4.2947205999999998</v>
      </c>
      <c r="J163" s="15">
        <v>4</v>
      </c>
      <c r="K163" s="15">
        <v>3.913760345635243</v>
      </c>
      <c r="L163" s="15">
        <v>4</v>
      </c>
      <c r="M163" s="15">
        <v>4.0155208964264082</v>
      </c>
      <c r="N163" s="15">
        <v>4</v>
      </c>
      <c r="O163" s="15">
        <v>3.625151675140025</v>
      </c>
      <c r="P163" s="15">
        <v>4</v>
      </c>
      <c r="Q163" s="15">
        <v>3.2756751157280721</v>
      </c>
      <c r="R163" s="15">
        <v>4</v>
      </c>
      <c r="S163" s="15">
        <v>3.529678395815095</v>
      </c>
      <c r="T163" s="15">
        <v>4</v>
      </c>
      <c r="U163" s="15">
        <v>4</v>
      </c>
      <c r="V163" s="15">
        <v>3</v>
      </c>
      <c r="W163" s="15">
        <v>1.9706108570098879</v>
      </c>
      <c r="X163" s="15">
        <v>4</v>
      </c>
      <c r="Y163" s="15">
        <v>3.858725897861925</v>
      </c>
      <c r="Z163" s="15">
        <v>4</v>
      </c>
      <c r="AA163" s="15">
        <v>3.7481493949890141</v>
      </c>
      <c r="AB163" s="15">
        <v>4</v>
      </c>
      <c r="AC163" s="15">
        <v>3.733571428571429</v>
      </c>
      <c r="AD163" s="15">
        <v>4</v>
      </c>
      <c r="AE163" s="15">
        <v>3.7674166666666662</v>
      </c>
    </row>
    <row r="164" spans="2:31" x14ac:dyDescent="0.2">
      <c r="B164" s="15">
        <v>4</v>
      </c>
      <c r="C164" s="15">
        <v>3.8865375117272509</v>
      </c>
      <c r="D164" s="15">
        <v>4</v>
      </c>
      <c r="E164" s="15">
        <v>3.38</v>
      </c>
      <c r="F164" s="15">
        <v>4</v>
      </c>
      <c r="G164" s="15">
        <v>3.6259880000008811</v>
      </c>
      <c r="H164" s="15">
        <v>4</v>
      </c>
      <c r="I164" s="15">
        <v>3.845834</v>
      </c>
      <c r="J164" s="15">
        <v>4</v>
      </c>
      <c r="K164" s="15">
        <v>3.8865375117272509</v>
      </c>
      <c r="L164" s="15">
        <v>4</v>
      </c>
      <c r="M164" s="15">
        <v>3.6448673277941568</v>
      </c>
      <c r="N164" s="15">
        <v>4</v>
      </c>
      <c r="O164" s="15">
        <v>3.736395037135182</v>
      </c>
      <c r="P164" s="15">
        <v>4</v>
      </c>
      <c r="Q164" s="15">
        <v>3.6100019346203731</v>
      </c>
      <c r="R164" s="15">
        <v>4</v>
      </c>
      <c r="S164" s="15">
        <v>3.9184479944560362</v>
      </c>
      <c r="T164" s="15">
        <v>4</v>
      </c>
      <c r="U164" s="15">
        <v>4</v>
      </c>
      <c r="V164" s="15">
        <v>1</v>
      </c>
      <c r="W164" s="15">
        <v>2.129294872283936</v>
      </c>
      <c r="X164" s="15">
        <v>4</v>
      </c>
      <c r="Y164" s="15">
        <v>3.9848541665097752</v>
      </c>
      <c r="Z164" s="15">
        <v>4</v>
      </c>
      <c r="AA164" s="15">
        <v>3.6132171154022221</v>
      </c>
      <c r="AB164" s="15">
        <v>4</v>
      </c>
      <c r="AC164" s="15">
        <v>4.0187261904761904</v>
      </c>
      <c r="AD164" s="15">
        <v>4</v>
      </c>
      <c r="AE164" s="15">
        <v>4.0938333333333334</v>
      </c>
    </row>
    <row r="165" spans="2:31" x14ac:dyDescent="0.2">
      <c r="B165" s="15">
        <v>1</v>
      </c>
      <c r="C165" s="15">
        <v>3.4031260547033741</v>
      </c>
      <c r="D165" s="15">
        <v>1</v>
      </c>
      <c r="E165" s="15">
        <v>1.96</v>
      </c>
      <c r="F165" s="15">
        <v>1</v>
      </c>
      <c r="G165" s="15">
        <v>1.9449610840032161</v>
      </c>
      <c r="H165" s="15">
        <v>1</v>
      </c>
      <c r="I165" s="15">
        <v>1.8785034</v>
      </c>
      <c r="J165" s="15">
        <v>1</v>
      </c>
      <c r="K165" s="15">
        <v>3.4031260547033741</v>
      </c>
      <c r="L165" s="15">
        <v>1</v>
      </c>
      <c r="M165" s="15">
        <v>1.975757575757576</v>
      </c>
      <c r="N165" s="15">
        <v>1</v>
      </c>
      <c r="O165" s="15">
        <v>2.849191160229108</v>
      </c>
      <c r="P165" s="15">
        <v>1</v>
      </c>
      <c r="Q165" s="15">
        <v>2.584604604812196</v>
      </c>
      <c r="R165" s="15">
        <v>1</v>
      </c>
      <c r="S165" s="15">
        <v>2.8563403839881039</v>
      </c>
      <c r="T165" s="15">
        <v>1</v>
      </c>
      <c r="U165" s="15">
        <v>1</v>
      </c>
      <c r="V165" s="15">
        <v>2</v>
      </c>
      <c r="W165" s="15">
        <v>2.3297855854034419</v>
      </c>
      <c r="X165" s="15">
        <v>1</v>
      </c>
      <c r="Y165" s="15">
        <v>2.571483731344876</v>
      </c>
      <c r="Z165" s="15">
        <v>1</v>
      </c>
      <c r="AA165" s="15">
        <v>2.1284608840942378</v>
      </c>
      <c r="AB165" s="15">
        <v>1</v>
      </c>
      <c r="AC165" s="15">
        <v>1.3515952380952381</v>
      </c>
      <c r="AD165" s="15">
        <v>1</v>
      </c>
      <c r="AE165" s="15">
        <v>1.8159235209235201</v>
      </c>
    </row>
    <row r="166" spans="2:31" x14ac:dyDescent="0.2">
      <c r="B166" s="15">
        <v>5</v>
      </c>
      <c r="C166" s="15">
        <v>3.8029969036486659</v>
      </c>
      <c r="D166" s="15">
        <v>5</v>
      </c>
      <c r="E166" s="15">
        <v>4.22</v>
      </c>
      <c r="F166" s="15">
        <v>5</v>
      </c>
      <c r="G166" s="15">
        <v>4.2247121892538919</v>
      </c>
      <c r="H166" s="15">
        <v>5</v>
      </c>
      <c r="I166" s="15">
        <v>4.2050843000000002</v>
      </c>
      <c r="J166" s="15">
        <v>5</v>
      </c>
      <c r="K166" s="15">
        <v>3.8029969036486659</v>
      </c>
      <c r="L166" s="15">
        <v>5</v>
      </c>
      <c r="M166" s="15">
        <v>4.1691297208538591</v>
      </c>
      <c r="N166" s="15">
        <v>5</v>
      </c>
      <c r="O166" s="15">
        <v>3.9432721342533079</v>
      </c>
      <c r="P166" s="15">
        <v>5</v>
      </c>
      <c r="Q166" s="15">
        <v>4.953343749472559</v>
      </c>
      <c r="R166" s="15">
        <v>5</v>
      </c>
      <c r="S166" s="15">
        <v>4.8190637202508606</v>
      </c>
      <c r="T166" s="15">
        <v>5</v>
      </c>
      <c r="U166" s="15">
        <v>5</v>
      </c>
      <c r="V166" s="15">
        <v>3</v>
      </c>
      <c r="W166" s="15">
        <v>3.496045589447021</v>
      </c>
      <c r="X166" s="15">
        <v>5</v>
      </c>
      <c r="Y166" s="15">
        <v>4.7946998244139527</v>
      </c>
      <c r="Z166" s="15">
        <v>5</v>
      </c>
      <c r="AA166" s="15">
        <v>4.7064576148986816</v>
      </c>
      <c r="AB166" s="15">
        <v>5</v>
      </c>
      <c r="AC166" s="15">
        <v>4.9250000000000007</v>
      </c>
      <c r="AD166" s="15">
        <v>5</v>
      </c>
      <c r="AE166" s="15">
        <v>4.9533333333333331</v>
      </c>
    </row>
    <row r="167" spans="2:31" x14ac:dyDescent="0.2">
      <c r="B167" s="15">
        <v>3</v>
      </c>
      <c r="C167" s="15">
        <v>3.3900641680483532</v>
      </c>
      <c r="D167" s="15">
        <v>3</v>
      </c>
      <c r="E167" s="15">
        <v>3.11</v>
      </c>
      <c r="F167" s="15">
        <v>3</v>
      </c>
      <c r="G167" s="15">
        <v>3.3553705250981021</v>
      </c>
      <c r="H167" s="15">
        <v>3</v>
      </c>
      <c r="I167" s="15">
        <v>3.0847281999999998</v>
      </c>
      <c r="J167" s="15">
        <v>3</v>
      </c>
      <c r="K167" s="15">
        <v>3.3900641680483532</v>
      </c>
      <c r="L167" s="15">
        <v>3</v>
      </c>
      <c r="M167" s="15">
        <v>3.466986351899668</v>
      </c>
      <c r="N167" s="15">
        <v>3</v>
      </c>
      <c r="O167" s="15">
        <v>3.2945450465159372</v>
      </c>
      <c r="P167" s="15">
        <v>3</v>
      </c>
      <c r="Q167" s="15">
        <v>2.7011134334254669</v>
      </c>
      <c r="R167" s="15">
        <v>3</v>
      </c>
      <c r="S167" s="15">
        <v>2.483450890934888</v>
      </c>
      <c r="T167" s="15">
        <v>3</v>
      </c>
      <c r="U167" s="15">
        <v>3</v>
      </c>
      <c r="V167" s="15">
        <v>3</v>
      </c>
      <c r="W167" s="15">
        <v>2.736680269241333</v>
      </c>
      <c r="X167" s="15">
        <v>3</v>
      </c>
      <c r="Y167" s="15">
        <v>3.0848627705755129</v>
      </c>
      <c r="Z167" s="15">
        <v>3</v>
      </c>
      <c r="AA167" s="15">
        <v>3.1545085906982422</v>
      </c>
      <c r="AB167" s="15">
        <v>3</v>
      </c>
      <c r="AC167" s="15">
        <v>2.893444444444444</v>
      </c>
      <c r="AD167" s="15">
        <v>3</v>
      </c>
      <c r="AE167" s="15">
        <v>2.91275</v>
      </c>
    </row>
    <row r="168" spans="2:31" x14ac:dyDescent="0.2">
      <c r="B168" s="15">
        <v>1</v>
      </c>
      <c r="C168" s="15">
        <v>4.0283030702465474</v>
      </c>
      <c r="D168" s="15">
        <v>1</v>
      </c>
      <c r="E168" s="15">
        <v>4.21</v>
      </c>
      <c r="F168" s="15">
        <v>1</v>
      </c>
      <c r="G168" s="15">
        <v>3.831485834328872</v>
      </c>
      <c r="H168" s="15">
        <v>1</v>
      </c>
      <c r="I168" s="15">
        <v>4.1331480000000003</v>
      </c>
      <c r="J168" s="15">
        <v>1</v>
      </c>
      <c r="K168" s="15">
        <v>4.0283030702465474</v>
      </c>
      <c r="L168" s="15">
        <v>1</v>
      </c>
      <c r="M168" s="15">
        <v>3.7837837837837842</v>
      </c>
      <c r="N168" s="15">
        <v>1</v>
      </c>
      <c r="O168" s="15">
        <v>2.8155098965132219</v>
      </c>
      <c r="P168" s="15">
        <v>1</v>
      </c>
      <c r="Q168" s="15">
        <v>3.3726532037708372</v>
      </c>
      <c r="R168" s="15">
        <v>1</v>
      </c>
      <c r="S168" s="15">
        <v>2.7052430804773619</v>
      </c>
      <c r="T168" s="15">
        <v>1</v>
      </c>
      <c r="U168" s="15">
        <v>1</v>
      </c>
      <c r="V168" s="15">
        <v>2</v>
      </c>
      <c r="W168" s="15">
        <v>2.7834639549255371</v>
      </c>
      <c r="X168" s="15">
        <v>1</v>
      </c>
      <c r="Y168" s="15">
        <v>1.959228625133987</v>
      </c>
      <c r="Z168" s="15">
        <v>1</v>
      </c>
      <c r="AA168" s="15">
        <v>2.1657605171203609</v>
      </c>
      <c r="AB168" s="15">
        <v>1</v>
      </c>
      <c r="AC168" s="15">
        <v>1.656190476190476</v>
      </c>
      <c r="AD168" s="15">
        <v>1</v>
      </c>
      <c r="AE168" s="15">
        <v>1.309345238095238</v>
      </c>
    </row>
    <row r="169" spans="2:31" x14ac:dyDescent="0.2">
      <c r="B169" s="15">
        <v>5</v>
      </c>
      <c r="C169" s="15">
        <v>3.7354066972993212</v>
      </c>
      <c r="D169" s="15">
        <v>5</v>
      </c>
      <c r="E169" s="15">
        <v>3.86</v>
      </c>
      <c r="F169" s="15">
        <v>5</v>
      </c>
      <c r="G169" s="15">
        <v>4.0537554364371147</v>
      </c>
      <c r="H169" s="15">
        <v>5</v>
      </c>
      <c r="I169" s="15">
        <v>3.9320216000000001</v>
      </c>
      <c r="J169" s="15">
        <v>5</v>
      </c>
      <c r="K169" s="15">
        <v>3.7354066972993212</v>
      </c>
      <c r="L169" s="15">
        <v>5</v>
      </c>
      <c r="M169" s="15">
        <v>4.1486227721313886</v>
      </c>
      <c r="N169" s="15">
        <v>5</v>
      </c>
      <c r="O169" s="15">
        <v>3.495363085131765</v>
      </c>
      <c r="P169" s="15">
        <v>5</v>
      </c>
      <c r="Q169" s="15">
        <v>3.5996135844972041</v>
      </c>
      <c r="R169" s="15">
        <v>5</v>
      </c>
      <c r="S169" s="15">
        <v>3.6534689980214412</v>
      </c>
      <c r="T169" s="15">
        <v>5</v>
      </c>
      <c r="U169" s="15">
        <v>5</v>
      </c>
      <c r="V169" s="15">
        <v>5</v>
      </c>
      <c r="W169" s="15">
        <v>4.0913844108581543</v>
      </c>
      <c r="X169" s="15">
        <v>5</v>
      </c>
      <c r="Y169" s="15">
        <v>3.8592142348588889</v>
      </c>
      <c r="Z169" s="15">
        <v>5</v>
      </c>
      <c r="AA169" s="15">
        <v>4.2475566864013672</v>
      </c>
      <c r="AB169" s="15">
        <v>5</v>
      </c>
      <c r="AC169" s="15">
        <v>4.5860119047619046</v>
      </c>
      <c r="AD169" s="15">
        <v>5</v>
      </c>
      <c r="AE169" s="15">
        <v>4.6334880952380946</v>
      </c>
    </row>
    <row r="170" spans="2:31" x14ac:dyDescent="0.2">
      <c r="B170" s="15">
        <v>3</v>
      </c>
      <c r="C170" s="15">
        <v>3.9797684044303492</v>
      </c>
      <c r="D170" s="15">
        <v>3</v>
      </c>
      <c r="E170" s="15">
        <v>3.96</v>
      </c>
      <c r="F170" s="15">
        <v>3</v>
      </c>
      <c r="G170" s="15">
        <v>3.9044497653295922</v>
      </c>
      <c r="H170" s="15">
        <v>3</v>
      </c>
      <c r="I170" s="15">
        <v>3.9397115999999999</v>
      </c>
      <c r="J170" s="15">
        <v>3</v>
      </c>
      <c r="K170" s="15">
        <v>3.9797684044303492</v>
      </c>
      <c r="L170" s="15">
        <v>3</v>
      </c>
      <c r="M170" s="15">
        <v>3.8227938549481961</v>
      </c>
      <c r="N170" s="15">
        <v>3</v>
      </c>
      <c r="O170" s="15">
        <v>4.5938895883089854</v>
      </c>
      <c r="P170" s="15">
        <v>3</v>
      </c>
      <c r="Q170" s="15">
        <v>4.7696604776111142</v>
      </c>
      <c r="R170" s="15">
        <v>3</v>
      </c>
      <c r="S170" s="15">
        <v>4.7294921100656513</v>
      </c>
      <c r="T170" s="15">
        <v>3</v>
      </c>
      <c r="U170" s="15">
        <v>3</v>
      </c>
      <c r="V170" s="15">
        <v>1</v>
      </c>
      <c r="W170" s="15">
        <v>3.085980892181396</v>
      </c>
      <c r="X170" s="15">
        <v>3</v>
      </c>
      <c r="Y170" s="15">
        <v>4.1098741797021408</v>
      </c>
      <c r="Z170" s="15">
        <v>3</v>
      </c>
      <c r="AA170" s="15">
        <v>4.0886955261230469</v>
      </c>
      <c r="AB170" s="15">
        <v>3</v>
      </c>
      <c r="AC170" s="15">
        <v>3.5965952380952388</v>
      </c>
      <c r="AD170" s="15">
        <v>3</v>
      </c>
      <c r="AE170" s="15">
        <v>3.4840119047619038</v>
      </c>
    </row>
    <row r="171" spans="2:31" x14ac:dyDescent="0.2">
      <c r="B171" s="15">
        <v>3</v>
      </c>
      <c r="C171" s="15">
        <v>3.7057432383027051</v>
      </c>
      <c r="D171" s="15">
        <v>3</v>
      </c>
      <c r="E171" s="15">
        <v>3.62</v>
      </c>
      <c r="F171" s="15">
        <v>3</v>
      </c>
      <c r="G171" s="15">
        <v>3.7131552843793858</v>
      </c>
      <c r="H171" s="15">
        <v>3</v>
      </c>
      <c r="I171" s="15">
        <v>3.609381</v>
      </c>
      <c r="J171" s="15">
        <v>3</v>
      </c>
      <c r="K171" s="15">
        <v>3.7057432383027051</v>
      </c>
      <c r="L171" s="15">
        <v>3</v>
      </c>
      <c r="M171" s="15">
        <v>3.681549220010758</v>
      </c>
      <c r="N171" s="15">
        <v>3</v>
      </c>
      <c r="O171" s="15">
        <v>4.2202665679901088</v>
      </c>
      <c r="P171" s="15">
        <v>3</v>
      </c>
      <c r="Q171" s="15">
        <v>3.9200265109674248</v>
      </c>
      <c r="R171" s="15">
        <v>3</v>
      </c>
      <c r="S171" s="15">
        <v>3.9886846512104901</v>
      </c>
      <c r="T171" s="15">
        <v>3</v>
      </c>
      <c r="U171" s="15">
        <v>3</v>
      </c>
      <c r="V171" s="15">
        <v>4</v>
      </c>
      <c r="W171" s="15">
        <v>4.3322873115539551</v>
      </c>
      <c r="X171" s="15">
        <v>3</v>
      </c>
      <c r="Y171" s="15">
        <v>4.3345209940506528</v>
      </c>
      <c r="Z171" s="15">
        <v>3</v>
      </c>
      <c r="AA171" s="15">
        <v>4.3657031059265137</v>
      </c>
      <c r="AB171" s="15">
        <v>3</v>
      </c>
      <c r="AC171" s="15">
        <v>3.532690476190476</v>
      </c>
      <c r="AD171" s="15">
        <v>3</v>
      </c>
      <c r="AE171" s="15">
        <v>3.4103452380952382</v>
      </c>
    </row>
    <row r="172" spans="2:31" x14ac:dyDescent="0.2">
      <c r="B172" s="15">
        <v>4</v>
      </c>
      <c r="C172" s="15">
        <v>3.4785315264373131</v>
      </c>
      <c r="D172" s="15">
        <v>4</v>
      </c>
      <c r="E172" s="15">
        <v>3.61</v>
      </c>
      <c r="F172" s="15">
        <v>4</v>
      </c>
      <c r="G172" s="15">
        <v>3.4632013214826269</v>
      </c>
      <c r="H172" s="15">
        <v>4</v>
      </c>
      <c r="I172" s="15">
        <v>3.3380641999999998</v>
      </c>
      <c r="J172" s="15">
        <v>4</v>
      </c>
      <c r="K172" s="15">
        <v>3.4785315264373131</v>
      </c>
      <c r="L172" s="15">
        <v>4</v>
      </c>
      <c r="M172" s="15">
        <v>3.7990622906898861</v>
      </c>
      <c r="N172" s="15">
        <v>4</v>
      </c>
      <c r="O172" s="15">
        <v>3.086754061776976</v>
      </c>
      <c r="P172" s="15">
        <v>4</v>
      </c>
      <c r="Q172" s="15">
        <v>3.7007130765968612</v>
      </c>
      <c r="R172" s="15">
        <v>4</v>
      </c>
      <c r="S172" s="15">
        <v>3.5921834023712331</v>
      </c>
      <c r="T172" s="15">
        <v>4</v>
      </c>
      <c r="U172" s="15">
        <v>4</v>
      </c>
      <c r="V172" s="15">
        <v>4</v>
      </c>
      <c r="W172" s="15">
        <v>4.0437588691711426</v>
      </c>
      <c r="X172" s="15">
        <v>4</v>
      </c>
      <c r="Y172" s="15">
        <v>3.3123686002881998</v>
      </c>
      <c r="Z172" s="15">
        <v>4</v>
      </c>
      <c r="AA172" s="15">
        <v>3.5258536338806148</v>
      </c>
      <c r="AB172" s="15">
        <v>4</v>
      </c>
      <c r="AC172" s="15">
        <v>3.9941666666666671</v>
      </c>
      <c r="AD172" s="15">
        <v>4</v>
      </c>
      <c r="AE172" s="15">
        <v>3.936321428571429</v>
      </c>
    </row>
    <row r="173" spans="2:31" x14ac:dyDescent="0.2">
      <c r="B173" s="15">
        <v>4</v>
      </c>
      <c r="C173" s="15">
        <v>3.780440212203505</v>
      </c>
      <c r="D173" s="15">
        <v>4</v>
      </c>
      <c r="E173" s="15">
        <v>3.72</v>
      </c>
      <c r="F173" s="15">
        <v>4</v>
      </c>
      <c r="G173" s="15">
        <v>3.8050614106174341</v>
      </c>
      <c r="H173" s="15">
        <v>4</v>
      </c>
      <c r="I173" s="15">
        <v>3.5137732000000002</v>
      </c>
      <c r="J173" s="15">
        <v>4</v>
      </c>
      <c r="K173" s="15">
        <v>3.7804402122035059</v>
      </c>
      <c r="L173" s="15">
        <v>4</v>
      </c>
      <c r="M173" s="15">
        <v>4.0956156716417906</v>
      </c>
      <c r="N173" s="15">
        <v>4</v>
      </c>
      <c r="O173" s="15">
        <v>3.6728173173492311</v>
      </c>
      <c r="P173" s="15">
        <v>4</v>
      </c>
      <c r="Q173" s="15">
        <v>3.963166876377572</v>
      </c>
      <c r="R173" s="15">
        <v>4</v>
      </c>
      <c r="S173" s="15">
        <v>3.8043957260771881</v>
      </c>
      <c r="T173" s="15">
        <v>4</v>
      </c>
      <c r="U173" s="15">
        <v>4</v>
      </c>
      <c r="V173" s="15">
        <v>2</v>
      </c>
      <c r="W173" s="15">
        <v>2.7824676036834721</v>
      </c>
      <c r="X173" s="15">
        <v>4</v>
      </c>
      <c r="Y173" s="15">
        <v>3.7728566450175949</v>
      </c>
      <c r="Z173" s="15">
        <v>4</v>
      </c>
      <c r="AA173" s="15">
        <v>3.7113912105560298</v>
      </c>
      <c r="AB173" s="15">
        <v>4</v>
      </c>
      <c r="AC173" s="15">
        <v>3.8983571428571429</v>
      </c>
      <c r="AD173" s="15">
        <v>4</v>
      </c>
      <c r="AE173" s="15">
        <v>4.0478809523809529</v>
      </c>
    </row>
    <row r="174" spans="2:31" x14ac:dyDescent="0.2">
      <c r="B174" s="15">
        <v>4</v>
      </c>
      <c r="C174" s="15">
        <v>3.7494415986059249</v>
      </c>
      <c r="D174" s="15">
        <v>4</v>
      </c>
      <c r="E174" s="15">
        <v>4.1500000000000004</v>
      </c>
      <c r="F174" s="15">
        <v>4</v>
      </c>
      <c r="G174" s="15">
        <v>3.963425925685915</v>
      </c>
      <c r="H174" s="15">
        <v>4</v>
      </c>
      <c r="I174" s="15">
        <v>3.9578259999999998</v>
      </c>
      <c r="J174" s="15">
        <v>4</v>
      </c>
      <c r="K174" s="15">
        <v>3.7494415986059249</v>
      </c>
      <c r="L174" s="15">
        <v>4</v>
      </c>
      <c r="M174" s="15">
        <v>4.3198225757112274</v>
      </c>
      <c r="N174" s="15">
        <v>4</v>
      </c>
      <c r="O174" s="15">
        <v>4.1649453639216647</v>
      </c>
      <c r="P174" s="15">
        <v>4</v>
      </c>
      <c r="Q174" s="15">
        <v>3.924062003334539</v>
      </c>
      <c r="R174" s="15">
        <v>4</v>
      </c>
      <c r="S174" s="15">
        <v>3.8680655059160749</v>
      </c>
      <c r="T174" s="15">
        <v>4</v>
      </c>
      <c r="U174" s="15">
        <v>4</v>
      </c>
      <c r="V174" s="15">
        <v>5</v>
      </c>
      <c r="W174" s="15">
        <v>4.5132551193237296</v>
      </c>
      <c r="X174" s="15">
        <v>4</v>
      </c>
      <c r="Y174" s="15">
        <v>4.1835273574123866</v>
      </c>
      <c r="Z174" s="15">
        <v>4</v>
      </c>
      <c r="AA174" s="15">
        <v>4.1629791259765616</v>
      </c>
      <c r="AB174" s="15">
        <v>4</v>
      </c>
      <c r="AC174" s="15">
        <v>3.9212261904761898</v>
      </c>
      <c r="AD174" s="15">
        <v>4</v>
      </c>
      <c r="AE174" s="15">
        <v>4.0019841269841274</v>
      </c>
    </row>
    <row r="175" spans="2:31" x14ac:dyDescent="0.2">
      <c r="B175" s="15">
        <v>5</v>
      </c>
      <c r="C175" s="15">
        <v>3.7927410236820949</v>
      </c>
      <c r="D175" s="15">
        <v>5</v>
      </c>
      <c r="E175" s="15">
        <v>4.2699999999999996</v>
      </c>
      <c r="F175" s="15">
        <v>5</v>
      </c>
      <c r="G175" s="15">
        <v>4.2889754877764208</v>
      </c>
      <c r="H175" s="15">
        <v>5</v>
      </c>
      <c r="I175" s="15">
        <v>4.3310884999999999</v>
      </c>
      <c r="J175" s="15">
        <v>5</v>
      </c>
      <c r="K175" s="15">
        <v>3.7927410236820949</v>
      </c>
      <c r="L175" s="15">
        <v>5</v>
      </c>
      <c r="M175" s="15">
        <v>4.1691297208538591</v>
      </c>
      <c r="N175" s="15">
        <v>5</v>
      </c>
      <c r="O175" s="15">
        <v>3.5142997210151492</v>
      </c>
      <c r="P175" s="15">
        <v>5</v>
      </c>
      <c r="Q175" s="15">
        <v>4.4125290671238453</v>
      </c>
      <c r="R175" s="15">
        <v>5</v>
      </c>
      <c r="S175" s="15">
        <v>4.3402657349247749</v>
      </c>
      <c r="T175" s="15">
        <v>5</v>
      </c>
      <c r="U175" s="15">
        <v>5</v>
      </c>
      <c r="V175" s="15">
        <v>5</v>
      </c>
      <c r="W175" s="15">
        <v>3.768004417419434</v>
      </c>
      <c r="X175" s="15">
        <v>5</v>
      </c>
      <c r="Y175" s="15">
        <v>4.0601770548682659</v>
      </c>
      <c r="Z175" s="15">
        <v>5</v>
      </c>
      <c r="AA175" s="15">
        <v>4.2055344581604004</v>
      </c>
      <c r="AB175" s="15">
        <v>5</v>
      </c>
      <c r="AC175" s="15">
        <v>4.762952380952381</v>
      </c>
      <c r="AD175" s="15">
        <v>5</v>
      </c>
      <c r="AE175" s="15">
        <v>4.7493333333333343</v>
      </c>
    </row>
    <row r="176" spans="2:31" x14ac:dyDescent="0.2">
      <c r="B176" s="15">
        <v>3</v>
      </c>
      <c r="C176" s="15">
        <v>3.8647284937815809</v>
      </c>
      <c r="D176" s="15">
        <v>3</v>
      </c>
      <c r="E176" s="15">
        <v>4.01</v>
      </c>
      <c r="F176" s="15">
        <v>3</v>
      </c>
      <c r="G176" s="15">
        <v>3.8007314426986119</v>
      </c>
      <c r="H176" s="15">
        <v>3</v>
      </c>
      <c r="I176" s="15">
        <v>3.8903889999999999</v>
      </c>
      <c r="J176" s="15">
        <v>3</v>
      </c>
      <c r="K176" s="15">
        <v>3.8647284937815809</v>
      </c>
      <c r="L176" s="15">
        <v>3</v>
      </c>
      <c r="M176" s="15">
        <v>3.8227938549481961</v>
      </c>
      <c r="N176" s="15">
        <v>3</v>
      </c>
      <c r="O176" s="15">
        <v>3.43246823228047</v>
      </c>
      <c r="P176" s="15">
        <v>3</v>
      </c>
      <c r="Q176" s="15">
        <v>3.626092744719855</v>
      </c>
      <c r="R176" s="15">
        <v>3</v>
      </c>
      <c r="S176" s="15">
        <v>3.4813556579677551</v>
      </c>
      <c r="T176" s="15">
        <v>3</v>
      </c>
      <c r="U176" s="15">
        <v>3</v>
      </c>
      <c r="V176" s="15">
        <v>3</v>
      </c>
      <c r="W176" s="15">
        <v>3.566401481628418</v>
      </c>
      <c r="X176" s="15">
        <v>3</v>
      </c>
      <c r="Y176" s="15">
        <v>3.6472585920333001</v>
      </c>
      <c r="Z176" s="15">
        <v>3</v>
      </c>
      <c r="AA176" s="15">
        <v>3.9552407264709468</v>
      </c>
      <c r="AB176" s="15">
        <v>3</v>
      </c>
      <c r="AC176" s="15">
        <v>3.2545357142857139</v>
      </c>
      <c r="AD176" s="15">
        <v>3</v>
      </c>
      <c r="AE176" s="15">
        <v>3.2490714285714279</v>
      </c>
    </row>
    <row r="177" spans="2:31" x14ac:dyDescent="0.2">
      <c r="B177" s="15">
        <v>4</v>
      </c>
      <c r="C177" s="15">
        <v>3.882178140725423</v>
      </c>
      <c r="D177" s="15">
        <v>4</v>
      </c>
      <c r="E177" s="15">
        <v>4.1399999999999997</v>
      </c>
      <c r="F177" s="15">
        <v>4</v>
      </c>
      <c r="G177" s="15">
        <v>4.3915525075146444</v>
      </c>
      <c r="H177" s="15">
        <v>4</v>
      </c>
      <c r="I177" s="15">
        <v>4.2741670000000003</v>
      </c>
      <c r="J177" s="15">
        <v>4</v>
      </c>
      <c r="K177" s="15">
        <v>3.882178140725423</v>
      </c>
      <c r="L177" s="15">
        <v>4</v>
      </c>
      <c r="M177" s="15">
        <v>4.3198225757112274</v>
      </c>
      <c r="N177" s="15">
        <v>4</v>
      </c>
      <c r="O177" s="15">
        <v>3.531972942665019</v>
      </c>
      <c r="P177" s="15">
        <v>4</v>
      </c>
      <c r="Q177" s="15">
        <v>3.876137498524177</v>
      </c>
      <c r="R177" s="15">
        <v>4</v>
      </c>
      <c r="S177" s="15">
        <v>3.7750298550505619</v>
      </c>
      <c r="T177" s="15">
        <v>4</v>
      </c>
      <c r="U177" s="15">
        <v>4</v>
      </c>
      <c r="V177" s="15">
        <v>5</v>
      </c>
      <c r="W177" s="15">
        <v>3.272252082824707</v>
      </c>
      <c r="X177" s="15">
        <v>4</v>
      </c>
      <c r="Y177" s="15">
        <v>3.524304470484469</v>
      </c>
      <c r="Z177" s="15">
        <v>4</v>
      </c>
      <c r="AA177" s="15">
        <v>3.5909609794616699</v>
      </c>
      <c r="AB177" s="15">
        <v>4</v>
      </c>
      <c r="AC177" s="15">
        <v>4.0085952380952383</v>
      </c>
      <c r="AD177" s="15">
        <v>4</v>
      </c>
      <c r="AE177" s="15">
        <v>3.9556190476190478</v>
      </c>
    </row>
    <row r="178" spans="2:31" x14ac:dyDescent="0.2">
      <c r="B178" s="15">
        <v>3</v>
      </c>
      <c r="C178" s="15">
        <v>3.2568131292958342</v>
      </c>
      <c r="D178" s="15">
        <v>3</v>
      </c>
      <c r="E178" s="15">
        <v>3.1</v>
      </c>
      <c r="F178" s="15">
        <v>3</v>
      </c>
      <c r="G178" s="15">
        <v>2.9152533149790281</v>
      </c>
      <c r="H178" s="15">
        <v>3</v>
      </c>
      <c r="I178" s="15">
        <v>2.8113983</v>
      </c>
      <c r="J178" s="15">
        <v>3</v>
      </c>
      <c r="K178" s="15">
        <v>3.2568131292958342</v>
      </c>
      <c r="L178" s="15">
        <v>3</v>
      </c>
      <c r="M178" s="15">
        <v>3.33158201984822</v>
      </c>
      <c r="N178" s="15">
        <v>3</v>
      </c>
      <c r="O178" s="15">
        <v>2.5247247169486342</v>
      </c>
      <c r="P178" s="15">
        <v>3</v>
      </c>
      <c r="Q178" s="15">
        <v>2.0184068019356989</v>
      </c>
      <c r="R178" s="15">
        <v>3</v>
      </c>
      <c r="S178" s="15">
        <v>2.0454165968081792</v>
      </c>
      <c r="T178" s="15">
        <v>3</v>
      </c>
      <c r="U178" s="15">
        <v>3</v>
      </c>
      <c r="V178" s="15">
        <v>3</v>
      </c>
      <c r="W178" s="15">
        <v>3.621860265731812</v>
      </c>
      <c r="X178" s="15">
        <v>3</v>
      </c>
      <c r="Y178" s="15">
        <v>2.1784759219334249</v>
      </c>
      <c r="Z178" s="15">
        <v>3</v>
      </c>
      <c r="AA178" s="15">
        <v>2.3793880939483638</v>
      </c>
      <c r="AB178" s="15">
        <v>3</v>
      </c>
      <c r="AC178" s="15">
        <v>2.504178571428572</v>
      </c>
      <c r="AD178" s="15">
        <v>3</v>
      </c>
      <c r="AE178" s="15">
        <v>2.6756666666666669</v>
      </c>
    </row>
    <row r="179" spans="2:31" x14ac:dyDescent="0.2">
      <c r="B179" s="15">
        <v>2</v>
      </c>
      <c r="C179" s="15">
        <v>3.8469282821212478</v>
      </c>
      <c r="D179" s="15">
        <v>2</v>
      </c>
      <c r="E179" s="15">
        <v>3.98</v>
      </c>
      <c r="F179" s="15">
        <v>2</v>
      </c>
      <c r="G179" s="15">
        <v>3.7697219284262009</v>
      </c>
      <c r="H179" s="15">
        <v>2</v>
      </c>
      <c r="I179" s="15">
        <v>4.0090475000000003</v>
      </c>
      <c r="J179" s="15">
        <v>2</v>
      </c>
      <c r="K179" s="15">
        <v>3.8469282821212478</v>
      </c>
      <c r="L179" s="15">
        <v>2</v>
      </c>
      <c r="M179" s="15">
        <v>3.8227938549481961</v>
      </c>
      <c r="N179" s="15">
        <v>2</v>
      </c>
      <c r="O179" s="15">
        <v>3.1653524993461439</v>
      </c>
      <c r="P179" s="15">
        <v>2</v>
      </c>
      <c r="Q179" s="15">
        <v>2.716548970491274</v>
      </c>
      <c r="R179" s="15">
        <v>2</v>
      </c>
      <c r="S179" s="15">
        <v>2.602528761695114</v>
      </c>
      <c r="T179" s="15">
        <v>2</v>
      </c>
      <c r="U179" s="15">
        <v>2</v>
      </c>
      <c r="V179" s="15">
        <v>5</v>
      </c>
      <c r="W179" s="15">
        <v>3.8997616767883301</v>
      </c>
      <c r="X179" s="15">
        <v>2</v>
      </c>
      <c r="Y179" s="15">
        <v>2.711944669338783</v>
      </c>
      <c r="Z179" s="15">
        <v>2</v>
      </c>
      <c r="AA179" s="15">
        <v>2.520493745803833</v>
      </c>
      <c r="AB179" s="15">
        <v>2</v>
      </c>
      <c r="AC179" s="15">
        <v>2.285452380952381</v>
      </c>
      <c r="AD179" s="15">
        <v>2</v>
      </c>
      <c r="AE179" s="15">
        <v>2.2602896825396819</v>
      </c>
    </row>
    <row r="180" spans="2:31" x14ac:dyDescent="0.2">
      <c r="B180" s="15">
        <v>4</v>
      </c>
      <c r="C180" s="15">
        <v>3.716344926224322</v>
      </c>
      <c r="D180" s="15">
        <v>4</v>
      </c>
      <c r="E180" s="15">
        <v>3.56</v>
      </c>
      <c r="F180" s="15">
        <v>4</v>
      </c>
      <c r="G180" s="15">
        <v>3.5932616824993691</v>
      </c>
      <c r="H180" s="15">
        <v>4</v>
      </c>
      <c r="I180" s="15">
        <v>3.5556559999999999</v>
      </c>
      <c r="J180" s="15">
        <v>4</v>
      </c>
      <c r="K180" s="15">
        <v>3.716344926224322</v>
      </c>
      <c r="L180" s="15">
        <v>4</v>
      </c>
      <c r="M180" s="15">
        <v>3.607255948611237</v>
      </c>
      <c r="N180" s="15">
        <v>4</v>
      </c>
      <c r="O180" s="15">
        <v>3.4219645208524292</v>
      </c>
      <c r="P180" s="15">
        <v>4</v>
      </c>
      <c r="Q180" s="15">
        <v>3.0304167881950801</v>
      </c>
      <c r="R180" s="15">
        <v>4</v>
      </c>
      <c r="S180" s="15">
        <v>2.8736062080205311</v>
      </c>
      <c r="T180" s="15">
        <v>4</v>
      </c>
      <c r="U180" s="15">
        <v>4</v>
      </c>
      <c r="V180" s="15">
        <v>1</v>
      </c>
      <c r="W180" s="15">
        <v>1.8359420299530029</v>
      </c>
      <c r="X180" s="15">
        <v>4</v>
      </c>
      <c r="Y180" s="15">
        <v>3.5062340449121621</v>
      </c>
      <c r="Z180" s="15">
        <v>4</v>
      </c>
      <c r="AA180" s="15">
        <v>3.488417387008667</v>
      </c>
      <c r="AB180" s="15">
        <v>4</v>
      </c>
      <c r="AC180" s="15">
        <v>3.6972738095238098</v>
      </c>
      <c r="AD180" s="15">
        <v>4</v>
      </c>
      <c r="AE180" s="15">
        <v>3.691444444444445</v>
      </c>
    </row>
    <row r="181" spans="2:31" x14ac:dyDescent="0.2">
      <c r="B181" s="15">
        <v>5</v>
      </c>
      <c r="C181" s="15">
        <v>3.93111843789293</v>
      </c>
      <c r="D181" s="15">
        <v>5</v>
      </c>
      <c r="E181" s="15">
        <v>3.58</v>
      </c>
      <c r="F181" s="15">
        <v>5</v>
      </c>
      <c r="G181" s="15">
        <v>3.7289152874319709</v>
      </c>
      <c r="H181" s="15">
        <v>5</v>
      </c>
      <c r="I181" s="15">
        <v>3.9877033000000002</v>
      </c>
      <c r="J181" s="15">
        <v>5</v>
      </c>
      <c r="K181" s="15">
        <v>3.93111843789293</v>
      </c>
      <c r="L181" s="15">
        <v>5</v>
      </c>
      <c r="M181" s="15">
        <v>3.7552812071330588</v>
      </c>
      <c r="N181" s="15">
        <v>5</v>
      </c>
      <c r="O181" s="15">
        <v>3.9700745362227332</v>
      </c>
      <c r="P181" s="15">
        <v>5</v>
      </c>
      <c r="Q181" s="15">
        <v>4.8963919705168371</v>
      </c>
      <c r="R181" s="15">
        <v>5</v>
      </c>
      <c r="S181" s="15">
        <v>5.2378987833026507</v>
      </c>
      <c r="T181" s="15">
        <v>5</v>
      </c>
      <c r="U181" s="15">
        <v>5</v>
      </c>
      <c r="V181" s="15">
        <v>4</v>
      </c>
      <c r="W181" s="15">
        <v>2.9586677551269531</v>
      </c>
      <c r="X181" s="15">
        <v>5</v>
      </c>
      <c r="Y181" s="15">
        <v>4.1109009324200194</v>
      </c>
      <c r="Z181" s="15">
        <v>5</v>
      </c>
      <c r="AA181" s="15">
        <v>4.1623878479003906</v>
      </c>
      <c r="AB181" s="15">
        <v>5</v>
      </c>
      <c r="AC181" s="15">
        <v>4.7584999999999997</v>
      </c>
      <c r="AD181" s="15">
        <v>5</v>
      </c>
      <c r="AE181" s="15">
        <v>4.7560714285714294</v>
      </c>
    </row>
    <row r="182" spans="2:31" x14ac:dyDescent="0.2">
      <c r="B182" s="15">
        <v>5</v>
      </c>
      <c r="C182" s="15">
        <v>3.8979040473165529</v>
      </c>
      <c r="D182" s="15">
        <v>5</v>
      </c>
      <c r="E182" s="15">
        <v>4.55</v>
      </c>
      <c r="F182" s="15">
        <v>5</v>
      </c>
      <c r="G182" s="15">
        <v>4.62095994737391</v>
      </c>
      <c r="H182" s="15">
        <v>5</v>
      </c>
      <c r="I182" s="15">
        <v>4.5961843</v>
      </c>
      <c r="J182" s="15">
        <v>5</v>
      </c>
      <c r="K182" s="15">
        <v>3.897904047316552</v>
      </c>
      <c r="L182" s="15">
        <v>5</v>
      </c>
      <c r="M182" s="15">
        <v>4.2791702679343127</v>
      </c>
      <c r="N182" s="15">
        <v>5</v>
      </c>
      <c r="O182" s="15">
        <v>4.6708972240107647</v>
      </c>
      <c r="P182" s="15">
        <v>5</v>
      </c>
      <c r="Q182" s="15">
        <v>5.1229531609061087</v>
      </c>
      <c r="R182" s="15">
        <v>5</v>
      </c>
      <c r="S182" s="15">
        <v>4.815750343720441</v>
      </c>
      <c r="T182" s="15">
        <v>5</v>
      </c>
      <c r="U182" s="15">
        <v>5</v>
      </c>
      <c r="V182" s="15">
        <v>4</v>
      </c>
      <c r="W182" s="15">
        <v>4.3032364845275879</v>
      </c>
      <c r="X182" s="15">
        <v>5</v>
      </c>
      <c r="Y182" s="15">
        <v>4.5409352593044812</v>
      </c>
      <c r="Z182" s="15">
        <v>5</v>
      </c>
      <c r="AA182" s="15">
        <v>4.4754452705383301</v>
      </c>
      <c r="AB182" s="15">
        <v>5</v>
      </c>
      <c r="AC182" s="15">
        <v>4.4774047619047623</v>
      </c>
      <c r="AD182" s="15">
        <v>5</v>
      </c>
      <c r="AE182" s="15">
        <v>4.6866111111111124</v>
      </c>
    </row>
    <row r="183" spans="2:31" x14ac:dyDescent="0.2">
      <c r="B183" s="15">
        <v>4</v>
      </c>
      <c r="C183" s="15">
        <v>3.518466787782677</v>
      </c>
      <c r="D183" s="15">
        <v>4</v>
      </c>
      <c r="E183" s="15">
        <v>3.65</v>
      </c>
      <c r="F183" s="15">
        <v>4</v>
      </c>
      <c r="G183" s="15">
        <v>3.4661382775557148</v>
      </c>
      <c r="H183" s="15">
        <v>4</v>
      </c>
      <c r="I183" s="15">
        <v>3.6658146</v>
      </c>
      <c r="J183" s="15">
        <v>4</v>
      </c>
      <c r="K183" s="15">
        <v>3.518466787782677</v>
      </c>
      <c r="L183" s="15">
        <v>4</v>
      </c>
      <c r="M183" s="15">
        <v>3.7283003633427532</v>
      </c>
      <c r="N183" s="15">
        <v>4</v>
      </c>
      <c r="O183" s="15">
        <v>4.0784057195154508</v>
      </c>
      <c r="P183" s="15">
        <v>4</v>
      </c>
      <c r="Q183" s="15">
        <v>3.4094830674122321</v>
      </c>
      <c r="R183" s="15">
        <v>4</v>
      </c>
      <c r="S183" s="15">
        <v>3.2368119252686589</v>
      </c>
      <c r="T183" s="15">
        <v>4</v>
      </c>
      <c r="U183" s="15">
        <v>4</v>
      </c>
      <c r="V183" s="15">
        <v>3</v>
      </c>
      <c r="W183" s="15">
        <v>2.13713526725769</v>
      </c>
      <c r="X183" s="15">
        <v>4</v>
      </c>
      <c r="Y183" s="15">
        <v>3.590095974663269</v>
      </c>
      <c r="Z183" s="15">
        <v>4</v>
      </c>
      <c r="AA183" s="15">
        <v>3.515780925750732</v>
      </c>
      <c r="AB183" s="15">
        <v>4</v>
      </c>
      <c r="AC183" s="15">
        <v>3.8204523809523812</v>
      </c>
      <c r="AD183" s="15">
        <v>4</v>
      </c>
      <c r="AE183" s="15">
        <v>3.752011904761904</v>
      </c>
    </row>
    <row r="184" spans="2:31" x14ac:dyDescent="0.2">
      <c r="B184" s="15">
        <v>5</v>
      </c>
      <c r="C184" s="15">
        <v>4.4044566762692527</v>
      </c>
      <c r="D184" s="15">
        <v>5</v>
      </c>
      <c r="E184" s="15">
        <v>4.5999999999999996</v>
      </c>
      <c r="F184" s="15">
        <v>5</v>
      </c>
      <c r="G184" s="15">
        <v>4.7384907394717297</v>
      </c>
      <c r="H184" s="15">
        <v>5</v>
      </c>
      <c r="I184" s="15">
        <v>4.6345077000000003</v>
      </c>
      <c r="J184" s="15">
        <v>5</v>
      </c>
      <c r="K184" s="15">
        <v>4.4044566762692527</v>
      </c>
      <c r="L184" s="15">
        <v>5</v>
      </c>
      <c r="M184" s="15">
        <v>4.7248780487804876</v>
      </c>
      <c r="N184" s="15">
        <v>5</v>
      </c>
      <c r="O184" s="15">
        <v>3.856400494927215</v>
      </c>
      <c r="P184" s="15">
        <v>5</v>
      </c>
      <c r="Q184" s="15">
        <v>4.925527549189435</v>
      </c>
      <c r="R184" s="15">
        <v>5</v>
      </c>
      <c r="S184" s="15">
        <v>4.7119189991595958</v>
      </c>
      <c r="T184" s="15">
        <v>5</v>
      </c>
      <c r="U184" s="15">
        <v>5</v>
      </c>
      <c r="V184" s="15">
        <v>3</v>
      </c>
      <c r="W184" s="15">
        <v>3.410308837890625</v>
      </c>
      <c r="X184" s="15">
        <v>5</v>
      </c>
      <c r="Y184" s="15">
        <v>4.1080480796452843</v>
      </c>
      <c r="Z184" s="15">
        <v>5</v>
      </c>
      <c r="AA184" s="15">
        <v>4.2772364616394043</v>
      </c>
      <c r="AB184" s="15">
        <v>5</v>
      </c>
      <c r="AC184" s="15">
        <v>4.8184999999999993</v>
      </c>
      <c r="AD184" s="15">
        <v>5</v>
      </c>
      <c r="AE184" s="15">
        <v>4.7918095238095244</v>
      </c>
    </row>
    <row r="185" spans="2:31" x14ac:dyDescent="0.2">
      <c r="B185" s="15">
        <v>2</v>
      </c>
      <c r="C185" s="15">
        <v>2.8414394625658592</v>
      </c>
      <c r="D185" s="15">
        <v>2</v>
      </c>
      <c r="E185" s="15">
        <v>1.72</v>
      </c>
      <c r="F185" s="15">
        <v>2</v>
      </c>
      <c r="G185" s="15">
        <v>1.795349318664988</v>
      </c>
      <c r="H185" s="15">
        <v>2</v>
      </c>
      <c r="I185" s="15">
        <v>1.8280605999999999</v>
      </c>
      <c r="J185" s="15">
        <v>2</v>
      </c>
      <c r="K185" s="15">
        <v>2.8414394625658592</v>
      </c>
      <c r="L185" s="15">
        <v>2</v>
      </c>
      <c r="M185" s="15">
        <v>1.6890756302521011</v>
      </c>
      <c r="N185" s="15">
        <v>2</v>
      </c>
      <c r="O185" s="15">
        <v>3.8448673466837819</v>
      </c>
      <c r="P185" s="15">
        <v>2</v>
      </c>
      <c r="Q185" s="15">
        <v>2.6324339329354349</v>
      </c>
      <c r="R185" s="15">
        <v>2</v>
      </c>
      <c r="S185" s="15">
        <v>3.2798233608424101</v>
      </c>
      <c r="T185" s="15">
        <v>2</v>
      </c>
      <c r="U185" s="15">
        <v>2</v>
      </c>
      <c r="V185" s="15">
        <v>3</v>
      </c>
      <c r="W185" s="15">
        <v>4.0243892669677734</v>
      </c>
      <c r="X185" s="15">
        <v>2</v>
      </c>
      <c r="Y185" s="15">
        <v>3.779633588868331</v>
      </c>
      <c r="Z185" s="15">
        <v>2</v>
      </c>
      <c r="AA185" s="15">
        <v>3.8127584457397461</v>
      </c>
      <c r="AB185" s="15">
        <v>2</v>
      </c>
      <c r="AC185" s="15">
        <v>1.910039682539683</v>
      </c>
      <c r="AD185" s="15">
        <v>2</v>
      </c>
      <c r="AE185" s="15">
        <v>2.41425</v>
      </c>
    </row>
    <row r="186" spans="2:31" x14ac:dyDescent="0.2">
      <c r="B186" s="15">
        <v>5</v>
      </c>
      <c r="C186" s="15">
        <v>3.5595025714772852</v>
      </c>
      <c r="D186" s="15">
        <v>5</v>
      </c>
      <c r="E186" s="15">
        <v>2.98</v>
      </c>
      <c r="F186" s="15">
        <v>5</v>
      </c>
      <c r="G186" s="15">
        <v>2.9419789784941099</v>
      </c>
      <c r="H186" s="15">
        <v>5</v>
      </c>
      <c r="I186" s="15">
        <v>2.8631799999999998</v>
      </c>
      <c r="J186" s="15">
        <v>5</v>
      </c>
      <c r="K186" s="15">
        <v>3.5595025714772852</v>
      </c>
      <c r="L186" s="15">
        <v>5</v>
      </c>
      <c r="M186" s="15">
        <v>2.8759999999999999</v>
      </c>
      <c r="N186" s="15">
        <v>5</v>
      </c>
      <c r="O186" s="15">
        <v>4.0331335943778894</v>
      </c>
      <c r="P186" s="15">
        <v>5</v>
      </c>
      <c r="Q186" s="15">
        <v>3.3444001521269842</v>
      </c>
      <c r="R186" s="15">
        <v>5</v>
      </c>
      <c r="S186" s="15">
        <v>3.1975247854270981</v>
      </c>
      <c r="T186" s="15">
        <v>5</v>
      </c>
      <c r="U186" s="15">
        <v>5</v>
      </c>
      <c r="V186" s="15">
        <v>5</v>
      </c>
      <c r="W186" s="15">
        <v>3.5526211261749272</v>
      </c>
      <c r="X186" s="15">
        <v>5</v>
      </c>
      <c r="Y186" s="15">
        <v>3.8922330604480959</v>
      </c>
      <c r="Z186" s="15">
        <v>5</v>
      </c>
      <c r="AA186" s="15">
        <v>3.8778903484344478</v>
      </c>
      <c r="AB186" s="15">
        <v>5</v>
      </c>
      <c r="AC186" s="15">
        <v>4.322059523809525</v>
      </c>
      <c r="AD186" s="15">
        <v>5</v>
      </c>
      <c r="AE186" s="15">
        <v>3.8682222222222231</v>
      </c>
    </row>
    <row r="187" spans="2:31" x14ac:dyDescent="0.2">
      <c r="B187" s="15">
        <v>4</v>
      </c>
      <c r="C187" s="15">
        <v>3.8391314626440431</v>
      </c>
      <c r="D187" s="15">
        <v>4</v>
      </c>
      <c r="E187" s="15">
        <v>4.49</v>
      </c>
      <c r="F187" s="15">
        <v>4</v>
      </c>
      <c r="G187" s="15">
        <v>4.406945703789618</v>
      </c>
      <c r="H187" s="15">
        <v>4</v>
      </c>
      <c r="I187" s="15">
        <v>4.4457253999999997</v>
      </c>
      <c r="J187" s="15">
        <v>4</v>
      </c>
      <c r="K187" s="15">
        <v>3.8391314626440431</v>
      </c>
      <c r="L187" s="15">
        <v>4</v>
      </c>
      <c r="M187" s="15">
        <v>4.2636709069882706</v>
      </c>
      <c r="N187" s="15">
        <v>4</v>
      </c>
      <c r="O187" s="15">
        <v>3.7406336967281399</v>
      </c>
      <c r="P187" s="15">
        <v>4</v>
      </c>
      <c r="Q187" s="15">
        <v>3.625107837788442</v>
      </c>
      <c r="R187" s="15">
        <v>4</v>
      </c>
      <c r="S187" s="15">
        <v>3.9801216666050521</v>
      </c>
      <c r="T187" s="15">
        <v>4</v>
      </c>
      <c r="U187" s="15">
        <v>4</v>
      </c>
      <c r="V187" s="15">
        <v>1</v>
      </c>
      <c r="W187" s="15">
        <v>2.8833086490631099</v>
      </c>
      <c r="X187" s="15">
        <v>4</v>
      </c>
      <c r="Y187" s="15">
        <v>4.0875790183022156</v>
      </c>
      <c r="Z187" s="15">
        <v>4</v>
      </c>
      <c r="AA187" s="15">
        <v>4.2579202651977539</v>
      </c>
      <c r="AB187" s="15">
        <v>4</v>
      </c>
      <c r="AC187" s="15">
        <v>4.17</v>
      </c>
      <c r="AD187" s="15">
        <v>4</v>
      </c>
      <c r="AE187" s="15">
        <v>4.028999999999999</v>
      </c>
    </row>
    <row r="188" spans="2:31" x14ac:dyDescent="0.2">
      <c r="B188" s="15">
        <v>3</v>
      </c>
      <c r="C188" s="15">
        <v>3.544458272847224</v>
      </c>
      <c r="D188" s="15">
        <v>3</v>
      </c>
      <c r="E188" s="15">
        <v>3.52</v>
      </c>
      <c r="F188" s="15">
        <v>3</v>
      </c>
      <c r="G188" s="15">
        <v>3.53463172602383</v>
      </c>
      <c r="H188" s="15">
        <v>3</v>
      </c>
      <c r="I188" s="15">
        <v>3.5215898000000001</v>
      </c>
      <c r="J188" s="15">
        <v>3</v>
      </c>
      <c r="K188" s="15">
        <v>3.544458272847224</v>
      </c>
      <c r="L188" s="15">
        <v>3</v>
      </c>
      <c r="M188" s="15">
        <v>3.9747958821441252</v>
      </c>
      <c r="N188" s="15">
        <v>3</v>
      </c>
      <c r="O188" s="15">
        <v>3.785350687163759</v>
      </c>
      <c r="P188" s="15">
        <v>3</v>
      </c>
      <c r="Q188" s="15">
        <v>4.3464651585278959</v>
      </c>
      <c r="R188" s="15">
        <v>3</v>
      </c>
      <c r="S188" s="15">
        <v>4.2993747122239254</v>
      </c>
      <c r="T188" s="15">
        <v>3</v>
      </c>
      <c r="U188" s="15">
        <v>3</v>
      </c>
      <c r="V188" s="15">
        <v>1</v>
      </c>
      <c r="W188" s="15">
        <v>1.261547327041626</v>
      </c>
      <c r="X188" s="15">
        <v>3</v>
      </c>
      <c r="Y188" s="15">
        <v>4.1261704905655288</v>
      </c>
      <c r="Z188" s="15">
        <v>3</v>
      </c>
      <c r="AA188" s="15">
        <v>4.3144559860229492</v>
      </c>
      <c r="AB188" s="15">
        <v>3</v>
      </c>
      <c r="AC188" s="15">
        <v>3.1126428571428568</v>
      </c>
      <c r="AD188" s="15">
        <v>3</v>
      </c>
      <c r="AE188" s="15">
        <v>3.2844285714285721</v>
      </c>
    </row>
    <row r="189" spans="2:31" x14ac:dyDescent="0.2">
      <c r="B189" s="15">
        <v>3</v>
      </c>
      <c r="C189" s="15">
        <v>3.443479748796805</v>
      </c>
      <c r="D189" s="15">
        <v>3</v>
      </c>
      <c r="E189" s="15">
        <v>3.42</v>
      </c>
      <c r="F189" s="15">
        <v>3</v>
      </c>
      <c r="G189" s="15">
        <v>3.297576203913696</v>
      </c>
      <c r="H189" s="15">
        <v>3</v>
      </c>
      <c r="I189" s="15">
        <v>2.9331225999999999</v>
      </c>
      <c r="J189" s="15">
        <v>3</v>
      </c>
      <c r="K189" s="15">
        <v>3.443479748796805</v>
      </c>
      <c r="L189" s="15">
        <v>3</v>
      </c>
      <c r="M189" s="15">
        <v>3.275147928994083</v>
      </c>
      <c r="N189" s="15">
        <v>3</v>
      </c>
      <c r="O189" s="15">
        <v>3.5815153955420311</v>
      </c>
      <c r="P189" s="15">
        <v>3</v>
      </c>
      <c r="Q189" s="15">
        <v>3.4201677989110402</v>
      </c>
      <c r="R189" s="15">
        <v>3</v>
      </c>
      <c r="S189" s="15">
        <v>3.1689400764452649</v>
      </c>
      <c r="T189" s="15">
        <v>3</v>
      </c>
      <c r="U189" s="15">
        <v>3</v>
      </c>
      <c r="V189" s="15">
        <v>4</v>
      </c>
      <c r="W189" s="15">
        <v>4.2117772102355957</v>
      </c>
      <c r="X189" s="15">
        <v>3</v>
      </c>
      <c r="Y189" s="15">
        <v>3.8087433265831829</v>
      </c>
      <c r="Z189" s="15">
        <v>3</v>
      </c>
      <c r="AA189" s="15">
        <v>3.8547041416168208</v>
      </c>
      <c r="AB189" s="15">
        <v>3</v>
      </c>
      <c r="AC189" s="15">
        <v>3.4422063492063502</v>
      </c>
      <c r="AD189" s="15">
        <v>3</v>
      </c>
      <c r="AE189" s="15">
        <v>3.2972380952380949</v>
      </c>
    </row>
    <row r="190" spans="2:31" x14ac:dyDescent="0.2">
      <c r="B190" s="15">
        <v>4</v>
      </c>
      <c r="C190" s="15">
        <v>4.3772701733370853</v>
      </c>
      <c r="D190" s="15">
        <v>4</v>
      </c>
      <c r="E190" s="15">
        <v>4.07</v>
      </c>
      <c r="F190" s="15">
        <v>4</v>
      </c>
      <c r="G190" s="15">
        <v>4.0190638450479277</v>
      </c>
      <c r="H190" s="15">
        <v>4</v>
      </c>
      <c r="I190" s="15">
        <v>4.3345190000000002</v>
      </c>
      <c r="J190" s="15">
        <v>4</v>
      </c>
      <c r="K190" s="15">
        <v>4.3772701733370853</v>
      </c>
      <c r="L190" s="15">
        <v>4</v>
      </c>
      <c r="M190" s="15">
        <v>4.0415647921760387</v>
      </c>
      <c r="N190" s="15">
        <v>4</v>
      </c>
      <c r="O190" s="15">
        <v>3.8108386249603452</v>
      </c>
      <c r="P190" s="15">
        <v>4</v>
      </c>
      <c r="Q190" s="15">
        <v>3.918413149921518</v>
      </c>
      <c r="R190" s="15">
        <v>4</v>
      </c>
      <c r="S190" s="15">
        <v>3.8292269070877492</v>
      </c>
      <c r="T190" s="15">
        <v>4</v>
      </c>
      <c r="U190" s="15">
        <v>4</v>
      </c>
      <c r="V190" s="15">
        <v>5</v>
      </c>
      <c r="W190" s="15">
        <v>4.457252025604248</v>
      </c>
      <c r="X190" s="15">
        <v>4</v>
      </c>
      <c r="Y190" s="15">
        <v>4.1179464951132756</v>
      </c>
      <c r="Z190" s="15">
        <v>4</v>
      </c>
      <c r="AA190" s="15">
        <v>4.2537064552307129</v>
      </c>
      <c r="AB190" s="15">
        <v>4</v>
      </c>
      <c r="AC190" s="15">
        <v>4.00075</v>
      </c>
      <c r="AD190" s="15">
        <v>4</v>
      </c>
      <c r="AE190" s="15">
        <v>3.98431746031746</v>
      </c>
    </row>
    <row r="191" spans="2:31" x14ac:dyDescent="0.2">
      <c r="B191" s="15">
        <v>3</v>
      </c>
      <c r="C191" s="15">
        <v>3.7148622320731568</v>
      </c>
      <c r="D191" s="15">
        <v>3</v>
      </c>
      <c r="E191" s="15">
        <v>3.54</v>
      </c>
      <c r="F191" s="15">
        <v>3</v>
      </c>
      <c r="G191" s="15">
        <v>3.8487901570676062</v>
      </c>
      <c r="H191" s="15">
        <v>3</v>
      </c>
      <c r="I191" s="15">
        <v>4.3921159999999997</v>
      </c>
      <c r="J191" s="15">
        <v>3</v>
      </c>
      <c r="K191" s="15">
        <v>3.7148622320731568</v>
      </c>
      <c r="L191" s="15">
        <v>3</v>
      </c>
      <c r="M191" s="15">
        <v>4.1238532110091741</v>
      </c>
      <c r="N191" s="15">
        <v>3</v>
      </c>
      <c r="O191" s="15">
        <v>3.5334058958436199</v>
      </c>
      <c r="P191" s="15">
        <v>3</v>
      </c>
      <c r="Q191" s="15">
        <v>4.4308990792290652</v>
      </c>
      <c r="R191" s="15">
        <v>3</v>
      </c>
      <c r="S191" s="15">
        <v>4.5622724047073184</v>
      </c>
      <c r="T191" s="15">
        <v>3</v>
      </c>
      <c r="U191" s="15">
        <v>3</v>
      </c>
      <c r="V191" s="15">
        <v>2</v>
      </c>
      <c r="W191" s="15">
        <v>4.0127654075622559</v>
      </c>
      <c r="X191" s="15">
        <v>3</v>
      </c>
      <c r="Y191" s="15">
        <v>3.618254865209932</v>
      </c>
      <c r="Z191" s="15">
        <v>3</v>
      </c>
      <c r="AA191" s="15">
        <v>3.6508247852325439</v>
      </c>
      <c r="AB191" s="15">
        <v>3</v>
      </c>
      <c r="AC191" s="15">
        <v>3.2917698412698422</v>
      </c>
      <c r="AD191" s="15">
        <v>3</v>
      </c>
      <c r="AE191" s="15">
        <v>3.506904761904762</v>
      </c>
    </row>
    <row r="192" spans="2:31" x14ac:dyDescent="0.2">
      <c r="B192" s="15">
        <v>4</v>
      </c>
      <c r="C192" s="15">
        <v>3.6037841708304672</v>
      </c>
      <c r="D192" s="15">
        <v>4</v>
      </c>
      <c r="E192" s="15">
        <v>3.53</v>
      </c>
      <c r="F192" s="15">
        <v>4</v>
      </c>
      <c r="G192" s="15">
        <v>3.623434813344701</v>
      </c>
      <c r="H192" s="15">
        <v>4</v>
      </c>
      <c r="I192" s="15">
        <v>3.5389607000000001</v>
      </c>
      <c r="J192" s="15">
        <v>4</v>
      </c>
      <c r="K192" s="15">
        <v>3.6037841708304672</v>
      </c>
      <c r="L192" s="15">
        <v>4</v>
      </c>
      <c r="M192" s="15">
        <v>3.859941844364442</v>
      </c>
      <c r="N192" s="15">
        <v>4</v>
      </c>
      <c r="O192" s="15">
        <v>4.3155167907600864</v>
      </c>
      <c r="P192" s="15">
        <v>4</v>
      </c>
      <c r="Q192" s="15">
        <v>4.6028803191509171</v>
      </c>
      <c r="R192" s="15">
        <v>4</v>
      </c>
      <c r="S192" s="15">
        <v>4.5096892902267092</v>
      </c>
      <c r="T192" s="15">
        <v>4</v>
      </c>
      <c r="U192" s="15">
        <v>4</v>
      </c>
      <c r="V192" s="15">
        <v>5</v>
      </c>
      <c r="W192" s="15">
        <v>4.0664949417114258</v>
      </c>
      <c r="X192" s="15">
        <v>4</v>
      </c>
      <c r="Y192" s="15">
        <v>4.0180375953936762</v>
      </c>
      <c r="Z192" s="15">
        <v>4</v>
      </c>
      <c r="AA192" s="15">
        <v>4.0061731338500977</v>
      </c>
      <c r="AB192" s="15">
        <v>4</v>
      </c>
      <c r="AC192" s="15">
        <v>4.2350000000000003</v>
      </c>
      <c r="AD192" s="15">
        <v>4</v>
      </c>
      <c r="AE192" s="15">
        <v>4.1914126984126989</v>
      </c>
    </row>
    <row r="193" spans="2:31" x14ac:dyDescent="0.2">
      <c r="B193" s="15">
        <v>5</v>
      </c>
      <c r="C193" s="15">
        <v>3.5211673229255118</v>
      </c>
      <c r="D193" s="15">
        <v>5</v>
      </c>
      <c r="E193" s="15">
        <v>3.32</v>
      </c>
      <c r="F193" s="15">
        <v>5</v>
      </c>
      <c r="G193" s="15">
        <v>3.046400374117173</v>
      </c>
      <c r="H193" s="15">
        <v>5</v>
      </c>
      <c r="I193" s="15">
        <v>3.2122860000000002</v>
      </c>
      <c r="J193" s="15">
        <v>5</v>
      </c>
      <c r="K193" s="15">
        <v>3.5211673229255118</v>
      </c>
      <c r="L193" s="15">
        <v>5</v>
      </c>
      <c r="M193" s="15">
        <v>2.882352941176471</v>
      </c>
      <c r="N193" s="15">
        <v>5</v>
      </c>
      <c r="O193" s="15">
        <v>4.1515729305370774</v>
      </c>
      <c r="P193" s="15">
        <v>5</v>
      </c>
      <c r="Q193" s="15">
        <v>4.2342610534097123</v>
      </c>
      <c r="R193" s="15">
        <v>5</v>
      </c>
      <c r="S193" s="15">
        <v>4.3368007631583376</v>
      </c>
      <c r="T193" s="15">
        <v>5</v>
      </c>
      <c r="U193" s="15">
        <v>5</v>
      </c>
      <c r="V193" s="15">
        <v>4</v>
      </c>
      <c r="W193" s="15">
        <v>3.522962093353271</v>
      </c>
      <c r="X193" s="15">
        <v>5</v>
      </c>
      <c r="Y193" s="15">
        <v>4.4318856905983104</v>
      </c>
      <c r="Z193" s="15">
        <v>5</v>
      </c>
      <c r="AA193" s="15">
        <v>4.2421698570251456</v>
      </c>
      <c r="AB193" s="15">
        <v>5</v>
      </c>
      <c r="AC193" s="15">
        <v>4.5796666666666672</v>
      </c>
      <c r="AD193" s="15">
        <v>5</v>
      </c>
      <c r="AE193" s="15">
        <v>4.7979761904761906</v>
      </c>
    </row>
    <row r="194" spans="2:31" x14ac:dyDescent="0.2">
      <c r="B194" s="15">
        <v>1</v>
      </c>
      <c r="C194" s="15">
        <v>3.259408696069241</v>
      </c>
      <c r="D194" s="15">
        <v>1</v>
      </c>
      <c r="E194" s="15">
        <v>2.75</v>
      </c>
      <c r="F194" s="15">
        <v>1</v>
      </c>
      <c r="G194" s="15">
        <v>2.3344105085195239</v>
      </c>
      <c r="H194" s="15">
        <v>1</v>
      </c>
      <c r="I194" s="15">
        <v>2.3941648</v>
      </c>
      <c r="J194" s="15">
        <v>1</v>
      </c>
      <c r="K194" s="15">
        <v>3.259408696069241</v>
      </c>
      <c r="L194" s="15">
        <v>1</v>
      </c>
      <c r="M194" s="15">
        <v>2.8082987551867218</v>
      </c>
      <c r="N194" s="15">
        <v>1</v>
      </c>
      <c r="O194" s="15">
        <v>2.281831896279106</v>
      </c>
      <c r="P194" s="15">
        <v>1</v>
      </c>
      <c r="Q194" s="15">
        <v>2.7963476927253752</v>
      </c>
      <c r="R194" s="15">
        <v>1</v>
      </c>
      <c r="S194" s="15">
        <v>3.070738330948338</v>
      </c>
      <c r="T194" s="15">
        <v>1</v>
      </c>
      <c r="U194" s="15">
        <v>1</v>
      </c>
      <c r="V194" s="15">
        <v>4</v>
      </c>
      <c r="W194" s="15">
        <v>2.7699539661407471</v>
      </c>
      <c r="X194" s="15">
        <v>1</v>
      </c>
      <c r="Y194" s="15">
        <v>1.6035010608963709</v>
      </c>
      <c r="Z194" s="15">
        <v>1</v>
      </c>
      <c r="AA194" s="15">
        <v>1.961140990257263</v>
      </c>
      <c r="AB194" s="15">
        <v>1</v>
      </c>
      <c r="AC194" s="15">
        <v>1.42252380952381</v>
      </c>
      <c r="AD194" s="15">
        <v>1</v>
      </c>
      <c r="AE194" s="15">
        <v>1.617055555555555</v>
      </c>
    </row>
    <row r="195" spans="2:31" x14ac:dyDescent="0.2">
      <c r="B195" s="15">
        <v>5</v>
      </c>
      <c r="C195" s="15">
        <v>3.9945393174352142</v>
      </c>
      <c r="D195" s="15">
        <v>5</v>
      </c>
      <c r="E195" s="15">
        <v>4.2</v>
      </c>
      <c r="F195" s="15">
        <v>5</v>
      </c>
      <c r="G195" s="15">
        <v>4.3122457365528417</v>
      </c>
      <c r="H195" s="15">
        <v>5</v>
      </c>
      <c r="I195" s="15">
        <v>4.4331019999999999</v>
      </c>
      <c r="J195" s="15">
        <v>5</v>
      </c>
      <c r="K195" s="15">
        <v>3.9945393174352142</v>
      </c>
      <c r="L195" s="15">
        <v>5</v>
      </c>
      <c r="M195" s="15">
        <v>4.3198225757112274</v>
      </c>
      <c r="N195" s="15">
        <v>5</v>
      </c>
      <c r="O195" s="15">
        <v>3.540302036740949</v>
      </c>
      <c r="P195" s="15">
        <v>5</v>
      </c>
      <c r="Q195" s="15">
        <v>3.7254295531839339</v>
      </c>
      <c r="R195" s="15">
        <v>5</v>
      </c>
      <c r="S195" s="15">
        <v>4.0432800885321596</v>
      </c>
      <c r="T195" s="15">
        <v>5</v>
      </c>
      <c r="U195" s="15">
        <v>5</v>
      </c>
      <c r="V195" s="15">
        <v>4</v>
      </c>
      <c r="W195" s="15">
        <v>4.5222649574279794</v>
      </c>
      <c r="X195" s="15">
        <v>5</v>
      </c>
      <c r="Y195" s="15">
        <v>3.7557412840392268</v>
      </c>
      <c r="Z195" s="15">
        <v>5</v>
      </c>
      <c r="AA195" s="15">
        <v>3.5345833301544189</v>
      </c>
      <c r="AB195" s="15">
        <v>5</v>
      </c>
      <c r="AC195" s="15">
        <v>4.5773055555555553</v>
      </c>
      <c r="AD195" s="15">
        <v>5</v>
      </c>
      <c r="AE195" s="15">
        <v>4.5388333333333328</v>
      </c>
    </row>
    <row r="196" spans="2:31" x14ac:dyDescent="0.2">
      <c r="B196" s="15">
        <v>1</v>
      </c>
      <c r="C196" s="15">
        <v>3.19307848015344</v>
      </c>
      <c r="D196" s="15">
        <v>1</v>
      </c>
      <c r="E196" s="15">
        <v>2.63</v>
      </c>
      <c r="F196" s="15">
        <v>1</v>
      </c>
      <c r="G196" s="15">
        <v>2.060813773030564</v>
      </c>
      <c r="H196" s="15">
        <v>1</v>
      </c>
      <c r="I196" s="15">
        <v>2.2734108000000002</v>
      </c>
      <c r="J196" s="15">
        <v>1</v>
      </c>
      <c r="K196" s="15">
        <v>3.19307848015344</v>
      </c>
      <c r="L196" s="15">
        <v>1</v>
      </c>
      <c r="M196" s="15">
        <v>2.589232303090728</v>
      </c>
      <c r="N196" s="15">
        <v>1</v>
      </c>
      <c r="O196" s="15">
        <v>3.5220956029699049</v>
      </c>
      <c r="P196" s="15">
        <v>1</v>
      </c>
      <c r="Q196" s="15">
        <v>3.0568193663980781</v>
      </c>
      <c r="R196" s="15">
        <v>1</v>
      </c>
      <c r="S196" s="15">
        <v>3.1937173168852508</v>
      </c>
      <c r="T196" s="15">
        <v>1</v>
      </c>
      <c r="U196" s="15">
        <v>1</v>
      </c>
      <c r="V196" s="15">
        <v>5</v>
      </c>
      <c r="W196" s="15">
        <v>3.3734831809997559</v>
      </c>
      <c r="X196" s="15">
        <v>1</v>
      </c>
      <c r="Y196" s="15">
        <v>3.4147816184429849</v>
      </c>
      <c r="Z196" s="15">
        <v>1</v>
      </c>
      <c r="AA196" s="15">
        <v>3.3292486667633061</v>
      </c>
      <c r="AB196" s="15">
        <v>1</v>
      </c>
      <c r="AC196" s="15">
        <v>1.583916666666666</v>
      </c>
      <c r="AD196" s="15">
        <v>1</v>
      </c>
      <c r="AE196" s="15">
        <v>1.8287777777777781</v>
      </c>
    </row>
    <row r="197" spans="2:31" x14ac:dyDescent="0.2">
      <c r="B197" s="15">
        <v>3</v>
      </c>
      <c r="C197" s="15">
        <v>3.8273114383102249</v>
      </c>
      <c r="D197" s="15">
        <v>3</v>
      </c>
      <c r="E197" s="15">
        <v>4.24</v>
      </c>
      <c r="F197" s="15">
        <v>3</v>
      </c>
      <c r="G197" s="15">
        <v>4.2556419030390584</v>
      </c>
      <c r="H197" s="15">
        <v>3</v>
      </c>
      <c r="I197" s="15">
        <v>4.2625704000000004</v>
      </c>
      <c r="J197" s="15">
        <v>3</v>
      </c>
      <c r="K197" s="15">
        <v>3.827311438310224</v>
      </c>
      <c r="L197" s="15">
        <v>3</v>
      </c>
      <c r="M197" s="15">
        <v>4.3198225757112274</v>
      </c>
      <c r="N197" s="15">
        <v>3</v>
      </c>
      <c r="O197" s="15">
        <v>3.7375905381596888</v>
      </c>
      <c r="P197" s="15">
        <v>3</v>
      </c>
      <c r="Q197" s="15">
        <v>3.3522384231155309</v>
      </c>
      <c r="R197" s="15">
        <v>3</v>
      </c>
      <c r="S197" s="15">
        <v>3.76385497235986</v>
      </c>
      <c r="T197" s="15">
        <v>3</v>
      </c>
      <c r="U197" s="15">
        <v>3</v>
      </c>
      <c r="V197" s="15">
        <v>5</v>
      </c>
      <c r="W197" s="15">
        <v>4.11456298828125</v>
      </c>
      <c r="X197" s="15">
        <v>3</v>
      </c>
      <c r="Y197" s="15">
        <v>3.885877422786884</v>
      </c>
      <c r="Z197" s="15">
        <v>3</v>
      </c>
      <c r="AA197" s="15">
        <v>4.1579880714416504</v>
      </c>
      <c r="AB197" s="15">
        <v>3</v>
      </c>
      <c r="AC197" s="15">
        <v>3.209571428571429</v>
      </c>
      <c r="AD197" s="15">
        <v>3</v>
      </c>
      <c r="AE197" s="15">
        <v>3.2505873015873021</v>
      </c>
    </row>
    <row r="198" spans="2:31" x14ac:dyDescent="0.2">
      <c r="B198" s="15">
        <v>5</v>
      </c>
      <c r="C198" s="15">
        <v>3.3778282051448958</v>
      </c>
      <c r="D198" s="15">
        <v>5</v>
      </c>
      <c r="E198" s="15">
        <v>3.43</v>
      </c>
      <c r="F198" s="15">
        <v>5</v>
      </c>
      <c r="G198" s="15">
        <v>2.9661969932989809</v>
      </c>
      <c r="H198" s="15">
        <v>5</v>
      </c>
      <c r="I198" s="15">
        <v>3.0500910000000001</v>
      </c>
      <c r="J198" s="15">
        <v>5</v>
      </c>
      <c r="K198" s="15">
        <v>3.3778282051448958</v>
      </c>
      <c r="L198" s="15">
        <v>5</v>
      </c>
      <c r="M198" s="15">
        <v>3.607255948611237</v>
      </c>
      <c r="N198" s="15">
        <v>5</v>
      </c>
      <c r="O198" s="15">
        <v>3.6156128998653618</v>
      </c>
      <c r="P198" s="15">
        <v>5</v>
      </c>
      <c r="Q198" s="15">
        <v>3.7351933309919532</v>
      </c>
      <c r="R198" s="15">
        <v>5</v>
      </c>
      <c r="S198" s="15">
        <v>3.5703521458213729</v>
      </c>
      <c r="T198" s="15">
        <v>5</v>
      </c>
      <c r="U198" s="15">
        <v>5</v>
      </c>
      <c r="V198" s="15">
        <v>3</v>
      </c>
      <c r="W198" s="15">
        <v>3.3958396911621089</v>
      </c>
      <c r="X198" s="15">
        <v>5</v>
      </c>
      <c r="Y198" s="15">
        <v>3.9761241598540509</v>
      </c>
      <c r="Z198" s="15">
        <v>5</v>
      </c>
      <c r="AA198" s="15">
        <v>3.7392632961273189</v>
      </c>
      <c r="AB198" s="15">
        <v>5</v>
      </c>
      <c r="AC198" s="15">
        <v>4.5396230158730164</v>
      </c>
      <c r="AD198" s="15">
        <v>5</v>
      </c>
      <c r="AE198" s="15">
        <v>4.5523571428571428</v>
      </c>
    </row>
    <row r="199" spans="2:31" x14ac:dyDescent="0.2">
      <c r="B199" s="15">
        <v>3</v>
      </c>
      <c r="C199" s="15">
        <v>1.0361266605143249</v>
      </c>
      <c r="D199" s="15">
        <v>3</v>
      </c>
      <c r="E199" s="15">
        <v>2.2999999999999998</v>
      </c>
      <c r="F199" s="15">
        <v>3</v>
      </c>
      <c r="G199" s="15">
        <v>2.282236286477723</v>
      </c>
      <c r="H199" s="15">
        <v>3</v>
      </c>
      <c r="I199" s="15">
        <v>2.2085881000000001</v>
      </c>
      <c r="J199" s="15">
        <v>3</v>
      </c>
      <c r="K199" s="15">
        <v>1.0361266605143249</v>
      </c>
      <c r="L199" s="15">
        <v>3</v>
      </c>
      <c r="M199" s="15">
        <v>2.0202702702702702</v>
      </c>
      <c r="N199" s="15">
        <v>3</v>
      </c>
      <c r="O199" s="15">
        <v>3.3551014567015889</v>
      </c>
      <c r="P199" s="15">
        <v>3</v>
      </c>
      <c r="Q199" s="15">
        <v>2.634903935108396</v>
      </c>
      <c r="R199" s="15">
        <v>3</v>
      </c>
      <c r="S199" s="15">
        <v>3.3080402311700139</v>
      </c>
      <c r="T199" s="15">
        <v>3</v>
      </c>
      <c r="U199" s="15">
        <v>3</v>
      </c>
      <c r="V199" s="15">
        <v>4</v>
      </c>
      <c r="W199" s="15">
        <v>3.98969578742981</v>
      </c>
      <c r="X199" s="15">
        <v>3</v>
      </c>
      <c r="Y199" s="15">
        <v>2.3860585087259789</v>
      </c>
      <c r="Z199" s="15">
        <v>3</v>
      </c>
      <c r="AA199" s="15">
        <v>2.4294652938842769</v>
      </c>
      <c r="AB199" s="15">
        <v>3</v>
      </c>
      <c r="AC199" s="15">
        <v>2.748250000000001</v>
      </c>
      <c r="AD199" s="15">
        <v>3</v>
      </c>
      <c r="AE199" s="15">
        <v>2.9787619047619041</v>
      </c>
    </row>
    <row r="200" spans="2:31" x14ac:dyDescent="0.2">
      <c r="B200" s="15">
        <v>5</v>
      </c>
      <c r="C200" s="15">
        <v>3.9104530637715018</v>
      </c>
      <c r="D200" s="15">
        <v>5</v>
      </c>
      <c r="E200" s="15">
        <v>3.57</v>
      </c>
      <c r="F200" s="15">
        <v>5</v>
      </c>
      <c r="G200" s="15">
        <v>3.9721561272724859</v>
      </c>
      <c r="H200" s="15">
        <v>5</v>
      </c>
      <c r="I200" s="15">
        <v>4.0567083000000004</v>
      </c>
      <c r="J200" s="15">
        <v>5</v>
      </c>
      <c r="K200" s="15">
        <v>3.9104530637715018</v>
      </c>
      <c r="L200" s="15">
        <v>5</v>
      </c>
      <c r="M200" s="15">
        <v>3.4800233304170312</v>
      </c>
      <c r="N200" s="15">
        <v>5</v>
      </c>
      <c r="O200" s="15">
        <v>4.4007201826997839</v>
      </c>
      <c r="P200" s="15">
        <v>5</v>
      </c>
      <c r="Q200" s="15">
        <v>4.3565562684713219</v>
      </c>
      <c r="R200" s="15">
        <v>5</v>
      </c>
      <c r="S200" s="15">
        <v>4.4963783688461092</v>
      </c>
      <c r="T200" s="15">
        <v>5</v>
      </c>
      <c r="U200" s="15">
        <v>5</v>
      </c>
      <c r="V200" s="15">
        <v>1</v>
      </c>
      <c r="W200" s="15">
        <v>2.2435760498046879</v>
      </c>
      <c r="X200" s="15">
        <v>5</v>
      </c>
      <c r="Y200" s="15">
        <v>4.2892687091087973</v>
      </c>
      <c r="Z200" s="15">
        <v>5</v>
      </c>
      <c r="AA200" s="15">
        <v>4.2756743431091309</v>
      </c>
      <c r="AB200" s="15">
        <v>5</v>
      </c>
      <c r="AC200" s="15">
        <v>4.6786666666666674</v>
      </c>
      <c r="AD200" s="15">
        <v>5</v>
      </c>
      <c r="AE200" s="15">
        <v>4.8934523809523807</v>
      </c>
    </row>
    <row r="201" spans="2:31" x14ac:dyDescent="0.2">
      <c r="B201" s="15">
        <v>4</v>
      </c>
      <c r="C201" s="15">
        <v>3.4369574834986238</v>
      </c>
      <c r="D201" s="15">
        <v>4</v>
      </c>
      <c r="E201" s="15">
        <v>3.78</v>
      </c>
      <c r="F201" s="15">
        <v>4</v>
      </c>
      <c r="G201" s="15">
        <v>3.5296829029296211</v>
      </c>
      <c r="H201" s="15">
        <v>4</v>
      </c>
      <c r="I201" s="15">
        <v>3.3833988000000002</v>
      </c>
      <c r="J201" s="15">
        <v>4</v>
      </c>
      <c r="K201" s="15">
        <v>3.4369574834986238</v>
      </c>
      <c r="L201" s="15">
        <v>4</v>
      </c>
      <c r="M201" s="15">
        <v>3.5958944281524921</v>
      </c>
      <c r="N201" s="15">
        <v>4</v>
      </c>
      <c r="O201" s="15">
        <v>3.1316258018759471</v>
      </c>
      <c r="P201" s="15">
        <v>4</v>
      </c>
      <c r="Q201" s="15">
        <v>2.6590519917258111</v>
      </c>
      <c r="R201" s="15">
        <v>4</v>
      </c>
      <c r="S201" s="15">
        <v>2.6615831164208932</v>
      </c>
      <c r="T201" s="15">
        <v>4</v>
      </c>
      <c r="U201" s="15">
        <v>4</v>
      </c>
      <c r="V201" s="15">
        <v>5</v>
      </c>
      <c r="W201" s="15">
        <v>4.9623837471008301</v>
      </c>
      <c r="X201" s="15">
        <v>4</v>
      </c>
      <c r="Y201" s="15">
        <v>2.7831198030400008</v>
      </c>
      <c r="Z201" s="15">
        <v>4</v>
      </c>
      <c r="AA201" s="15">
        <v>2.570391178131104</v>
      </c>
      <c r="AB201" s="15">
        <v>4</v>
      </c>
      <c r="AC201" s="15">
        <v>3.5179404761904758</v>
      </c>
      <c r="AD201" s="15">
        <v>4</v>
      </c>
      <c r="AE201" s="15">
        <v>3.1273214285714288</v>
      </c>
    </row>
    <row r="202" spans="2:31" x14ac:dyDescent="0.2">
      <c r="B202" s="15">
        <v>4</v>
      </c>
      <c r="C202" s="15">
        <v>3.108072602466331</v>
      </c>
      <c r="D202" s="15">
        <v>4</v>
      </c>
      <c r="E202" s="15">
        <v>3.37</v>
      </c>
      <c r="F202" s="15">
        <v>4</v>
      </c>
      <c r="G202" s="15">
        <v>3.2081665121519132</v>
      </c>
      <c r="H202" s="15">
        <v>4</v>
      </c>
      <c r="I202" s="15">
        <v>3.1348612</v>
      </c>
      <c r="J202" s="15">
        <v>4</v>
      </c>
      <c r="K202" s="15">
        <v>3.108072602466331</v>
      </c>
      <c r="L202" s="15">
        <v>4</v>
      </c>
      <c r="M202" s="15">
        <v>3.3870395028850422</v>
      </c>
      <c r="N202" s="15">
        <v>4</v>
      </c>
      <c r="O202" s="15">
        <v>2.8141470821911492</v>
      </c>
      <c r="P202" s="15">
        <v>4</v>
      </c>
      <c r="Q202" s="15">
        <v>2.745367735614916</v>
      </c>
      <c r="R202" s="15">
        <v>4</v>
      </c>
      <c r="S202" s="15">
        <v>2.306978203111028</v>
      </c>
      <c r="T202" s="15">
        <v>4</v>
      </c>
      <c r="U202" s="15">
        <v>4</v>
      </c>
      <c r="V202" s="15">
        <v>4</v>
      </c>
      <c r="W202" s="15">
        <v>3.9672257900238042</v>
      </c>
      <c r="X202" s="15">
        <v>4</v>
      </c>
      <c r="Y202" s="15">
        <v>2.7767168495892309</v>
      </c>
      <c r="Z202" s="15">
        <v>4</v>
      </c>
      <c r="AA202" s="15">
        <v>3.0922081470489502</v>
      </c>
      <c r="AB202" s="15">
        <v>4</v>
      </c>
      <c r="AC202" s="15">
        <v>3.5726746031746019</v>
      </c>
      <c r="AD202" s="15">
        <v>4</v>
      </c>
      <c r="AE202" s="15">
        <v>3.4675357142857139</v>
      </c>
    </row>
    <row r="203" spans="2:31" x14ac:dyDescent="0.2">
      <c r="B203" s="15">
        <v>2</v>
      </c>
      <c r="C203" s="15">
        <v>3.678555677413553</v>
      </c>
      <c r="D203" s="15">
        <v>2</v>
      </c>
      <c r="E203" s="15">
        <v>4.05</v>
      </c>
      <c r="F203" s="15">
        <v>2</v>
      </c>
      <c r="G203" s="15">
        <v>3.8623322959278088</v>
      </c>
      <c r="H203" s="15">
        <v>2</v>
      </c>
      <c r="I203" s="15">
        <v>3.978523</v>
      </c>
      <c r="J203" s="15">
        <v>2</v>
      </c>
      <c r="K203" s="15">
        <v>3.678555677413553</v>
      </c>
      <c r="L203" s="15">
        <v>2</v>
      </c>
      <c r="M203" s="15">
        <v>4.1486227721313886</v>
      </c>
      <c r="N203" s="15">
        <v>2</v>
      </c>
      <c r="O203" s="15">
        <v>2.3591553004242312</v>
      </c>
      <c r="P203" s="15">
        <v>2</v>
      </c>
      <c r="Q203" s="15">
        <v>2.3635648402980531</v>
      </c>
      <c r="R203" s="15">
        <v>2</v>
      </c>
      <c r="S203" s="15">
        <v>2.1527886201954458</v>
      </c>
      <c r="T203" s="15">
        <v>2</v>
      </c>
      <c r="U203" s="15">
        <v>2</v>
      </c>
      <c r="V203" s="15">
        <v>1</v>
      </c>
      <c r="W203" s="15">
        <v>0.91512614488601685</v>
      </c>
      <c r="X203" s="15">
        <v>2</v>
      </c>
      <c r="Y203" s="15">
        <v>2.3918675545007528</v>
      </c>
      <c r="Z203" s="15">
        <v>2</v>
      </c>
      <c r="AA203" s="15">
        <v>2.3162777423858638</v>
      </c>
      <c r="AB203" s="15">
        <v>2</v>
      </c>
      <c r="AC203" s="15">
        <v>2.191002164502164</v>
      </c>
      <c r="AD203" s="15">
        <v>2</v>
      </c>
      <c r="AE203" s="15">
        <v>2.1362539682539681</v>
      </c>
    </row>
    <row r="204" spans="2:31" x14ac:dyDescent="0.2">
      <c r="B204" s="15">
        <v>2</v>
      </c>
      <c r="C204" s="15">
        <v>1.889557542537643</v>
      </c>
      <c r="D204" s="15">
        <v>2</v>
      </c>
      <c r="E204" s="15">
        <v>1.83</v>
      </c>
      <c r="F204" s="15">
        <v>2</v>
      </c>
      <c r="G204" s="15">
        <v>1.820149020639144</v>
      </c>
      <c r="H204" s="15">
        <v>2</v>
      </c>
      <c r="I204" s="15">
        <v>1.9194077</v>
      </c>
      <c r="J204" s="15">
        <v>2</v>
      </c>
      <c r="K204" s="15">
        <v>1.889557542537643</v>
      </c>
      <c r="L204" s="15">
        <v>2</v>
      </c>
      <c r="M204" s="15">
        <v>1.7714723926380369</v>
      </c>
      <c r="N204" s="15">
        <v>2</v>
      </c>
      <c r="O204" s="15">
        <v>3.1403864836231281</v>
      </c>
      <c r="P204" s="15">
        <v>2</v>
      </c>
      <c r="Q204" s="15">
        <v>1.435619306344331</v>
      </c>
      <c r="R204" s="15">
        <v>2</v>
      </c>
      <c r="S204" s="15">
        <v>2.2055336756081831</v>
      </c>
      <c r="T204" s="15">
        <v>2</v>
      </c>
      <c r="U204" s="15">
        <v>2</v>
      </c>
      <c r="V204" s="15">
        <v>4</v>
      </c>
      <c r="W204" s="15">
        <v>3.62703537940979</v>
      </c>
      <c r="X204" s="15">
        <v>2</v>
      </c>
      <c r="Y204" s="15">
        <v>2.446576109059063</v>
      </c>
      <c r="Z204" s="15">
        <v>2</v>
      </c>
      <c r="AA204" s="15">
        <v>2.2845795154571529</v>
      </c>
      <c r="AB204" s="15">
        <v>2</v>
      </c>
      <c r="AC204" s="15">
        <v>1.841333333333333</v>
      </c>
      <c r="AD204" s="15">
        <v>2</v>
      </c>
      <c r="AE204" s="15">
        <v>2.0746666666666669</v>
      </c>
    </row>
    <row r="205" spans="2:31" x14ac:dyDescent="0.2">
      <c r="B205" s="15">
        <v>2</v>
      </c>
      <c r="C205" s="15">
        <v>3.6340416550249999</v>
      </c>
      <c r="D205" s="15">
        <v>2</v>
      </c>
      <c r="E205" s="15">
        <v>3.28</v>
      </c>
      <c r="F205" s="15">
        <v>2</v>
      </c>
      <c r="G205" s="15">
        <v>2.9462752706305002</v>
      </c>
      <c r="H205" s="15">
        <v>2</v>
      </c>
      <c r="I205" s="15">
        <v>3.1309783000000002</v>
      </c>
      <c r="J205" s="15">
        <v>2</v>
      </c>
      <c r="K205" s="15">
        <v>3.6340416550249999</v>
      </c>
      <c r="L205" s="15">
        <v>2</v>
      </c>
      <c r="M205" s="15">
        <v>2.8256087981146898</v>
      </c>
      <c r="N205" s="15">
        <v>2</v>
      </c>
      <c r="O205" s="15">
        <v>3.3867694922610472</v>
      </c>
      <c r="P205" s="15">
        <v>2</v>
      </c>
      <c r="Q205" s="15">
        <v>3.2837976600697072</v>
      </c>
      <c r="R205" s="15">
        <v>2</v>
      </c>
      <c r="S205" s="15">
        <v>3.081008923084505</v>
      </c>
      <c r="T205" s="15">
        <v>2</v>
      </c>
      <c r="U205" s="15">
        <v>2</v>
      </c>
      <c r="V205" s="15">
        <v>5</v>
      </c>
      <c r="W205" s="15">
        <v>4.0756320953369141</v>
      </c>
      <c r="X205" s="15">
        <v>2</v>
      </c>
      <c r="Y205" s="15">
        <v>3.238417681832555</v>
      </c>
      <c r="Z205" s="15">
        <v>2</v>
      </c>
      <c r="AA205" s="15">
        <v>3.177480936050415</v>
      </c>
      <c r="AB205" s="15">
        <v>2</v>
      </c>
      <c r="AC205" s="15">
        <v>2.445416666666667</v>
      </c>
      <c r="AD205" s="15">
        <v>2</v>
      </c>
      <c r="AE205" s="15">
        <v>2.4859090909090908</v>
      </c>
    </row>
    <row r="206" spans="2:31" x14ac:dyDescent="0.2">
      <c r="B206" s="15">
        <v>2</v>
      </c>
      <c r="C206" s="15">
        <v>3.3049997677398331</v>
      </c>
      <c r="D206" s="15">
        <v>2</v>
      </c>
      <c r="E206" s="15">
        <v>2.09</v>
      </c>
      <c r="F206" s="15">
        <v>2</v>
      </c>
      <c r="G206" s="15">
        <v>2.278412439906361</v>
      </c>
      <c r="H206" s="15">
        <v>2</v>
      </c>
      <c r="I206" s="15">
        <v>2.0645007999999998</v>
      </c>
      <c r="J206" s="15">
        <v>2</v>
      </c>
      <c r="K206" s="15">
        <v>3.3049997677398331</v>
      </c>
      <c r="L206" s="15">
        <v>2</v>
      </c>
      <c r="M206" s="15">
        <v>2.0354879594423321</v>
      </c>
      <c r="N206" s="15">
        <v>2</v>
      </c>
      <c r="O206" s="15">
        <v>3.7131454056076638</v>
      </c>
      <c r="P206" s="15">
        <v>2</v>
      </c>
      <c r="Q206" s="15">
        <v>3.1096075188972709</v>
      </c>
      <c r="R206" s="15">
        <v>2</v>
      </c>
      <c r="S206" s="15">
        <v>2.905442892608888</v>
      </c>
      <c r="T206" s="15">
        <v>2</v>
      </c>
      <c r="U206" s="15">
        <v>2</v>
      </c>
      <c r="V206" s="15">
        <v>3</v>
      </c>
      <c r="W206" s="15">
        <v>2.6526365280151372</v>
      </c>
      <c r="X206" s="15">
        <v>2</v>
      </c>
      <c r="Y206" s="15">
        <v>2.889812540879082</v>
      </c>
      <c r="Z206" s="15">
        <v>2</v>
      </c>
      <c r="AA206" s="15">
        <v>2.828067541122437</v>
      </c>
      <c r="AB206" s="15">
        <v>2</v>
      </c>
      <c r="AC206" s="15">
        <v>2.2632738095238101</v>
      </c>
      <c r="AD206" s="15">
        <v>2</v>
      </c>
      <c r="AE206" s="15">
        <v>2.537059523809523</v>
      </c>
    </row>
    <row r="207" spans="2:31" x14ac:dyDescent="0.2">
      <c r="B207" s="15">
        <v>4</v>
      </c>
      <c r="C207" s="15">
        <v>3.8482224526120432</v>
      </c>
      <c r="D207" s="15">
        <v>4</v>
      </c>
      <c r="E207" s="15">
        <v>4.12</v>
      </c>
      <c r="F207" s="15">
        <v>4</v>
      </c>
      <c r="G207" s="15">
        <v>4.0409173517165824</v>
      </c>
      <c r="H207" s="15">
        <v>4</v>
      </c>
      <c r="I207" s="15">
        <v>4.0148960000000002</v>
      </c>
      <c r="J207" s="15">
        <v>4</v>
      </c>
      <c r="K207" s="15">
        <v>3.8482224526120432</v>
      </c>
      <c r="L207" s="15">
        <v>4</v>
      </c>
      <c r="M207" s="15">
        <v>4.0155208964264082</v>
      </c>
      <c r="N207" s="15">
        <v>4</v>
      </c>
      <c r="O207" s="15">
        <v>4.0251084602044722</v>
      </c>
      <c r="P207" s="15">
        <v>4</v>
      </c>
      <c r="Q207" s="15">
        <v>4.612847789180738</v>
      </c>
      <c r="R207" s="15">
        <v>4</v>
      </c>
      <c r="S207" s="15">
        <v>4.8861976824304296</v>
      </c>
      <c r="T207" s="15">
        <v>4</v>
      </c>
      <c r="U207" s="15">
        <v>4</v>
      </c>
      <c r="V207" s="15">
        <v>3</v>
      </c>
      <c r="W207" s="15">
        <v>4.205601692199707</v>
      </c>
      <c r="X207" s="15">
        <v>4</v>
      </c>
      <c r="Y207" s="15">
        <v>4.0639602408961988</v>
      </c>
      <c r="Z207" s="15">
        <v>4</v>
      </c>
      <c r="AA207" s="15">
        <v>4.405792236328125</v>
      </c>
      <c r="AB207" s="15">
        <v>4</v>
      </c>
      <c r="AC207" s="15">
        <v>4.089440476190477</v>
      </c>
      <c r="AD207" s="15">
        <v>4</v>
      </c>
      <c r="AE207" s="15">
        <v>4.0987301587301586</v>
      </c>
    </row>
    <row r="208" spans="2:31" x14ac:dyDescent="0.2">
      <c r="B208" s="15">
        <v>2</v>
      </c>
      <c r="C208" s="15">
        <v>3.5600662869060442</v>
      </c>
      <c r="D208" s="15">
        <v>2</v>
      </c>
      <c r="E208" s="15">
        <v>3.77</v>
      </c>
      <c r="F208" s="15">
        <v>2</v>
      </c>
      <c r="G208" s="15">
        <v>2.9820409476318281</v>
      </c>
      <c r="H208" s="15">
        <v>2</v>
      </c>
      <c r="I208" s="15">
        <v>3.0503830000000001</v>
      </c>
      <c r="J208" s="15">
        <v>2</v>
      </c>
      <c r="K208" s="15">
        <v>3.5600662869060442</v>
      </c>
      <c r="L208" s="15">
        <v>2</v>
      </c>
      <c r="M208" s="15">
        <v>3</v>
      </c>
      <c r="N208" s="15">
        <v>2</v>
      </c>
      <c r="O208" s="15">
        <v>3.7603226319596188</v>
      </c>
      <c r="P208" s="15">
        <v>2</v>
      </c>
      <c r="Q208" s="15">
        <v>3.0932209307272589</v>
      </c>
      <c r="R208" s="15">
        <v>2</v>
      </c>
      <c r="S208" s="15">
        <v>3.295551041307013</v>
      </c>
      <c r="T208" s="15">
        <v>2</v>
      </c>
      <c r="U208" s="15">
        <v>2</v>
      </c>
      <c r="V208" s="15">
        <v>5</v>
      </c>
      <c r="W208" s="15">
        <v>4.1970005035400391</v>
      </c>
      <c r="X208" s="15">
        <v>2</v>
      </c>
      <c r="Y208" s="15">
        <v>3.3179582529023102</v>
      </c>
      <c r="Z208" s="15">
        <v>2</v>
      </c>
      <c r="AA208" s="15">
        <v>3.1878290176391602</v>
      </c>
      <c r="AB208" s="15">
        <v>2</v>
      </c>
      <c r="AC208" s="15">
        <v>2.504135281385282</v>
      </c>
      <c r="AD208" s="15">
        <v>2</v>
      </c>
      <c r="AE208" s="15">
        <v>2.483166666666667</v>
      </c>
    </row>
    <row r="209" spans="2:31" x14ac:dyDescent="0.2">
      <c r="B209" s="15">
        <v>1</v>
      </c>
      <c r="C209" s="15">
        <v>2.815933485870493</v>
      </c>
      <c r="D209" s="15">
        <v>1</v>
      </c>
      <c r="E209" s="15">
        <v>1.62</v>
      </c>
      <c r="F209" s="15">
        <v>1</v>
      </c>
      <c r="G209" s="15">
        <v>1.45921854921535</v>
      </c>
      <c r="H209" s="15">
        <v>1</v>
      </c>
      <c r="I209" s="15">
        <v>1.2765031</v>
      </c>
      <c r="J209" s="15">
        <v>1</v>
      </c>
      <c r="K209" s="15">
        <v>2.815933485870493</v>
      </c>
      <c r="L209" s="15">
        <v>1</v>
      </c>
      <c r="M209" s="15">
        <v>1.472370766488414</v>
      </c>
      <c r="N209" s="15">
        <v>1</v>
      </c>
      <c r="O209" s="15">
        <v>2.9674371198201999</v>
      </c>
      <c r="P209" s="15">
        <v>1</v>
      </c>
      <c r="Q209" s="15">
        <v>1.836691462469745</v>
      </c>
      <c r="R209" s="15">
        <v>1</v>
      </c>
      <c r="S209" s="15">
        <v>2.224433748832368</v>
      </c>
      <c r="T209" s="15">
        <v>1</v>
      </c>
      <c r="U209" s="15">
        <v>1</v>
      </c>
      <c r="V209" s="15">
        <v>4</v>
      </c>
      <c r="W209" s="15">
        <v>2.6539325714111328</v>
      </c>
      <c r="X209" s="15">
        <v>1</v>
      </c>
      <c r="Y209" s="15">
        <v>1.8953603084910171</v>
      </c>
      <c r="Z209" s="15">
        <v>1</v>
      </c>
      <c r="AA209" s="15">
        <v>1.654738664627075</v>
      </c>
      <c r="AB209" s="15">
        <v>1</v>
      </c>
      <c r="AC209" s="15">
        <v>1.0874999999999999</v>
      </c>
      <c r="AD209" s="15">
        <v>1</v>
      </c>
      <c r="AE209" s="15">
        <v>1.146166666666667</v>
      </c>
    </row>
    <row r="210" spans="2:31" x14ac:dyDescent="0.2">
      <c r="B210" s="15">
        <v>2</v>
      </c>
      <c r="C210" s="15">
        <v>3.8305976287104291</v>
      </c>
      <c r="D210" s="15">
        <v>2</v>
      </c>
      <c r="E210" s="15">
        <v>3.52</v>
      </c>
      <c r="F210" s="15">
        <v>2</v>
      </c>
      <c r="G210" s="15">
        <v>3.7648729733053461</v>
      </c>
      <c r="H210" s="15">
        <v>2</v>
      </c>
      <c r="I210" s="15">
        <v>3.7909513000000001</v>
      </c>
      <c r="J210" s="15">
        <v>2</v>
      </c>
      <c r="K210" s="15">
        <v>3.8305976287104291</v>
      </c>
      <c r="L210" s="15">
        <v>2</v>
      </c>
      <c r="M210" s="15">
        <v>3.4822274881516591</v>
      </c>
      <c r="N210" s="15">
        <v>2</v>
      </c>
      <c r="O210" s="15">
        <v>3.6761161159705269</v>
      </c>
      <c r="P210" s="15">
        <v>2</v>
      </c>
      <c r="Q210" s="15">
        <v>3.9545927892769961</v>
      </c>
      <c r="R210" s="15">
        <v>2</v>
      </c>
      <c r="S210" s="15">
        <v>4.0330764798489049</v>
      </c>
      <c r="T210" s="15">
        <v>2</v>
      </c>
      <c r="U210" s="15">
        <v>2</v>
      </c>
      <c r="V210" s="15">
        <v>4</v>
      </c>
      <c r="W210" s="15">
        <v>3.7637262344360352</v>
      </c>
      <c r="X210" s="15">
        <v>2</v>
      </c>
      <c r="Y210" s="15">
        <v>3.8260731658321649</v>
      </c>
      <c r="Z210" s="15">
        <v>2</v>
      </c>
      <c r="AA210" s="15">
        <v>3.5829637050628662</v>
      </c>
      <c r="AB210" s="15">
        <v>2</v>
      </c>
      <c r="AC210" s="15">
        <v>2.858376984126985</v>
      </c>
      <c r="AD210" s="15">
        <v>2</v>
      </c>
      <c r="AE210" s="15">
        <v>3.0273015873015869</v>
      </c>
    </row>
    <row r="211" spans="2:31" x14ac:dyDescent="0.2">
      <c r="B211" s="15">
        <v>2</v>
      </c>
      <c r="C211" s="15">
        <v>3.628011190738512</v>
      </c>
      <c r="D211" s="15">
        <v>2</v>
      </c>
      <c r="E211" s="15">
        <v>3.6</v>
      </c>
      <c r="F211" s="15">
        <v>2</v>
      </c>
      <c r="G211" s="15">
        <v>3.5179576921714579</v>
      </c>
      <c r="H211" s="15">
        <v>2</v>
      </c>
      <c r="I211" s="15">
        <v>3.6706943999999999</v>
      </c>
      <c r="J211" s="15">
        <v>2</v>
      </c>
      <c r="K211" s="15">
        <v>3.628011190738512</v>
      </c>
      <c r="L211" s="15">
        <v>2</v>
      </c>
      <c r="M211" s="15">
        <v>4.1691297208538591</v>
      </c>
      <c r="N211" s="15">
        <v>2</v>
      </c>
      <c r="O211" s="15">
        <v>3.267787778717175</v>
      </c>
      <c r="P211" s="15">
        <v>2</v>
      </c>
      <c r="Q211" s="15">
        <v>2.8115741377828298</v>
      </c>
      <c r="R211" s="15">
        <v>2</v>
      </c>
      <c r="S211" s="15">
        <v>2.8223405380188482</v>
      </c>
      <c r="T211" s="15">
        <v>2</v>
      </c>
      <c r="U211" s="15">
        <v>2</v>
      </c>
      <c r="V211" s="15">
        <v>5</v>
      </c>
      <c r="W211" s="15">
        <v>4.4093842506408691</v>
      </c>
      <c r="X211" s="15">
        <v>2</v>
      </c>
      <c r="Y211" s="15">
        <v>2.89023014312736</v>
      </c>
      <c r="Z211" s="15">
        <v>2</v>
      </c>
      <c r="AA211" s="15">
        <v>2.6798057556152339</v>
      </c>
      <c r="AB211" s="15">
        <v>2</v>
      </c>
      <c r="AC211" s="15">
        <v>2.2556230158730162</v>
      </c>
      <c r="AD211" s="15">
        <v>2</v>
      </c>
      <c r="AE211" s="15">
        <v>2.1035793650793662</v>
      </c>
    </row>
    <row r="212" spans="2:31" x14ac:dyDescent="0.2">
      <c r="B212" s="15">
        <v>4</v>
      </c>
      <c r="C212" s="15">
        <v>3.7724474729915092</v>
      </c>
      <c r="D212" s="15">
        <v>4</v>
      </c>
      <c r="E212" s="15">
        <v>3.9</v>
      </c>
      <c r="F212" s="15">
        <v>4</v>
      </c>
      <c r="G212" s="15">
        <v>3.7546503103425031</v>
      </c>
      <c r="H212" s="15">
        <v>4</v>
      </c>
      <c r="I212" s="15">
        <v>3.7931140000000001</v>
      </c>
      <c r="J212" s="15">
        <v>4</v>
      </c>
      <c r="K212" s="15">
        <v>3.7724474729915092</v>
      </c>
      <c r="L212" s="15">
        <v>4</v>
      </c>
      <c r="M212" s="15">
        <v>3.859941844364442</v>
      </c>
      <c r="N212" s="15">
        <v>4</v>
      </c>
      <c r="O212" s="15">
        <v>2.8971570785771119</v>
      </c>
      <c r="P212" s="15">
        <v>4</v>
      </c>
      <c r="Q212" s="15">
        <v>3.5752903534270519</v>
      </c>
      <c r="R212" s="15">
        <v>4</v>
      </c>
      <c r="S212" s="15">
        <v>3.791340438015419</v>
      </c>
      <c r="T212" s="15">
        <v>4</v>
      </c>
      <c r="U212" s="15">
        <v>4</v>
      </c>
      <c r="V212" s="15">
        <v>3</v>
      </c>
      <c r="W212" s="15">
        <v>4.4332032203674316</v>
      </c>
      <c r="X212" s="15">
        <v>4</v>
      </c>
      <c r="Y212" s="15">
        <v>3.4933149209454002</v>
      </c>
      <c r="Z212" s="15">
        <v>4</v>
      </c>
      <c r="AA212" s="15">
        <v>3.8287441730499272</v>
      </c>
      <c r="AB212" s="15">
        <v>4</v>
      </c>
      <c r="AC212" s="15">
        <v>3.7530000000000001</v>
      </c>
      <c r="AD212" s="15">
        <v>4</v>
      </c>
      <c r="AE212" s="15">
        <v>3.910595238095238</v>
      </c>
    </row>
    <row r="213" spans="2:31" x14ac:dyDescent="0.2">
      <c r="B213" s="15">
        <v>4</v>
      </c>
      <c r="C213" s="15">
        <v>3.6334400324887448</v>
      </c>
      <c r="D213" s="15">
        <v>4</v>
      </c>
      <c r="E213" s="15">
        <v>3.51</v>
      </c>
      <c r="F213" s="15">
        <v>4</v>
      </c>
      <c r="G213" s="15">
        <v>3.4385848220167312</v>
      </c>
      <c r="H213" s="15">
        <v>4</v>
      </c>
      <c r="I213" s="15">
        <v>3.4298267</v>
      </c>
      <c r="J213" s="15">
        <v>4</v>
      </c>
      <c r="K213" s="15">
        <v>3.6334400324887448</v>
      </c>
      <c r="L213" s="15">
        <v>4</v>
      </c>
      <c r="M213" s="15">
        <v>3.9747958821441252</v>
      </c>
      <c r="N213" s="15">
        <v>4</v>
      </c>
      <c r="O213" s="15">
        <v>3.1256899710414192</v>
      </c>
      <c r="P213" s="15">
        <v>4</v>
      </c>
      <c r="Q213" s="15">
        <v>2.7097895939294281</v>
      </c>
      <c r="R213" s="15">
        <v>4</v>
      </c>
      <c r="S213" s="15">
        <v>2.370898003823557</v>
      </c>
      <c r="T213" s="15">
        <v>4</v>
      </c>
      <c r="U213" s="15">
        <v>4</v>
      </c>
      <c r="V213" s="15">
        <v>1</v>
      </c>
      <c r="W213" s="15">
        <v>3.6760797500610352</v>
      </c>
      <c r="X213" s="15">
        <v>4</v>
      </c>
      <c r="Y213" s="15">
        <v>3.226683398986121</v>
      </c>
      <c r="Z213" s="15">
        <v>4</v>
      </c>
      <c r="AA213" s="15">
        <v>3.3824386596679692</v>
      </c>
      <c r="AB213" s="15">
        <v>4</v>
      </c>
      <c r="AC213" s="15">
        <v>3.5843809523809531</v>
      </c>
      <c r="AD213" s="15">
        <v>4</v>
      </c>
      <c r="AE213" s="15">
        <v>3.547333333333333</v>
      </c>
    </row>
    <row r="214" spans="2:31" x14ac:dyDescent="0.2">
      <c r="B214" s="15">
        <v>4</v>
      </c>
      <c r="C214" s="15">
        <v>3.7358802170389822</v>
      </c>
      <c r="D214" s="15">
        <v>4</v>
      </c>
      <c r="E214" s="15">
        <v>4.3</v>
      </c>
      <c r="F214" s="15">
        <v>4</v>
      </c>
      <c r="G214" s="15">
        <v>4.1363434733919142</v>
      </c>
      <c r="H214" s="15">
        <v>4</v>
      </c>
      <c r="I214" s="15">
        <v>3.9891991999999998</v>
      </c>
      <c r="J214" s="15">
        <v>4</v>
      </c>
      <c r="K214" s="15">
        <v>3.7358802170389822</v>
      </c>
      <c r="L214" s="15">
        <v>4</v>
      </c>
      <c r="M214" s="15">
        <v>4.1529411764705886</v>
      </c>
      <c r="N214" s="15">
        <v>4</v>
      </c>
      <c r="O214" s="15">
        <v>3.3935900812823618</v>
      </c>
      <c r="P214" s="15">
        <v>4</v>
      </c>
      <c r="Q214" s="15">
        <v>3.1457841625528231</v>
      </c>
      <c r="R214" s="15">
        <v>4</v>
      </c>
      <c r="S214" s="15">
        <v>3.342653856706673</v>
      </c>
      <c r="T214" s="15">
        <v>4</v>
      </c>
      <c r="U214" s="15">
        <v>4</v>
      </c>
      <c r="V214" s="15">
        <v>3</v>
      </c>
      <c r="W214" s="15">
        <v>3.5893645286560059</v>
      </c>
      <c r="X214" s="15">
        <v>4</v>
      </c>
      <c r="Y214" s="15">
        <v>3.3205094840240328</v>
      </c>
      <c r="Z214" s="15">
        <v>4</v>
      </c>
      <c r="AA214" s="15">
        <v>3.3522324562072749</v>
      </c>
      <c r="AB214" s="15">
        <v>4</v>
      </c>
      <c r="AC214" s="15">
        <v>3.7237738095238102</v>
      </c>
      <c r="AD214" s="15">
        <v>4</v>
      </c>
      <c r="AE214" s="15">
        <v>3.728301587301587</v>
      </c>
    </row>
    <row r="215" spans="2:31" x14ac:dyDescent="0.2">
      <c r="B215" s="15">
        <v>5</v>
      </c>
      <c r="C215" s="15">
        <v>4.0063718369762062</v>
      </c>
      <c r="D215" s="15">
        <v>5</v>
      </c>
      <c r="E215" s="15">
        <v>3.72</v>
      </c>
      <c r="F215" s="15">
        <v>5</v>
      </c>
      <c r="G215" s="15">
        <v>4.0648431955723137</v>
      </c>
      <c r="H215" s="15">
        <v>5</v>
      </c>
      <c r="I215" s="15">
        <v>4.071574</v>
      </c>
      <c r="J215" s="15">
        <v>5</v>
      </c>
      <c r="K215" s="15">
        <v>4.0063718369762062</v>
      </c>
      <c r="L215" s="15">
        <v>5</v>
      </c>
      <c r="M215" s="15">
        <v>4.0155208964264082</v>
      </c>
      <c r="N215" s="15">
        <v>5</v>
      </c>
      <c r="O215" s="15">
        <v>4.046337581103038</v>
      </c>
      <c r="P215" s="15">
        <v>5</v>
      </c>
      <c r="Q215" s="15">
        <v>3.9377753642867961</v>
      </c>
      <c r="R215" s="15">
        <v>5</v>
      </c>
      <c r="S215" s="15">
        <v>4.576753278998325</v>
      </c>
      <c r="T215" s="15">
        <v>5</v>
      </c>
      <c r="U215" s="15">
        <v>5</v>
      </c>
      <c r="V215" s="15">
        <v>4</v>
      </c>
      <c r="W215" s="15">
        <v>4.4446802139282227</v>
      </c>
      <c r="X215" s="15">
        <v>5</v>
      </c>
      <c r="Y215" s="15">
        <v>4.1636247920123033</v>
      </c>
      <c r="Z215" s="15">
        <v>5</v>
      </c>
      <c r="AA215" s="15">
        <v>3.9452135562896729</v>
      </c>
      <c r="AB215" s="15">
        <v>5</v>
      </c>
      <c r="AC215" s="15">
        <v>4.5804682539682533</v>
      </c>
      <c r="AD215" s="15">
        <v>5</v>
      </c>
      <c r="AE215" s="15">
        <v>4.6505627705627708</v>
      </c>
    </row>
    <row r="216" spans="2:31" x14ac:dyDescent="0.2">
      <c r="B216" s="15">
        <v>2</v>
      </c>
      <c r="C216" s="15">
        <v>3.9659679450532028</v>
      </c>
      <c r="D216" s="15">
        <v>2</v>
      </c>
      <c r="E216" s="15">
        <v>3.36</v>
      </c>
      <c r="F216" s="15">
        <v>2</v>
      </c>
      <c r="G216" s="15">
        <v>3.287733009751856</v>
      </c>
      <c r="H216" s="15">
        <v>2</v>
      </c>
      <c r="I216" s="15">
        <v>3.6305227000000002</v>
      </c>
      <c r="J216" s="15">
        <v>2</v>
      </c>
      <c r="K216" s="15">
        <v>3.9659679450532028</v>
      </c>
      <c r="L216" s="15">
        <v>2</v>
      </c>
      <c r="M216" s="15">
        <v>3.457399103139013</v>
      </c>
      <c r="N216" s="15">
        <v>2</v>
      </c>
      <c r="O216" s="15">
        <v>3.200483983681961</v>
      </c>
      <c r="P216" s="15">
        <v>2</v>
      </c>
      <c r="Q216" s="15">
        <v>3.1455822582771038</v>
      </c>
      <c r="R216" s="15">
        <v>2</v>
      </c>
      <c r="S216" s="15">
        <v>3.0162740365202119</v>
      </c>
      <c r="T216" s="15">
        <v>2</v>
      </c>
      <c r="U216" s="15">
        <v>2</v>
      </c>
      <c r="V216" s="15">
        <v>3</v>
      </c>
      <c r="W216" s="15">
        <v>3.1073672771453862</v>
      </c>
      <c r="X216" s="15">
        <v>2</v>
      </c>
      <c r="Y216" s="15">
        <v>3.2407243253754219</v>
      </c>
      <c r="Z216" s="15">
        <v>2</v>
      </c>
      <c r="AA216" s="15">
        <v>2.757677555084229</v>
      </c>
      <c r="AB216" s="15">
        <v>2</v>
      </c>
      <c r="AC216" s="15">
        <v>2.3177222222222231</v>
      </c>
      <c r="AD216" s="15">
        <v>2</v>
      </c>
      <c r="AE216" s="15">
        <v>2.3596825396825398</v>
      </c>
    </row>
    <row r="217" spans="2:31" x14ac:dyDescent="0.2">
      <c r="B217" s="15">
        <v>3</v>
      </c>
      <c r="C217" s="15">
        <v>4.0684073814882433</v>
      </c>
      <c r="D217" s="15">
        <v>3</v>
      </c>
      <c r="E217" s="15">
        <v>4.05</v>
      </c>
      <c r="F217" s="15">
        <v>3</v>
      </c>
      <c r="G217" s="15">
        <v>3.7283245245774221</v>
      </c>
      <c r="H217" s="15">
        <v>3</v>
      </c>
      <c r="I217" s="15">
        <v>4.0297359999999998</v>
      </c>
      <c r="J217" s="15">
        <v>3</v>
      </c>
      <c r="K217" s="15">
        <v>4.0684073814882433</v>
      </c>
      <c r="L217" s="15">
        <v>3</v>
      </c>
      <c r="M217" s="15">
        <v>3.7917898193760262</v>
      </c>
      <c r="N217" s="15">
        <v>3</v>
      </c>
      <c r="O217" s="15">
        <v>3.8620024088646061</v>
      </c>
      <c r="P217" s="15">
        <v>3</v>
      </c>
      <c r="Q217" s="15">
        <v>3.7080240257096349</v>
      </c>
      <c r="R217" s="15">
        <v>3</v>
      </c>
      <c r="S217" s="15">
        <v>3.577945319455567</v>
      </c>
      <c r="T217" s="15">
        <v>3</v>
      </c>
      <c r="U217" s="15">
        <v>3</v>
      </c>
      <c r="V217" s="15">
        <v>4</v>
      </c>
      <c r="W217" s="15">
        <v>4.2724041938781738</v>
      </c>
      <c r="X217" s="15">
        <v>3</v>
      </c>
      <c r="Y217" s="15">
        <v>3.833553011524605</v>
      </c>
      <c r="Z217" s="15">
        <v>3</v>
      </c>
      <c r="AA217" s="15">
        <v>3.755929708480835</v>
      </c>
      <c r="AB217" s="15">
        <v>3</v>
      </c>
      <c r="AC217" s="15">
        <v>3.3113333333333328</v>
      </c>
      <c r="AD217" s="15">
        <v>3</v>
      </c>
      <c r="AE217" s="15">
        <v>3.2358333333333338</v>
      </c>
    </row>
    <row r="218" spans="2:31" x14ac:dyDescent="0.2">
      <c r="B218" s="15">
        <v>5</v>
      </c>
      <c r="C218" s="15">
        <v>3.838262870355921</v>
      </c>
      <c r="D218" s="15">
        <v>5</v>
      </c>
      <c r="E218" s="15">
        <v>3.72</v>
      </c>
      <c r="F218" s="15">
        <v>5</v>
      </c>
      <c r="G218" s="15">
        <v>3.7337187418751472</v>
      </c>
      <c r="H218" s="15">
        <v>5</v>
      </c>
      <c r="I218" s="15">
        <v>3.6228201000000002</v>
      </c>
      <c r="J218" s="15">
        <v>5</v>
      </c>
      <c r="K218" s="15">
        <v>3.8382628703559218</v>
      </c>
      <c r="L218" s="15">
        <v>5</v>
      </c>
      <c r="M218" s="15">
        <v>3.8083333333333331</v>
      </c>
      <c r="N218" s="15">
        <v>5</v>
      </c>
      <c r="O218" s="15">
        <v>4.0234131847439594</v>
      </c>
      <c r="P218" s="15">
        <v>5</v>
      </c>
      <c r="Q218" s="15">
        <v>4.3846901543449306</v>
      </c>
      <c r="R218" s="15">
        <v>5</v>
      </c>
      <c r="S218" s="15">
        <v>4.4982458452195972</v>
      </c>
      <c r="T218" s="15">
        <v>5</v>
      </c>
      <c r="U218" s="15">
        <v>5</v>
      </c>
      <c r="V218" s="15">
        <v>5</v>
      </c>
      <c r="W218" s="15">
        <v>3.7110400199890141</v>
      </c>
      <c r="X218" s="15">
        <v>5</v>
      </c>
      <c r="Y218" s="15">
        <v>4.2024008073691386</v>
      </c>
      <c r="Z218" s="15">
        <v>5</v>
      </c>
      <c r="AA218" s="15">
        <v>3.9946074485778809</v>
      </c>
      <c r="AB218" s="15">
        <v>5</v>
      </c>
      <c r="AC218" s="15">
        <v>4.6993333333333336</v>
      </c>
      <c r="AD218" s="15">
        <v>5</v>
      </c>
      <c r="AE218" s="15">
        <v>4.7404206349206346</v>
      </c>
    </row>
    <row r="219" spans="2:31" x14ac:dyDescent="0.2">
      <c r="B219" s="15">
        <v>3</v>
      </c>
      <c r="C219" s="15">
        <v>3.7816345110642611</v>
      </c>
      <c r="D219" s="15">
        <v>3</v>
      </c>
      <c r="E219" s="15">
        <v>4.07</v>
      </c>
      <c r="F219" s="15">
        <v>3</v>
      </c>
      <c r="G219" s="15">
        <v>4.1828108715576002</v>
      </c>
      <c r="H219" s="15">
        <v>3</v>
      </c>
      <c r="I219" s="15">
        <v>4.225873</v>
      </c>
      <c r="J219" s="15">
        <v>3</v>
      </c>
      <c r="K219" s="15">
        <v>3.7816345110642611</v>
      </c>
      <c r="L219" s="15">
        <v>3</v>
      </c>
      <c r="M219" s="15">
        <v>4.2791702679343127</v>
      </c>
      <c r="N219" s="15">
        <v>3</v>
      </c>
      <c r="O219" s="15">
        <v>4.0024331106936852</v>
      </c>
      <c r="P219" s="15">
        <v>3</v>
      </c>
      <c r="Q219" s="15">
        <v>4.2711348121443171</v>
      </c>
      <c r="R219" s="15">
        <v>3</v>
      </c>
      <c r="S219" s="15">
        <v>4.3574522402464044</v>
      </c>
      <c r="T219" s="15">
        <v>3</v>
      </c>
      <c r="U219" s="15">
        <v>3</v>
      </c>
      <c r="V219" s="15">
        <v>3</v>
      </c>
      <c r="W219" s="15">
        <v>2.850361585617065</v>
      </c>
      <c r="X219" s="15">
        <v>3</v>
      </c>
      <c r="Y219" s="15">
        <v>3.909550649640166</v>
      </c>
      <c r="Z219" s="15">
        <v>3</v>
      </c>
      <c r="AA219" s="15">
        <v>3.8563859462738042</v>
      </c>
      <c r="AB219" s="15">
        <v>3</v>
      </c>
      <c r="AC219" s="15">
        <v>3.6165396825396821</v>
      </c>
      <c r="AD219" s="15">
        <v>3</v>
      </c>
      <c r="AE219" s="15">
        <v>3.53102380952381</v>
      </c>
    </row>
    <row r="220" spans="2:31" x14ac:dyDescent="0.2">
      <c r="B220" s="15">
        <v>3</v>
      </c>
      <c r="C220" s="15">
        <v>3.5045069292157698</v>
      </c>
      <c r="D220" s="15">
        <v>3</v>
      </c>
      <c r="E220" s="15">
        <v>2.4700000000000002</v>
      </c>
      <c r="F220" s="15">
        <v>3</v>
      </c>
      <c r="G220" s="15">
        <v>2.41019560263668</v>
      </c>
      <c r="H220" s="15">
        <v>3</v>
      </c>
      <c r="I220" s="15">
        <v>2.3956213000000002</v>
      </c>
      <c r="J220" s="15">
        <v>3</v>
      </c>
      <c r="K220" s="15">
        <v>3.5045069292157698</v>
      </c>
      <c r="L220" s="15">
        <v>3</v>
      </c>
      <c r="M220" s="15">
        <v>2.303370786516854</v>
      </c>
      <c r="N220" s="15">
        <v>3</v>
      </c>
      <c r="O220" s="15">
        <v>3.000200219589956</v>
      </c>
      <c r="P220" s="15">
        <v>3</v>
      </c>
      <c r="Q220" s="15">
        <v>2.287795157700776</v>
      </c>
      <c r="R220" s="15">
        <v>3</v>
      </c>
      <c r="S220" s="15">
        <v>1.652604543188702</v>
      </c>
      <c r="T220" s="15">
        <v>3</v>
      </c>
      <c r="U220" s="15">
        <v>3</v>
      </c>
      <c r="V220" s="15">
        <v>5</v>
      </c>
      <c r="W220" s="15">
        <v>4.5139665603637704</v>
      </c>
      <c r="X220" s="15">
        <v>3</v>
      </c>
      <c r="Y220" s="15">
        <v>2.939023335729706</v>
      </c>
      <c r="Z220" s="15">
        <v>3</v>
      </c>
      <c r="AA220" s="15">
        <v>2.7301585674285889</v>
      </c>
      <c r="AB220" s="15">
        <v>3</v>
      </c>
      <c r="AC220" s="15">
        <v>2.6554047619047618</v>
      </c>
      <c r="AD220" s="15">
        <v>3</v>
      </c>
      <c r="AE220" s="15">
        <v>2.781130952380952</v>
      </c>
    </row>
    <row r="221" spans="2:31" x14ac:dyDescent="0.2">
      <c r="B221" s="15">
        <v>3</v>
      </c>
      <c r="C221" s="15">
        <v>3.5945347898294711</v>
      </c>
      <c r="D221" s="15">
        <v>3</v>
      </c>
      <c r="E221" s="15">
        <v>3.16</v>
      </c>
      <c r="F221" s="15">
        <v>3</v>
      </c>
      <c r="G221" s="15">
        <v>3.5145365572496301</v>
      </c>
      <c r="H221" s="15">
        <v>3</v>
      </c>
      <c r="I221" s="15">
        <v>3.1893596999999998</v>
      </c>
      <c r="J221" s="15">
        <v>3</v>
      </c>
      <c r="K221" s="15">
        <v>3.5945347898294711</v>
      </c>
      <c r="L221" s="15">
        <v>3</v>
      </c>
      <c r="M221" s="15">
        <v>3.457399103139013</v>
      </c>
      <c r="N221" s="15">
        <v>3</v>
      </c>
      <c r="O221" s="15">
        <v>3.913200092624562</v>
      </c>
      <c r="P221" s="15">
        <v>3</v>
      </c>
      <c r="Q221" s="15">
        <v>4.3011631410290398</v>
      </c>
      <c r="R221" s="15">
        <v>3</v>
      </c>
      <c r="S221" s="15">
        <v>4.6384017103923707</v>
      </c>
      <c r="T221" s="15">
        <v>3</v>
      </c>
      <c r="U221" s="15">
        <v>3</v>
      </c>
      <c r="V221" s="15">
        <v>1</v>
      </c>
      <c r="W221" s="15">
        <v>3.5331754684448242</v>
      </c>
      <c r="X221" s="15">
        <v>3</v>
      </c>
      <c r="Y221" s="15">
        <v>4.1264440787270109</v>
      </c>
      <c r="Z221" s="15">
        <v>3</v>
      </c>
      <c r="AA221" s="15">
        <v>4.2804813385009766</v>
      </c>
      <c r="AB221" s="15">
        <v>3</v>
      </c>
      <c r="AC221" s="15">
        <v>3.195321428571428</v>
      </c>
      <c r="AD221" s="15">
        <v>3</v>
      </c>
      <c r="AE221" s="15">
        <v>3.519650793650793</v>
      </c>
    </row>
    <row r="222" spans="2:31" x14ac:dyDescent="0.2">
      <c r="B222" s="15">
        <v>5</v>
      </c>
      <c r="C222" s="15">
        <v>4.1436453283035828</v>
      </c>
      <c r="D222" s="15">
        <v>5</v>
      </c>
      <c r="E222" s="15">
        <v>4.04</v>
      </c>
      <c r="F222" s="15">
        <v>5</v>
      </c>
      <c r="G222" s="15">
        <v>4.1557143510421906</v>
      </c>
      <c r="H222" s="15">
        <v>5</v>
      </c>
      <c r="I222" s="15">
        <v>4.1034220000000001</v>
      </c>
      <c r="J222" s="15">
        <v>5</v>
      </c>
      <c r="K222" s="15">
        <v>4.1436453283035828</v>
      </c>
      <c r="L222" s="15">
        <v>5</v>
      </c>
      <c r="M222" s="15">
        <v>4.0956156716417906</v>
      </c>
      <c r="N222" s="15">
        <v>5</v>
      </c>
      <c r="O222" s="15">
        <v>3.3324287429044359</v>
      </c>
      <c r="P222" s="15">
        <v>5</v>
      </c>
      <c r="Q222" s="15">
        <v>4.038930776265734</v>
      </c>
      <c r="R222" s="15">
        <v>5</v>
      </c>
      <c r="S222" s="15">
        <v>3.941892070598819</v>
      </c>
      <c r="T222" s="15">
        <v>5</v>
      </c>
      <c r="U222" s="15">
        <v>5</v>
      </c>
      <c r="V222" s="15">
        <v>3</v>
      </c>
      <c r="W222" s="15">
        <v>2.4314861297607422</v>
      </c>
      <c r="X222" s="15">
        <v>5</v>
      </c>
      <c r="Y222" s="15">
        <v>4.0369249861867678</v>
      </c>
      <c r="Z222" s="15">
        <v>5</v>
      </c>
      <c r="AA222" s="15">
        <v>4.4576630592346191</v>
      </c>
      <c r="AB222" s="15">
        <v>5</v>
      </c>
      <c r="AC222" s="15">
        <v>4.6230952380952379</v>
      </c>
      <c r="AD222" s="15">
        <v>5</v>
      </c>
      <c r="AE222" s="15">
        <v>4.7133809523809518</v>
      </c>
    </row>
    <row r="223" spans="2:31" x14ac:dyDescent="0.2">
      <c r="B223" s="15">
        <v>5</v>
      </c>
      <c r="C223" s="15">
        <v>3.451496291617107</v>
      </c>
      <c r="D223" s="15">
        <v>5</v>
      </c>
      <c r="E223" s="15">
        <v>3.3</v>
      </c>
      <c r="F223" s="15">
        <v>5</v>
      </c>
      <c r="G223" s="15">
        <v>2.9430049459669552</v>
      </c>
      <c r="H223" s="15">
        <v>5</v>
      </c>
      <c r="I223" s="15">
        <v>3.0536439999999998</v>
      </c>
      <c r="J223" s="15">
        <v>5</v>
      </c>
      <c r="K223" s="15">
        <v>3.451496291617107</v>
      </c>
      <c r="L223" s="15">
        <v>5</v>
      </c>
      <c r="M223" s="15">
        <v>2.7670682730923701</v>
      </c>
      <c r="N223" s="15">
        <v>5</v>
      </c>
      <c r="O223" s="15">
        <v>4.2613303127517916</v>
      </c>
      <c r="P223" s="15">
        <v>5</v>
      </c>
      <c r="Q223" s="15">
        <v>4.2601664781110058</v>
      </c>
      <c r="R223" s="15">
        <v>5</v>
      </c>
      <c r="S223" s="15">
        <v>4.6798213373883089</v>
      </c>
      <c r="T223" s="15">
        <v>5</v>
      </c>
      <c r="U223" s="15">
        <v>5</v>
      </c>
      <c r="V223" s="15">
        <v>3</v>
      </c>
      <c r="W223" s="15">
        <v>2.863904714584351</v>
      </c>
      <c r="X223" s="15">
        <v>5</v>
      </c>
      <c r="Y223" s="15">
        <v>4.3796106051524069</v>
      </c>
      <c r="Z223" s="15">
        <v>5</v>
      </c>
      <c r="AA223" s="15">
        <v>4.3446602821350098</v>
      </c>
      <c r="AB223" s="15">
        <v>5</v>
      </c>
      <c r="AC223" s="15">
        <v>4.6814166666666663</v>
      </c>
      <c r="AD223" s="15">
        <v>5</v>
      </c>
      <c r="AE223" s="15">
        <v>4.5418214285714296</v>
      </c>
    </row>
    <row r="224" spans="2:31" x14ac:dyDescent="0.2">
      <c r="B224" s="15">
        <v>4</v>
      </c>
      <c r="C224" s="15">
        <v>3.3728615001711861</v>
      </c>
      <c r="D224" s="15">
        <v>4</v>
      </c>
      <c r="E224" s="15">
        <v>3.61</v>
      </c>
      <c r="F224" s="15">
        <v>4</v>
      </c>
      <c r="G224" s="15">
        <v>3.824098384015266</v>
      </c>
      <c r="H224" s="15">
        <v>4</v>
      </c>
      <c r="I224" s="15">
        <v>3.6064216999999998</v>
      </c>
      <c r="J224" s="15">
        <v>4</v>
      </c>
      <c r="K224" s="15">
        <v>3.3728615001711861</v>
      </c>
      <c r="L224" s="15">
        <v>4</v>
      </c>
      <c r="M224" s="15">
        <v>3.9421397379912659</v>
      </c>
      <c r="N224" s="15">
        <v>4</v>
      </c>
      <c r="O224" s="15">
        <v>3.7321648694524829</v>
      </c>
      <c r="P224" s="15">
        <v>4</v>
      </c>
      <c r="Q224" s="15">
        <v>3.7600289219993579</v>
      </c>
      <c r="R224" s="15">
        <v>4</v>
      </c>
      <c r="S224" s="15">
        <v>4.1255339792675798</v>
      </c>
      <c r="T224" s="15">
        <v>4</v>
      </c>
      <c r="U224" s="15">
        <v>4</v>
      </c>
      <c r="V224" s="15">
        <v>1</v>
      </c>
      <c r="W224" s="15">
        <v>3.2211151123046879</v>
      </c>
      <c r="X224" s="15">
        <v>4</v>
      </c>
      <c r="Y224" s="15">
        <v>3.6694749404044189</v>
      </c>
      <c r="Z224" s="15">
        <v>4</v>
      </c>
      <c r="AA224" s="15">
        <v>3.7641036510467529</v>
      </c>
      <c r="AB224" s="15">
        <v>4</v>
      </c>
      <c r="AC224" s="15">
        <v>4.0932261904761909</v>
      </c>
      <c r="AD224" s="15">
        <v>4</v>
      </c>
      <c r="AE224" s="15">
        <v>4.1364047619047613</v>
      </c>
    </row>
    <row r="225" spans="2:31" x14ac:dyDescent="0.2">
      <c r="B225" s="15">
        <v>5</v>
      </c>
      <c r="C225" s="15">
        <v>4.0516857391487404</v>
      </c>
      <c r="D225" s="15">
        <v>5</v>
      </c>
      <c r="E225" s="15">
        <v>4.2</v>
      </c>
      <c r="F225" s="15">
        <v>5</v>
      </c>
      <c r="G225" s="15">
        <v>4.2793438769608434</v>
      </c>
      <c r="H225" s="15">
        <v>5</v>
      </c>
      <c r="I225" s="15">
        <v>4.2721724999999999</v>
      </c>
      <c r="J225" s="15">
        <v>5</v>
      </c>
      <c r="K225" s="15">
        <v>4.0516857391487404</v>
      </c>
      <c r="L225" s="15">
        <v>5</v>
      </c>
      <c r="M225" s="15">
        <v>4.1937967914438499</v>
      </c>
      <c r="N225" s="15">
        <v>5</v>
      </c>
      <c r="O225" s="15">
        <v>3.8289338563916302</v>
      </c>
      <c r="P225" s="15">
        <v>5</v>
      </c>
      <c r="Q225" s="15">
        <v>4.5714051398631694</v>
      </c>
      <c r="R225" s="15">
        <v>5</v>
      </c>
      <c r="S225" s="15">
        <v>4.6322878519724489</v>
      </c>
      <c r="T225" s="15">
        <v>5</v>
      </c>
      <c r="U225" s="15">
        <v>5</v>
      </c>
      <c r="V225" s="15">
        <v>4</v>
      </c>
      <c r="W225" s="15">
        <v>3.4257404804229741</v>
      </c>
      <c r="X225" s="15">
        <v>5</v>
      </c>
      <c r="Y225" s="15">
        <v>3.6886362903791849</v>
      </c>
      <c r="Z225" s="15">
        <v>5</v>
      </c>
      <c r="AA225" s="15">
        <v>3.6233863830566411</v>
      </c>
      <c r="AB225" s="15">
        <v>5</v>
      </c>
      <c r="AC225" s="15">
        <v>4.7279285714285706</v>
      </c>
      <c r="AD225" s="15">
        <v>5</v>
      </c>
      <c r="AE225" s="15">
        <v>4.6101904761904766</v>
      </c>
    </row>
    <row r="226" spans="2:31" x14ac:dyDescent="0.2">
      <c r="B226" s="15">
        <v>5</v>
      </c>
      <c r="C226" s="15">
        <v>3.6845194274241062</v>
      </c>
      <c r="D226" s="15">
        <v>5</v>
      </c>
      <c r="E226" s="15">
        <v>4.28</v>
      </c>
      <c r="F226" s="15">
        <v>5</v>
      </c>
      <c r="G226" s="15">
        <v>4.2226036457722884</v>
      </c>
      <c r="H226" s="15">
        <v>5</v>
      </c>
      <c r="I226" s="15">
        <v>4.3138914000000002</v>
      </c>
      <c r="J226" s="15">
        <v>5</v>
      </c>
      <c r="K226" s="15">
        <v>3.6845194274241062</v>
      </c>
      <c r="L226" s="15">
        <v>5</v>
      </c>
      <c r="M226" s="15">
        <v>4.2070844686648501</v>
      </c>
      <c r="N226" s="15">
        <v>5</v>
      </c>
      <c r="O226" s="15">
        <v>3.2228909376574708</v>
      </c>
      <c r="P226" s="15">
        <v>5</v>
      </c>
      <c r="Q226" s="15">
        <v>3.6112336937354961</v>
      </c>
      <c r="R226" s="15">
        <v>5</v>
      </c>
      <c r="S226" s="15">
        <v>3.21859747266386</v>
      </c>
      <c r="T226" s="15">
        <v>5</v>
      </c>
      <c r="U226" s="15">
        <v>5</v>
      </c>
      <c r="V226" s="15">
        <v>4</v>
      </c>
      <c r="W226" s="15">
        <v>4.2422637939453116</v>
      </c>
      <c r="X226" s="15">
        <v>5</v>
      </c>
      <c r="Y226" s="15">
        <v>3.7325406287243261</v>
      </c>
      <c r="Z226" s="15">
        <v>5</v>
      </c>
      <c r="AA226" s="15">
        <v>3.9133567810058589</v>
      </c>
      <c r="AB226" s="15">
        <v>5</v>
      </c>
      <c r="AC226" s="15">
        <v>4.6664761904761907</v>
      </c>
      <c r="AD226" s="15">
        <v>5</v>
      </c>
      <c r="AE226" s="15">
        <v>4.4378333333333337</v>
      </c>
    </row>
    <row r="227" spans="2:31" x14ac:dyDescent="0.2">
      <c r="B227" s="15">
        <v>5</v>
      </c>
      <c r="C227" s="15">
        <v>3.7227611689158109</v>
      </c>
      <c r="D227" s="15">
        <v>5</v>
      </c>
      <c r="E227" s="15">
        <v>4.16</v>
      </c>
      <c r="F227" s="15">
        <v>5</v>
      </c>
      <c r="G227" s="15">
        <v>3.9504307297386072</v>
      </c>
      <c r="H227" s="15">
        <v>5</v>
      </c>
      <c r="I227" s="15">
        <v>3.9880049999999998</v>
      </c>
      <c r="J227" s="15">
        <v>5</v>
      </c>
      <c r="K227" s="15">
        <v>3.7227611689158109</v>
      </c>
      <c r="L227" s="15">
        <v>5</v>
      </c>
      <c r="M227" s="15">
        <v>3.9747958821441252</v>
      </c>
      <c r="N227" s="15">
        <v>5</v>
      </c>
      <c r="O227" s="15">
        <v>4.0582201858885174</v>
      </c>
      <c r="P227" s="15">
        <v>5</v>
      </c>
      <c r="Q227" s="15">
        <v>5.5032276561004547</v>
      </c>
      <c r="R227" s="15">
        <v>5</v>
      </c>
      <c r="S227" s="15">
        <v>5.7448961900191922</v>
      </c>
      <c r="T227" s="15">
        <v>5</v>
      </c>
      <c r="U227" s="15">
        <v>5</v>
      </c>
      <c r="V227" s="15">
        <v>4</v>
      </c>
      <c r="W227" s="15">
        <v>4.235931396484375</v>
      </c>
      <c r="X227" s="15">
        <v>5</v>
      </c>
      <c r="Y227" s="15">
        <v>4.8071888428773466</v>
      </c>
      <c r="Z227" s="15">
        <v>5</v>
      </c>
      <c r="AA227" s="15">
        <v>4.9729366302490234</v>
      </c>
      <c r="AB227" s="15">
        <v>5</v>
      </c>
      <c r="AC227" s="15">
        <v>4.8608809523809517</v>
      </c>
      <c r="AD227" s="15">
        <v>5</v>
      </c>
      <c r="AE227" s="15">
        <v>4.7609523809523813</v>
      </c>
    </row>
    <row r="228" spans="2:31" x14ac:dyDescent="0.2">
      <c r="B228" s="15">
        <v>4</v>
      </c>
      <c r="C228" s="15">
        <v>3.9773232770683631</v>
      </c>
      <c r="D228" s="15">
        <v>4</v>
      </c>
      <c r="E228" s="15">
        <v>4.03</v>
      </c>
      <c r="F228" s="15">
        <v>4</v>
      </c>
      <c r="G228" s="15">
        <v>4.0380153922869617</v>
      </c>
      <c r="H228" s="15">
        <v>4</v>
      </c>
      <c r="I228" s="15">
        <v>4.0962787000000001</v>
      </c>
      <c r="J228" s="15">
        <v>4</v>
      </c>
      <c r="K228" s="15">
        <v>3.9773232770683631</v>
      </c>
      <c r="L228" s="15">
        <v>4</v>
      </c>
      <c r="M228" s="15">
        <v>3.7552812071330588</v>
      </c>
      <c r="N228" s="15">
        <v>4</v>
      </c>
      <c r="O228" s="15">
        <v>3.985875992178701</v>
      </c>
      <c r="P228" s="15">
        <v>4</v>
      </c>
      <c r="Q228" s="15">
        <v>3.8495796308720869</v>
      </c>
      <c r="R228" s="15">
        <v>4</v>
      </c>
      <c r="S228" s="15">
        <v>4.3652921375125331</v>
      </c>
      <c r="T228" s="15">
        <v>4</v>
      </c>
      <c r="U228" s="15">
        <v>4</v>
      </c>
      <c r="V228" s="15">
        <v>5</v>
      </c>
      <c r="W228" s="15">
        <v>4.0442209243774414</v>
      </c>
      <c r="X228" s="15">
        <v>4</v>
      </c>
      <c r="Y228" s="15">
        <v>3.9733377191914441</v>
      </c>
      <c r="Z228" s="15">
        <v>4</v>
      </c>
      <c r="AA228" s="15">
        <v>3.8683326244354248</v>
      </c>
      <c r="AB228" s="15">
        <v>4</v>
      </c>
      <c r="AC228" s="15">
        <v>3.83556277056277</v>
      </c>
      <c r="AD228" s="15">
        <v>4</v>
      </c>
      <c r="AE228" s="15">
        <v>3.8116666666666661</v>
      </c>
    </row>
    <row r="229" spans="2:31" x14ac:dyDescent="0.2">
      <c r="B229" s="15">
        <v>2</v>
      </c>
      <c r="C229" s="15">
        <v>3.3165482782796669</v>
      </c>
      <c r="D229" s="15">
        <v>2</v>
      </c>
      <c r="E229" s="15">
        <v>2.41</v>
      </c>
      <c r="F229" s="15">
        <v>2</v>
      </c>
      <c r="G229" s="15">
        <v>2.3446864686191509</v>
      </c>
      <c r="H229" s="15">
        <v>2</v>
      </c>
      <c r="I229" s="15">
        <v>2.4020393000000002</v>
      </c>
      <c r="J229" s="15">
        <v>2</v>
      </c>
      <c r="K229" s="15">
        <v>3.3165482782796669</v>
      </c>
      <c r="L229" s="15">
        <v>2</v>
      </c>
      <c r="M229" s="15">
        <v>2.2094594594594601</v>
      </c>
      <c r="N229" s="15">
        <v>2</v>
      </c>
      <c r="O229" s="15">
        <v>3.4284050435790752</v>
      </c>
      <c r="P229" s="15">
        <v>2</v>
      </c>
      <c r="Q229" s="15">
        <v>3.3921535967520411</v>
      </c>
      <c r="R229" s="15">
        <v>2</v>
      </c>
      <c r="S229" s="15">
        <v>3.4224335714735918</v>
      </c>
      <c r="T229" s="15">
        <v>2</v>
      </c>
      <c r="U229" s="15">
        <v>2</v>
      </c>
      <c r="V229" s="15">
        <v>5</v>
      </c>
      <c r="W229" s="15">
        <v>3.5907261371612549</v>
      </c>
      <c r="X229" s="15">
        <v>2</v>
      </c>
      <c r="Y229" s="15">
        <v>3.072357068073337</v>
      </c>
      <c r="Z229" s="15">
        <v>2</v>
      </c>
      <c r="AA229" s="15">
        <v>3.3795983791351318</v>
      </c>
      <c r="AB229" s="15">
        <v>2</v>
      </c>
      <c r="AC229" s="15">
        <v>2.2507976190476189</v>
      </c>
      <c r="AD229" s="15">
        <v>2</v>
      </c>
      <c r="AE229" s="15">
        <v>2.425154761904762</v>
      </c>
    </row>
    <row r="230" spans="2:31" x14ac:dyDescent="0.2">
      <c r="B230" s="15">
        <v>5</v>
      </c>
      <c r="C230" s="15">
        <v>3.5153430283302449</v>
      </c>
      <c r="D230" s="15">
        <v>5</v>
      </c>
      <c r="E230" s="15">
        <v>3.51</v>
      </c>
      <c r="F230" s="15">
        <v>5</v>
      </c>
      <c r="G230" s="15">
        <v>3.4259990052233169</v>
      </c>
      <c r="H230" s="15">
        <v>5</v>
      </c>
      <c r="I230" s="15">
        <v>3.4330113</v>
      </c>
      <c r="J230" s="15">
        <v>5</v>
      </c>
      <c r="K230" s="15">
        <v>3.5153430283302449</v>
      </c>
      <c r="L230" s="15">
        <v>5</v>
      </c>
      <c r="M230" s="15">
        <v>3.275147928994083</v>
      </c>
      <c r="N230" s="15">
        <v>5</v>
      </c>
      <c r="O230" s="15">
        <v>4.3193548131530841</v>
      </c>
      <c r="P230" s="15">
        <v>5</v>
      </c>
      <c r="Q230" s="15">
        <v>3.20716282600113</v>
      </c>
      <c r="R230" s="15">
        <v>5</v>
      </c>
      <c r="S230" s="15">
        <v>3.199535539354994</v>
      </c>
      <c r="T230" s="15">
        <v>5</v>
      </c>
      <c r="U230" s="15">
        <v>5</v>
      </c>
      <c r="V230" s="15">
        <v>4</v>
      </c>
      <c r="W230" s="15">
        <v>3.606780052185059</v>
      </c>
      <c r="X230" s="15">
        <v>5</v>
      </c>
      <c r="Y230" s="15">
        <v>4.0533551336252236</v>
      </c>
      <c r="Z230" s="15">
        <v>5</v>
      </c>
      <c r="AA230" s="15">
        <v>3.8264470100402832</v>
      </c>
      <c r="AB230" s="15">
        <v>5</v>
      </c>
      <c r="AC230" s="15">
        <v>4.3401111111111108</v>
      </c>
      <c r="AD230" s="15">
        <v>5</v>
      </c>
      <c r="AE230" s="15">
        <v>4.3160317460317454</v>
      </c>
    </row>
    <row r="231" spans="2:31" x14ac:dyDescent="0.2">
      <c r="B231" s="15">
        <v>4</v>
      </c>
      <c r="C231" s="15">
        <v>3.959032440071006</v>
      </c>
      <c r="D231" s="15">
        <v>4</v>
      </c>
      <c r="E231" s="15">
        <v>2.75</v>
      </c>
      <c r="F231" s="15">
        <v>4</v>
      </c>
      <c r="G231" s="15">
        <v>3.2329187167058722</v>
      </c>
      <c r="H231" s="15">
        <v>4</v>
      </c>
      <c r="I231" s="15">
        <v>3.0272472000000001</v>
      </c>
      <c r="J231" s="15">
        <v>4</v>
      </c>
      <c r="K231" s="15">
        <v>3.959032440071006</v>
      </c>
      <c r="L231" s="15">
        <v>4</v>
      </c>
      <c r="M231" s="15">
        <v>2.8340395480225991</v>
      </c>
      <c r="N231" s="15">
        <v>4</v>
      </c>
      <c r="O231" s="15">
        <v>3.7247499781145939</v>
      </c>
      <c r="P231" s="15">
        <v>4</v>
      </c>
      <c r="Q231" s="15">
        <v>3.5030200122878932</v>
      </c>
      <c r="R231" s="15">
        <v>4</v>
      </c>
      <c r="S231" s="15">
        <v>3.6418028004646299</v>
      </c>
      <c r="T231" s="15">
        <v>4</v>
      </c>
      <c r="U231" s="15">
        <v>4</v>
      </c>
      <c r="V231" s="15">
        <v>2</v>
      </c>
      <c r="W231" s="15">
        <v>2.8382565975189209</v>
      </c>
      <c r="X231" s="15">
        <v>4</v>
      </c>
      <c r="Y231" s="15">
        <v>3.829067797015385</v>
      </c>
      <c r="Z231" s="15">
        <v>4</v>
      </c>
      <c r="AA231" s="15">
        <v>3.748930692672729</v>
      </c>
      <c r="AB231" s="15">
        <v>4</v>
      </c>
      <c r="AC231" s="15">
        <v>3.7443333333333331</v>
      </c>
      <c r="AD231" s="15">
        <v>4</v>
      </c>
      <c r="AE231" s="15">
        <v>3.933785714285714</v>
      </c>
    </row>
    <row r="232" spans="2:31" x14ac:dyDescent="0.2">
      <c r="B232" s="15">
        <v>1</v>
      </c>
      <c r="C232" s="15">
        <v>3.4829856307422862</v>
      </c>
      <c r="D232" s="15">
        <v>1</v>
      </c>
      <c r="E232" s="15">
        <v>3.47</v>
      </c>
      <c r="F232" s="15">
        <v>1</v>
      </c>
      <c r="G232" s="15">
        <v>3.1668052210502822</v>
      </c>
      <c r="H232" s="15">
        <v>1</v>
      </c>
      <c r="I232" s="15">
        <v>3.1269841</v>
      </c>
      <c r="J232" s="15">
        <v>1</v>
      </c>
      <c r="K232" s="15">
        <v>3.4829856307422862</v>
      </c>
      <c r="L232" s="15">
        <v>1</v>
      </c>
      <c r="M232" s="15">
        <v>3.6448673277941568</v>
      </c>
      <c r="N232" s="15">
        <v>1</v>
      </c>
      <c r="O232" s="15">
        <v>3.943205803904652</v>
      </c>
      <c r="P232" s="15">
        <v>1</v>
      </c>
      <c r="Q232" s="15">
        <v>3.7339503953090878</v>
      </c>
      <c r="R232" s="15">
        <v>1</v>
      </c>
      <c r="S232" s="15">
        <v>3.4814349036834651</v>
      </c>
      <c r="T232" s="15">
        <v>1</v>
      </c>
      <c r="U232" s="15">
        <v>1</v>
      </c>
      <c r="V232" s="15">
        <v>1</v>
      </c>
      <c r="W232" s="15">
        <v>1.0119330883026121</v>
      </c>
      <c r="X232" s="15">
        <v>1</v>
      </c>
      <c r="Y232" s="15">
        <v>3.2012358936811882</v>
      </c>
      <c r="Z232" s="15">
        <v>1</v>
      </c>
      <c r="AA232" s="15">
        <v>2.8661255836486821</v>
      </c>
      <c r="AB232" s="15">
        <v>1</v>
      </c>
      <c r="AC232" s="15">
        <v>2.180714285714286</v>
      </c>
      <c r="AD232" s="15">
        <v>1</v>
      </c>
      <c r="AE232" s="15">
        <v>2.3125338827838831</v>
      </c>
    </row>
    <row r="233" spans="2:31" x14ac:dyDescent="0.2">
      <c r="B233" s="15">
        <v>4</v>
      </c>
      <c r="C233" s="15">
        <v>3.6178484496627088</v>
      </c>
      <c r="D233" s="15">
        <v>4</v>
      </c>
      <c r="E233" s="15">
        <v>3.13</v>
      </c>
      <c r="F233" s="15">
        <v>4</v>
      </c>
      <c r="G233" s="15">
        <v>3.3321351782213688</v>
      </c>
      <c r="H233" s="15">
        <v>4</v>
      </c>
      <c r="I233" s="15">
        <v>3.3729429999999998</v>
      </c>
      <c r="J233" s="15">
        <v>4</v>
      </c>
      <c r="K233" s="15">
        <v>3.6178484496627088</v>
      </c>
      <c r="L233" s="15">
        <v>4</v>
      </c>
      <c r="M233" s="15">
        <v>3.4249596557288871</v>
      </c>
      <c r="N233" s="15">
        <v>4</v>
      </c>
      <c r="O233" s="15">
        <v>3.2302069512018932</v>
      </c>
      <c r="P233" s="15">
        <v>4</v>
      </c>
      <c r="Q233" s="15">
        <v>3.6319113213888148</v>
      </c>
      <c r="R233" s="15">
        <v>4</v>
      </c>
      <c r="S233" s="15">
        <v>3.6231943906535218</v>
      </c>
      <c r="T233" s="15">
        <v>4</v>
      </c>
      <c r="U233" s="15">
        <v>4</v>
      </c>
      <c r="V233" s="15">
        <v>1</v>
      </c>
      <c r="W233" s="15">
        <v>2.9110302925109859</v>
      </c>
      <c r="X233" s="15">
        <v>4</v>
      </c>
      <c r="Y233" s="15">
        <v>3.150644128770693</v>
      </c>
      <c r="Z233" s="15">
        <v>4</v>
      </c>
      <c r="AA233" s="15">
        <v>2.454102754592896</v>
      </c>
      <c r="AB233" s="15">
        <v>4</v>
      </c>
      <c r="AC233" s="15">
        <v>4.0129761904761896</v>
      </c>
      <c r="AD233" s="15">
        <v>4</v>
      </c>
      <c r="AE233" s="15">
        <v>3.8330238095238092</v>
      </c>
    </row>
    <row r="234" spans="2:31" x14ac:dyDescent="0.2">
      <c r="B234" s="15">
        <v>4</v>
      </c>
      <c r="C234" s="15">
        <v>3.607201531157163</v>
      </c>
      <c r="D234" s="15">
        <v>4</v>
      </c>
      <c r="E234" s="15">
        <v>3.6</v>
      </c>
      <c r="F234" s="15">
        <v>4</v>
      </c>
      <c r="G234" s="15">
        <v>3.6187409903102692</v>
      </c>
      <c r="H234" s="15">
        <v>4</v>
      </c>
      <c r="I234" s="15">
        <v>3.6373725000000001</v>
      </c>
      <c r="J234" s="15">
        <v>4</v>
      </c>
      <c r="K234" s="15">
        <v>3.607201531157163</v>
      </c>
      <c r="L234" s="15">
        <v>4</v>
      </c>
      <c r="M234" s="15">
        <v>3.7990622906898861</v>
      </c>
      <c r="N234" s="15">
        <v>4</v>
      </c>
      <c r="O234" s="15">
        <v>3.1564211439721901</v>
      </c>
      <c r="P234" s="15">
        <v>4</v>
      </c>
      <c r="Q234" s="15">
        <v>3.1101178012387232</v>
      </c>
      <c r="R234" s="15">
        <v>4</v>
      </c>
      <c r="S234" s="15">
        <v>3.3603368114297232</v>
      </c>
      <c r="T234" s="15">
        <v>4</v>
      </c>
      <c r="U234" s="15">
        <v>4</v>
      </c>
      <c r="V234" s="15">
        <v>4</v>
      </c>
      <c r="W234" s="15">
        <v>3.487291812896729</v>
      </c>
      <c r="X234" s="15">
        <v>4</v>
      </c>
      <c r="Y234" s="15">
        <v>3.524744853386637</v>
      </c>
      <c r="Z234" s="15">
        <v>4</v>
      </c>
      <c r="AA234" s="15">
        <v>3.5584864616394039</v>
      </c>
      <c r="AB234" s="15">
        <v>4</v>
      </c>
      <c r="AC234" s="15">
        <v>3.7065952380952392</v>
      </c>
      <c r="AD234" s="15">
        <v>4</v>
      </c>
      <c r="AE234" s="15">
        <v>3.9169999999999998</v>
      </c>
    </row>
    <row r="235" spans="2:31" x14ac:dyDescent="0.2">
      <c r="B235" s="15">
        <v>5</v>
      </c>
      <c r="C235" s="15">
        <v>3.7980389089119591</v>
      </c>
      <c r="D235" s="15">
        <v>5</v>
      </c>
      <c r="E235" s="15">
        <v>3.72</v>
      </c>
      <c r="F235" s="15">
        <v>5</v>
      </c>
      <c r="G235" s="15">
        <v>3.809946280409449</v>
      </c>
      <c r="H235" s="15">
        <v>5</v>
      </c>
      <c r="I235" s="15">
        <v>3.4731429</v>
      </c>
      <c r="J235" s="15">
        <v>5</v>
      </c>
      <c r="K235" s="15">
        <v>3.7980389089119591</v>
      </c>
      <c r="L235" s="15">
        <v>5</v>
      </c>
      <c r="M235" s="15">
        <v>3.7955056179775282</v>
      </c>
      <c r="N235" s="15">
        <v>5</v>
      </c>
      <c r="O235" s="15">
        <v>3.872935517521201</v>
      </c>
      <c r="P235" s="15">
        <v>5</v>
      </c>
      <c r="Q235" s="15">
        <v>3.4265211210610391</v>
      </c>
      <c r="R235" s="15">
        <v>5</v>
      </c>
      <c r="S235" s="15">
        <v>3.2869572554434581</v>
      </c>
      <c r="T235" s="15">
        <v>5</v>
      </c>
      <c r="U235" s="15">
        <v>5</v>
      </c>
      <c r="V235" s="15">
        <v>3</v>
      </c>
      <c r="W235" s="15">
        <v>3.0122189521789551</v>
      </c>
      <c r="X235" s="15">
        <v>5</v>
      </c>
      <c r="Y235" s="15">
        <v>4.104855511912656</v>
      </c>
      <c r="Z235" s="15">
        <v>5</v>
      </c>
      <c r="AA235" s="15">
        <v>4.4239077568054199</v>
      </c>
      <c r="AB235" s="15">
        <v>5</v>
      </c>
      <c r="AC235" s="15">
        <v>4.4551626984126989</v>
      </c>
      <c r="AD235" s="15">
        <v>5</v>
      </c>
      <c r="AE235" s="15">
        <v>4.5709999999999997</v>
      </c>
    </row>
    <row r="236" spans="2:31" x14ac:dyDescent="0.2">
      <c r="B236" s="15">
        <v>4</v>
      </c>
      <c r="C236" s="15">
        <v>3.9698475549982741</v>
      </c>
      <c r="D236" s="15">
        <v>4</v>
      </c>
      <c r="E236" s="15">
        <v>4.38</v>
      </c>
      <c r="F236" s="15">
        <v>4</v>
      </c>
      <c r="G236" s="15">
        <v>4.2607418792611362</v>
      </c>
      <c r="H236" s="15">
        <v>4</v>
      </c>
      <c r="I236" s="15">
        <v>4.3209080000000002</v>
      </c>
      <c r="J236" s="15">
        <v>4</v>
      </c>
      <c r="K236" s="15">
        <v>3.9698475549982741</v>
      </c>
      <c r="L236" s="15">
        <v>4</v>
      </c>
      <c r="M236" s="15">
        <v>4.3198225757112274</v>
      </c>
      <c r="N236" s="15">
        <v>4</v>
      </c>
      <c r="O236" s="15">
        <v>3.9305870818698589</v>
      </c>
      <c r="P236" s="15">
        <v>4</v>
      </c>
      <c r="Q236" s="15">
        <v>4.2166838689551813</v>
      </c>
      <c r="R236" s="15">
        <v>4</v>
      </c>
      <c r="S236" s="15">
        <v>4.2859146940458839</v>
      </c>
      <c r="T236" s="15">
        <v>4</v>
      </c>
      <c r="U236" s="15">
        <v>4</v>
      </c>
      <c r="V236" s="15">
        <v>1</v>
      </c>
      <c r="W236" s="15">
        <v>3.3647739887237549</v>
      </c>
      <c r="X236" s="15">
        <v>4</v>
      </c>
      <c r="Y236" s="15">
        <v>4.0959325514353147</v>
      </c>
      <c r="Z236" s="15">
        <v>4</v>
      </c>
      <c r="AA236" s="15">
        <v>4.1802430152893066</v>
      </c>
      <c r="AB236" s="15">
        <v>4</v>
      </c>
      <c r="AC236" s="15">
        <v>4.2320833333333328</v>
      </c>
      <c r="AD236" s="15">
        <v>4</v>
      </c>
      <c r="AE236" s="15">
        <v>4.1026666666666669</v>
      </c>
    </row>
    <row r="237" spans="2:31" x14ac:dyDescent="0.2">
      <c r="B237" s="15">
        <v>3</v>
      </c>
      <c r="C237" s="15">
        <v>3.820310245526378</v>
      </c>
      <c r="D237" s="15">
        <v>3</v>
      </c>
      <c r="E237" s="15">
        <v>3.85</v>
      </c>
      <c r="F237" s="15">
        <v>3</v>
      </c>
      <c r="G237" s="15">
        <v>3.8037062215105499</v>
      </c>
      <c r="H237" s="15">
        <v>3</v>
      </c>
      <c r="I237" s="15">
        <v>3.8620644</v>
      </c>
      <c r="J237" s="15">
        <v>3</v>
      </c>
      <c r="K237" s="15">
        <v>3.820310245526378</v>
      </c>
      <c r="L237" s="15">
        <v>3</v>
      </c>
      <c r="M237" s="15">
        <v>3.8227938549481961</v>
      </c>
      <c r="N237" s="15">
        <v>3</v>
      </c>
      <c r="O237" s="15">
        <v>3.8122114654790091</v>
      </c>
      <c r="P237" s="15">
        <v>3</v>
      </c>
      <c r="Q237" s="15">
        <v>3.6338744683119679</v>
      </c>
      <c r="R237" s="15">
        <v>3</v>
      </c>
      <c r="S237" s="15">
        <v>3.369256983942376</v>
      </c>
      <c r="T237" s="15">
        <v>3</v>
      </c>
      <c r="U237" s="15">
        <v>3</v>
      </c>
      <c r="V237" s="15">
        <v>4</v>
      </c>
      <c r="W237" s="15">
        <v>4.3930096626281738</v>
      </c>
      <c r="X237" s="15">
        <v>3</v>
      </c>
      <c r="Y237" s="15">
        <v>3.6684836243624712</v>
      </c>
      <c r="Z237" s="15">
        <v>3</v>
      </c>
      <c r="AA237" s="15">
        <v>3.368377685546875</v>
      </c>
      <c r="AB237" s="15">
        <v>3</v>
      </c>
      <c r="AC237" s="15">
        <v>3.397214285714286</v>
      </c>
      <c r="AD237" s="15">
        <v>3</v>
      </c>
      <c r="AE237" s="15">
        <v>3.0557777777777768</v>
      </c>
    </row>
    <row r="238" spans="2:31" x14ac:dyDescent="0.2">
      <c r="B238" s="15">
        <v>5</v>
      </c>
      <c r="C238" s="15">
        <v>3.843261747205474</v>
      </c>
      <c r="D238" s="15">
        <v>5</v>
      </c>
      <c r="E238" s="15">
        <v>3.87</v>
      </c>
      <c r="F238" s="15">
        <v>5</v>
      </c>
      <c r="G238" s="15">
        <v>3.9900469099096809</v>
      </c>
      <c r="H238" s="15">
        <v>5</v>
      </c>
      <c r="I238" s="15">
        <v>4.0318737000000002</v>
      </c>
      <c r="J238" s="15">
        <v>5</v>
      </c>
      <c r="K238" s="15">
        <v>3.843261747205474</v>
      </c>
      <c r="L238" s="15">
        <v>5</v>
      </c>
      <c r="M238" s="15">
        <v>3.607255948611237</v>
      </c>
      <c r="N238" s="15">
        <v>5</v>
      </c>
      <c r="O238" s="15">
        <v>3.3771061835299858</v>
      </c>
      <c r="P238" s="15">
        <v>5</v>
      </c>
      <c r="Q238" s="15">
        <v>4.4336452396021562</v>
      </c>
      <c r="R238" s="15">
        <v>5</v>
      </c>
      <c r="S238" s="15">
        <v>4.547473677064545</v>
      </c>
      <c r="T238" s="15">
        <v>5</v>
      </c>
      <c r="U238" s="15">
        <v>5</v>
      </c>
      <c r="V238" s="15">
        <v>3</v>
      </c>
      <c r="W238" s="15">
        <v>2.896583080291748</v>
      </c>
      <c r="X238" s="15">
        <v>5</v>
      </c>
      <c r="Y238" s="15">
        <v>3.7575530035385749</v>
      </c>
      <c r="Z238" s="15">
        <v>5</v>
      </c>
      <c r="AA238" s="15">
        <v>3.974539995193481</v>
      </c>
      <c r="AB238" s="15">
        <v>5</v>
      </c>
      <c r="AC238" s="15">
        <v>4.6202619047619056</v>
      </c>
      <c r="AD238" s="15">
        <v>5</v>
      </c>
      <c r="AE238" s="15">
        <v>4.6141111111111108</v>
      </c>
    </row>
    <row r="239" spans="2:31" x14ac:dyDescent="0.2">
      <c r="B239" s="15">
        <v>5</v>
      </c>
      <c r="C239" s="15">
        <v>3.7018159833936419</v>
      </c>
      <c r="D239" s="15">
        <v>5</v>
      </c>
      <c r="E239" s="15">
        <v>4.41</v>
      </c>
      <c r="F239" s="15">
        <v>5</v>
      </c>
      <c r="G239" s="15">
        <v>4.25224344243132</v>
      </c>
      <c r="H239" s="15">
        <v>5</v>
      </c>
      <c r="I239" s="15">
        <v>4.1882714999999999</v>
      </c>
      <c r="J239" s="15">
        <v>5</v>
      </c>
      <c r="K239" s="15">
        <v>3.7018159833936419</v>
      </c>
      <c r="L239" s="15">
        <v>5</v>
      </c>
      <c r="M239" s="15">
        <v>3.607255948611237</v>
      </c>
      <c r="N239" s="15">
        <v>5</v>
      </c>
      <c r="O239" s="15">
        <v>3.5307209165497979</v>
      </c>
      <c r="P239" s="15">
        <v>5</v>
      </c>
      <c r="Q239" s="15">
        <v>3.898338491709068</v>
      </c>
      <c r="R239" s="15">
        <v>5</v>
      </c>
      <c r="S239" s="15">
        <v>3.9832238626704362</v>
      </c>
      <c r="T239" s="15">
        <v>5</v>
      </c>
      <c r="U239" s="15">
        <v>5</v>
      </c>
      <c r="V239" s="15">
        <v>4</v>
      </c>
      <c r="W239" s="15">
        <v>3.842644214630127</v>
      </c>
      <c r="X239" s="15">
        <v>5</v>
      </c>
      <c r="Y239" s="15">
        <v>4.047807834755444</v>
      </c>
      <c r="Z239" s="15">
        <v>5</v>
      </c>
      <c r="AA239" s="15">
        <v>4.0144939422607422</v>
      </c>
      <c r="AB239" s="15">
        <v>5</v>
      </c>
      <c r="AC239" s="15">
        <v>4.7589999999999986</v>
      </c>
      <c r="AD239" s="15">
        <v>5</v>
      </c>
      <c r="AE239" s="15">
        <v>4.7676666666666669</v>
      </c>
    </row>
    <row r="240" spans="2:31" x14ac:dyDescent="0.2">
      <c r="B240" s="15">
        <v>5</v>
      </c>
      <c r="C240" s="15">
        <v>3.7909911286576641</v>
      </c>
      <c r="D240" s="15">
        <v>5</v>
      </c>
      <c r="E240" s="15">
        <v>4.54</v>
      </c>
      <c r="F240" s="15">
        <v>5</v>
      </c>
      <c r="G240" s="15">
        <v>4.3196029821543496</v>
      </c>
      <c r="H240" s="15">
        <v>5</v>
      </c>
      <c r="I240" s="15">
        <v>4.4065814000000003</v>
      </c>
      <c r="J240" s="15">
        <v>5</v>
      </c>
      <c r="K240" s="15">
        <v>3.7909911286576641</v>
      </c>
      <c r="L240" s="15">
        <v>5</v>
      </c>
      <c r="M240" s="15">
        <v>3.9747958821441252</v>
      </c>
      <c r="N240" s="15">
        <v>5</v>
      </c>
      <c r="O240" s="15">
        <v>3.871880295079754</v>
      </c>
      <c r="P240" s="15">
        <v>5</v>
      </c>
      <c r="Q240" s="15">
        <v>4.146133729012365</v>
      </c>
      <c r="R240" s="15">
        <v>5</v>
      </c>
      <c r="S240" s="15">
        <v>4.2867702375233341</v>
      </c>
      <c r="T240" s="15">
        <v>5</v>
      </c>
      <c r="U240" s="15">
        <v>5</v>
      </c>
      <c r="V240" s="15">
        <v>3</v>
      </c>
      <c r="W240" s="15">
        <v>3.6243550777435298</v>
      </c>
      <c r="X240" s="15">
        <v>5</v>
      </c>
      <c r="Y240" s="15">
        <v>4.4549473147504433</v>
      </c>
      <c r="Z240" s="15">
        <v>5</v>
      </c>
      <c r="AA240" s="15">
        <v>4.2562556266784668</v>
      </c>
      <c r="AB240" s="15">
        <v>5</v>
      </c>
      <c r="AC240" s="15">
        <v>4.6463333333333336</v>
      </c>
      <c r="AD240" s="15">
        <v>5</v>
      </c>
      <c r="AE240" s="15">
        <v>4.6211666666666664</v>
      </c>
    </row>
    <row r="241" spans="2:31" x14ac:dyDescent="0.2">
      <c r="B241" s="15">
        <v>3</v>
      </c>
      <c r="C241" s="15">
        <v>3.9565644726780538</v>
      </c>
      <c r="D241" s="15">
        <v>3</v>
      </c>
      <c r="E241" s="15">
        <v>3.95</v>
      </c>
      <c r="F241" s="15">
        <v>3</v>
      </c>
      <c r="G241" s="15">
        <v>3.82080795646048</v>
      </c>
      <c r="H241" s="15">
        <v>3</v>
      </c>
      <c r="I241" s="15">
        <v>3.9848495000000002</v>
      </c>
      <c r="J241" s="15">
        <v>3</v>
      </c>
      <c r="K241" s="15">
        <v>3.9565644726780538</v>
      </c>
      <c r="L241" s="15">
        <v>3</v>
      </c>
      <c r="M241" s="15">
        <v>3.8227938549481961</v>
      </c>
      <c r="N241" s="15">
        <v>3</v>
      </c>
      <c r="O241" s="15">
        <v>3.9479955404238711</v>
      </c>
      <c r="P241" s="15">
        <v>3</v>
      </c>
      <c r="Q241" s="15">
        <v>4.0162085906665226</v>
      </c>
      <c r="R241" s="15">
        <v>3</v>
      </c>
      <c r="S241" s="15">
        <v>3.4924202434811811</v>
      </c>
      <c r="T241" s="15">
        <v>3</v>
      </c>
      <c r="U241" s="15">
        <v>3</v>
      </c>
      <c r="V241" s="15">
        <v>5</v>
      </c>
      <c r="W241" s="15">
        <v>3.2644269466400151</v>
      </c>
      <c r="X241" s="15">
        <v>3</v>
      </c>
      <c r="Y241" s="15">
        <v>3.7816337449289881</v>
      </c>
      <c r="Z241" s="15">
        <v>3</v>
      </c>
      <c r="AA241" s="15">
        <v>4.0456490516662598</v>
      </c>
      <c r="AB241" s="15">
        <v>3</v>
      </c>
      <c r="AC241" s="15">
        <v>3.3169523809523809</v>
      </c>
      <c r="AD241" s="15">
        <v>3</v>
      </c>
      <c r="AE241" s="15">
        <v>3.1889285714285709</v>
      </c>
    </row>
    <row r="242" spans="2:31" x14ac:dyDescent="0.2">
      <c r="B242" s="15">
        <v>4</v>
      </c>
      <c r="C242" s="15">
        <v>3.8813868025728722</v>
      </c>
      <c r="D242" s="15">
        <v>4</v>
      </c>
      <c r="E242" s="15">
        <v>3.79</v>
      </c>
      <c r="F242" s="15">
        <v>4</v>
      </c>
      <c r="G242" s="15">
        <v>3.7839996570511292</v>
      </c>
      <c r="H242" s="15">
        <v>4</v>
      </c>
      <c r="I242" s="15">
        <v>3.8258573999999999</v>
      </c>
      <c r="J242" s="15">
        <v>4</v>
      </c>
      <c r="K242" s="15">
        <v>3.8813868025728722</v>
      </c>
      <c r="L242" s="15">
        <v>4</v>
      </c>
      <c r="M242" s="15">
        <v>3.8227938549481961</v>
      </c>
      <c r="N242" s="15">
        <v>4</v>
      </c>
      <c r="O242" s="15">
        <v>3.891392794697242</v>
      </c>
      <c r="P242" s="15">
        <v>4</v>
      </c>
      <c r="Q242" s="15">
        <v>3.6067330423481612</v>
      </c>
      <c r="R242" s="15">
        <v>4</v>
      </c>
      <c r="S242" s="15">
        <v>3.388599584933158</v>
      </c>
      <c r="T242" s="15">
        <v>4</v>
      </c>
      <c r="U242" s="15">
        <v>4</v>
      </c>
      <c r="V242" s="15">
        <v>3</v>
      </c>
      <c r="W242" s="15">
        <v>2.5330390930175781</v>
      </c>
      <c r="X242" s="15">
        <v>4</v>
      </c>
      <c r="Y242" s="15">
        <v>3.9335449847521651</v>
      </c>
      <c r="Z242" s="15">
        <v>4</v>
      </c>
      <c r="AA242" s="15">
        <v>4.0047745704650879</v>
      </c>
      <c r="AB242" s="15">
        <v>4</v>
      </c>
      <c r="AC242" s="15">
        <v>4.0713690476190472</v>
      </c>
      <c r="AD242" s="15">
        <v>4</v>
      </c>
      <c r="AE242" s="15">
        <v>3.6157499999999998</v>
      </c>
    </row>
    <row r="243" spans="2:31" x14ac:dyDescent="0.2">
      <c r="B243" s="15">
        <v>3</v>
      </c>
      <c r="C243" s="15">
        <v>3.6099606666837198</v>
      </c>
      <c r="D243" s="15">
        <v>3</v>
      </c>
      <c r="E243" s="15">
        <v>2.99</v>
      </c>
      <c r="F243" s="15">
        <v>3</v>
      </c>
      <c r="G243" s="15">
        <v>2.8934666557870998</v>
      </c>
      <c r="H243" s="15">
        <v>3</v>
      </c>
      <c r="I243" s="15">
        <v>3.1216865</v>
      </c>
      <c r="J243" s="15">
        <v>3</v>
      </c>
      <c r="K243" s="15">
        <v>3.6099606666837198</v>
      </c>
      <c r="L243" s="15">
        <v>3</v>
      </c>
      <c r="M243" s="15">
        <v>2.7190426638917788</v>
      </c>
      <c r="N243" s="15">
        <v>3</v>
      </c>
      <c r="O243" s="15">
        <v>3.411060975768053</v>
      </c>
      <c r="P243" s="15">
        <v>3</v>
      </c>
      <c r="Q243" s="15">
        <v>3.2169767403009049</v>
      </c>
      <c r="R243" s="15">
        <v>3</v>
      </c>
      <c r="S243" s="15">
        <v>3.2674732665115012</v>
      </c>
      <c r="T243" s="15">
        <v>3</v>
      </c>
      <c r="U243" s="15">
        <v>3</v>
      </c>
      <c r="V243" s="15">
        <v>1</v>
      </c>
      <c r="W243" s="15">
        <v>1.5313513278961179</v>
      </c>
      <c r="X243" s="15">
        <v>3</v>
      </c>
      <c r="Y243" s="15">
        <v>3.1966486361767941</v>
      </c>
      <c r="Z243" s="15">
        <v>3</v>
      </c>
      <c r="AA243" s="15">
        <v>3.130871057510376</v>
      </c>
      <c r="AB243" s="15">
        <v>3</v>
      </c>
      <c r="AC243" s="15">
        <v>3.0732467532467531</v>
      </c>
      <c r="AD243" s="15">
        <v>3</v>
      </c>
      <c r="AE243" s="15">
        <v>3.1655238095238101</v>
      </c>
    </row>
    <row r="244" spans="2:31" x14ac:dyDescent="0.2">
      <c r="B244" s="15">
        <v>4</v>
      </c>
      <c r="C244" s="15">
        <v>3.5901490520434569</v>
      </c>
      <c r="D244" s="15">
        <v>4</v>
      </c>
      <c r="E244" s="15">
        <v>3.66</v>
      </c>
      <c r="F244" s="15">
        <v>4</v>
      </c>
      <c r="G244" s="15">
        <v>3.4923580807380481</v>
      </c>
      <c r="H244" s="15">
        <v>4</v>
      </c>
      <c r="I244" s="15">
        <v>3.6343383999999999</v>
      </c>
      <c r="J244" s="15">
        <v>4</v>
      </c>
      <c r="K244" s="15">
        <v>3.5901490520434569</v>
      </c>
      <c r="L244" s="15">
        <v>4</v>
      </c>
      <c r="M244" s="15">
        <v>3.4800233304170312</v>
      </c>
      <c r="N244" s="15">
        <v>4</v>
      </c>
      <c r="O244" s="15">
        <v>3.6780320009409921</v>
      </c>
      <c r="P244" s="15">
        <v>4</v>
      </c>
      <c r="Q244" s="15">
        <v>2.6181802162689878</v>
      </c>
      <c r="R244" s="15">
        <v>4</v>
      </c>
      <c r="S244" s="15">
        <v>2.5662289195486339</v>
      </c>
      <c r="T244" s="15">
        <v>4</v>
      </c>
      <c r="U244" s="15">
        <v>4</v>
      </c>
      <c r="V244" s="15">
        <v>3</v>
      </c>
      <c r="W244" s="15">
        <v>2.3046555519103999</v>
      </c>
      <c r="X244" s="15">
        <v>4</v>
      </c>
      <c r="Y244" s="15">
        <v>3.1891338303982608</v>
      </c>
      <c r="Z244" s="15">
        <v>4</v>
      </c>
      <c r="AA244" s="15">
        <v>4.0302276611328116</v>
      </c>
      <c r="AB244" s="15">
        <v>4</v>
      </c>
      <c r="AC244" s="15">
        <v>3.3682842712842711</v>
      </c>
      <c r="AD244" s="15">
        <v>4</v>
      </c>
      <c r="AE244" s="15">
        <v>3.3597738095238081</v>
      </c>
    </row>
    <row r="245" spans="2:31" x14ac:dyDescent="0.2">
      <c r="B245" s="15">
        <v>4</v>
      </c>
      <c r="C245" s="15">
        <v>3.8504097523447229</v>
      </c>
      <c r="D245" s="15">
        <v>4</v>
      </c>
      <c r="E245" s="15">
        <v>4.25</v>
      </c>
      <c r="F245" s="15">
        <v>4</v>
      </c>
      <c r="G245" s="15">
        <v>4.3709961865931373</v>
      </c>
      <c r="H245" s="15">
        <v>4</v>
      </c>
      <c r="I245" s="15">
        <v>4.3732420000000003</v>
      </c>
      <c r="J245" s="15">
        <v>4</v>
      </c>
      <c r="K245" s="15">
        <v>3.8504097523447229</v>
      </c>
      <c r="L245" s="15">
        <v>4</v>
      </c>
      <c r="M245" s="15">
        <v>4.2791702679343127</v>
      </c>
      <c r="N245" s="15">
        <v>4</v>
      </c>
      <c r="O245" s="15">
        <v>4.5861162583952497</v>
      </c>
      <c r="P245" s="15">
        <v>4</v>
      </c>
      <c r="Q245" s="15">
        <v>4.2268842141403766</v>
      </c>
      <c r="R245" s="15">
        <v>4</v>
      </c>
      <c r="S245" s="15">
        <v>4.2795653024884333</v>
      </c>
      <c r="T245" s="15">
        <v>4</v>
      </c>
      <c r="U245" s="15">
        <v>4</v>
      </c>
      <c r="V245" s="15">
        <v>2</v>
      </c>
      <c r="W245" s="15">
        <v>2.2085132598876949</v>
      </c>
      <c r="X245" s="15">
        <v>4</v>
      </c>
      <c r="Y245" s="15">
        <v>4.3872172165918464</v>
      </c>
      <c r="Z245" s="15">
        <v>4</v>
      </c>
      <c r="AA245" s="15">
        <v>4.3297815322875977</v>
      </c>
      <c r="AB245" s="15">
        <v>4</v>
      </c>
      <c r="AC245" s="15">
        <v>4.197857142857143</v>
      </c>
      <c r="AD245" s="15">
        <v>4</v>
      </c>
      <c r="AE245" s="15">
        <v>4.0610952380952368</v>
      </c>
    </row>
    <row r="246" spans="2:31" x14ac:dyDescent="0.2">
      <c r="B246" s="15">
        <v>2</v>
      </c>
      <c r="C246" s="15">
        <v>0.62677671308807303</v>
      </c>
      <c r="D246" s="15">
        <v>2</v>
      </c>
      <c r="E246" s="15">
        <v>1.67</v>
      </c>
      <c r="F246" s="15">
        <v>2</v>
      </c>
      <c r="G246" s="15">
        <v>1.6686650029408241</v>
      </c>
      <c r="H246" s="15">
        <v>2</v>
      </c>
      <c r="I246" s="15">
        <v>1.7171216</v>
      </c>
      <c r="J246" s="15">
        <v>2</v>
      </c>
      <c r="K246" s="15">
        <v>0.62677671308807303</v>
      </c>
      <c r="L246" s="15">
        <v>2</v>
      </c>
      <c r="M246" s="15">
        <v>1.7714723926380369</v>
      </c>
      <c r="N246" s="15">
        <v>2</v>
      </c>
      <c r="O246" s="15">
        <v>3.4721456340000971</v>
      </c>
      <c r="P246" s="15">
        <v>2</v>
      </c>
      <c r="Q246" s="15">
        <v>2.0568880589761549</v>
      </c>
      <c r="R246" s="15">
        <v>2</v>
      </c>
      <c r="S246" s="15">
        <v>3.3792112840855442</v>
      </c>
      <c r="T246" s="15">
        <v>2</v>
      </c>
      <c r="U246" s="15">
        <v>2</v>
      </c>
      <c r="V246" s="15">
        <v>2</v>
      </c>
      <c r="W246" s="15">
        <v>3.9245133399963379</v>
      </c>
      <c r="X246" s="15">
        <v>2</v>
      </c>
      <c r="Y246" s="15">
        <v>3.35773852183641</v>
      </c>
      <c r="Z246" s="15">
        <v>2</v>
      </c>
      <c r="AA246" s="15">
        <v>3.1830310821533199</v>
      </c>
      <c r="AB246" s="15">
        <v>2</v>
      </c>
      <c r="AC246" s="15">
        <v>1.911126984126984</v>
      </c>
      <c r="AD246" s="15">
        <v>2</v>
      </c>
      <c r="AE246" s="15">
        <v>2.196416666666666</v>
      </c>
    </row>
    <row r="247" spans="2:31" x14ac:dyDescent="0.2">
      <c r="B247" s="15">
        <v>4</v>
      </c>
      <c r="C247" s="15">
        <v>4.1877042257946293</v>
      </c>
      <c r="D247" s="15">
        <v>4</v>
      </c>
      <c r="E247" s="15">
        <v>4.59</v>
      </c>
      <c r="F247" s="15">
        <v>4</v>
      </c>
      <c r="G247" s="15">
        <v>4.7075892062245073</v>
      </c>
      <c r="H247" s="15">
        <v>4</v>
      </c>
      <c r="I247" s="15">
        <v>4.8582234</v>
      </c>
      <c r="J247" s="15">
        <v>4</v>
      </c>
      <c r="K247" s="15">
        <v>4.1877042257946293</v>
      </c>
      <c r="L247" s="15">
        <v>4</v>
      </c>
      <c r="M247" s="15">
        <v>4.6203007518796992</v>
      </c>
      <c r="N247" s="15">
        <v>4</v>
      </c>
      <c r="O247" s="15">
        <v>4.170378827793475</v>
      </c>
      <c r="P247" s="15">
        <v>4</v>
      </c>
      <c r="Q247" s="15">
        <v>4.1036896418693551</v>
      </c>
      <c r="R247" s="15">
        <v>4</v>
      </c>
      <c r="S247" s="15">
        <v>3.6230881731498439</v>
      </c>
      <c r="T247" s="15">
        <v>4</v>
      </c>
      <c r="U247" s="15">
        <v>4</v>
      </c>
      <c r="V247" s="15">
        <v>5</v>
      </c>
      <c r="W247" s="15">
        <v>4.3752603530883789</v>
      </c>
      <c r="X247" s="15">
        <v>4</v>
      </c>
      <c r="Y247" s="15">
        <v>3.7353377481353349</v>
      </c>
      <c r="Z247" s="15">
        <v>4</v>
      </c>
      <c r="AA247" s="15">
        <v>3.9277968406677251</v>
      </c>
      <c r="AB247" s="15">
        <v>4</v>
      </c>
      <c r="AC247" s="15">
        <v>4.2338333333333331</v>
      </c>
      <c r="AD247" s="15">
        <v>4</v>
      </c>
      <c r="AE247" s="15">
        <v>4.0830952380952379</v>
      </c>
    </row>
    <row r="248" spans="2:31" x14ac:dyDescent="0.2">
      <c r="B248" s="15">
        <v>5</v>
      </c>
      <c r="C248" s="15">
        <v>4.8454102876898739</v>
      </c>
      <c r="D248" s="15">
        <v>5</v>
      </c>
      <c r="E248" s="15">
        <v>4.5</v>
      </c>
      <c r="F248" s="15">
        <v>5</v>
      </c>
      <c r="G248" s="15">
        <v>4.3507540442812234</v>
      </c>
      <c r="H248" s="15">
        <v>5</v>
      </c>
      <c r="I248" s="15">
        <v>4.3223729999999998</v>
      </c>
      <c r="J248" s="15">
        <v>5</v>
      </c>
      <c r="K248" s="15">
        <v>4.8454102876898739</v>
      </c>
      <c r="L248" s="15">
        <v>5</v>
      </c>
      <c r="M248" s="15">
        <v>4.6177241740954376</v>
      </c>
      <c r="N248" s="15">
        <v>5</v>
      </c>
      <c r="O248" s="15">
        <v>3.0082562704074371</v>
      </c>
      <c r="P248" s="15">
        <v>5</v>
      </c>
      <c r="Q248" s="15">
        <v>3.7711123025225</v>
      </c>
      <c r="R248" s="15">
        <v>5</v>
      </c>
      <c r="S248" s="15">
        <v>2.936417875951955</v>
      </c>
      <c r="T248" s="15">
        <v>5</v>
      </c>
      <c r="U248" s="15">
        <v>5</v>
      </c>
      <c r="V248" s="15">
        <v>4</v>
      </c>
      <c r="W248" s="15">
        <v>3.419948816299438</v>
      </c>
      <c r="X248" s="15">
        <v>5</v>
      </c>
      <c r="Y248" s="15">
        <v>3.3680873678153809</v>
      </c>
      <c r="Z248" s="15">
        <v>5</v>
      </c>
      <c r="AA248" s="15">
        <v>3.9134757518768311</v>
      </c>
      <c r="AB248" s="15">
        <v>5</v>
      </c>
      <c r="AC248" s="15">
        <v>4.4022492784992791</v>
      </c>
      <c r="AD248" s="15">
        <v>5</v>
      </c>
      <c r="AE248" s="15">
        <v>4.2648928571428577</v>
      </c>
    </row>
    <row r="249" spans="2:31" x14ac:dyDescent="0.2">
      <c r="B249" s="15">
        <v>3</v>
      </c>
      <c r="C249" s="15">
        <v>3.8015822936468142</v>
      </c>
      <c r="D249" s="15">
        <v>3</v>
      </c>
      <c r="E249" s="15">
        <v>4.05</v>
      </c>
      <c r="F249" s="15">
        <v>3</v>
      </c>
      <c r="G249" s="15">
        <v>4.0213906486068902</v>
      </c>
      <c r="H249" s="15">
        <v>3</v>
      </c>
      <c r="I249" s="15">
        <v>4.0447005999999996</v>
      </c>
      <c r="J249" s="15">
        <v>3</v>
      </c>
      <c r="K249" s="15">
        <v>3.8015822936468142</v>
      </c>
      <c r="L249" s="15">
        <v>3</v>
      </c>
      <c r="M249" s="15">
        <v>3.831386441976254</v>
      </c>
      <c r="N249" s="15">
        <v>3</v>
      </c>
      <c r="O249" s="15">
        <v>3.6959613869806809</v>
      </c>
      <c r="P249" s="15">
        <v>3</v>
      </c>
      <c r="Q249" s="15">
        <v>3.502014778416457</v>
      </c>
      <c r="R249" s="15">
        <v>3</v>
      </c>
      <c r="S249" s="15">
        <v>3.0581032722670392</v>
      </c>
      <c r="T249" s="15">
        <v>3</v>
      </c>
      <c r="U249" s="15">
        <v>3</v>
      </c>
      <c r="V249" s="15">
        <v>3</v>
      </c>
      <c r="W249" s="15">
        <v>3.1518855094909668</v>
      </c>
      <c r="X249" s="15">
        <v>3</v>
      </c>
      <c r="Y249" s="15">
        <v>3.7316007160524358</v>
      </c>
      <c r="Z249" s="15">
        <v>3</v>
      </c>
      <c r="AA249" s="15">
        <v>3.6955900192260742</v>
      </c>
      <c r="AB249" s="15">
        <v>3</v>
      </c>
      <c r="AC249" s="15">
        <v>3.335833333333333</v>
      </c>
      <c r="AD249" s="15">
        <v>3</v>
      </c>
      <c r="AE249" s="15">
        <v>3.194722222222222</v>
      </c>
    </row>
    <row r="250" spans="2:31" x14ac:dyDescent="0.2">
      <c r="B250" s="15">
        <v>4</v>
      </c>
      <c r="C250" s="15">
        <v>3.8310592739543141</v>
      </c>
      <c r="D250" s="15">
        <v>4</v>
      </c>
      <c r="E250" s="15">
        <v>4.08</v>
      </c>
      <c r="F250" s="15">
        <v>4</v>
      </c>
      <c r="G250" s="15">
        <v>3.7977961512774279</v>
      </c>
      <c r="H250" s="15">
        <v>4</v>
      </c>
      <c r="I250" s="15">
        <v>3.9824625999999999</v>
      </c>
      <c r="J250" s="15">
        <v>4</v>
      </c>
      <c r="K250" s="15">
        <v>3.8310592739543141</v>
      </c>
      <c r="L250" s="15">
        <v>4</v>
      </c>
      <c r="M250" s="15">
        <v>3.9747958821441252</v>
      </c>
      <c r="N250" s="15">
        <v>4</v>
      </c>
      <c r="O250" s="15">
        <v>3.8761596522707258</v>
      </c>
      <c r="P250" s="15">
        <v>4</v>
      </c>
      <c r="Q250" s="15">
        <v>3.8638807449080428</v>
      </c>
      <c r="R250" s="15">
        <v>4</v>
      </c>
      <c r="S250" s="15">
        <v>3.7887027874534289</v>
      </c>
      <c r="T250" s="15">
        <v>4</v>
      </c>
      <c r="U250" s="15">
        <v>4</v>
      </c>
      <c r="V250" s="15">
        <v>5</v>
      </c>
      <c r="W250" s="15">
        <v>4.9586372375488281</v>
      </c>
      <c r="X250" s="15">
        <v>4</v>
      </c>
      <c r="Y250" s="15">
        <v>3.6455649216232362</v>
      </c>
      <c r="Z250" s="15">
        <v>4</v>
      </c>
      <c r="AA250" s="15">
        <v>3.8565835952758789</v>
      </c>
      <c r="AB250" s="15">
        <v>4</v>
      </c>
      <c r="AC250" s="15">
        <v>3.7353055555555561</v>
      </c>
      <c r="AD250" s="15">
        <v>4</v>
      </c>
      <c r="AE250" s="15">
        <v>3.8963888888888891</v>
      </c>
    </row>
    <row r="251" spans="2:31" x14ac:dyDescent="0.2">
      <c r="B251" s="15">
        <v>4</v>
      </c>
      <c r="C251" s="15">
        <v>3.6372789793588729</v>
      </c>
      <c r="D251" s="15">
        <v>4</v>
      </c>
      <c r="E251" s="15">
        <v>3.46</v>
      </c>
      <c r="F251" s="15">
        <v>4</v>
      </c>
      <c r="G251" s="15">
        <v>3.601978373023595</v>
      </c>
      <c r="H251" s="15">
        <v>4</v>
      </c>
      <c r="I251" s="15">
        <v>3.6727935999999999</v>
      </c>
      <c r="J251" s="15">
        <v>4</v>
      </c>
      <c r="K251" s="15">
        <v>3.6372789793588729</v>
      </c>
      <c r="L251" s="15">
        <v>4</v>
      </c>
      <c r="M251" s="15">
        <v>3.2632103688933198</v>
      </c>
      <c r="N251" s="15">
        <v>4</v>
      </c>
      <c r="O251" s="15">
        <v>3.394756129425466</v>
      </c>
      <c r="P251" s="15">
        <v>4</v>
      </c>
      <c r="Q251" s="15">
        <v>3.6474793081103778</v>
      </c>
      <c r="R251" s="15">
        <v>4</v>
      </c>
      <c r="S251" s="15">
        <v>4.3386930547891778</v>
      </c>
      <c r="T251" s="15">
        <v>4</v>
      </c>
      <c r="U251" s="15">
        <v>4</v>
      </c>
      <c r="V251" s="15">
        <v>1</v>
      </c>
      <c r="W251" s="15">
        <v>1.826070189476013</v>
      </c>
      <c r="X251" s="15">
        <v>4</v>
      </c>
      <c r="Y251" s="15">
        <v>3.342509145590332</v>
      </c>
      <c r="Z251" s="15">
        <v>4</v>
      </c>
      <c r="AA251" s="15">
        <v>3.2946650981903081</v>
      </c>
      <c r="AB251" s="15">
        <v>4</v>
      </c>
      <c r="AC251" s="15">
        <v>3.8450000000000002</v>
      </c>
      <c r="AD251" s="15">
        <v>4</v>
      </c>
      <c r="AE251" s="15">
        <v>3.8077380952380961</v>
      </c>
    </row>
    <row r="252" spans="2:31" x14ac:dyDescent="0.2">
      <c r="B252" s="15">
        <v>4</v>
      </c>
      <c r="C252" s="15">
        <v>3.7225637054508698</v>
      </c>
      <c r="D252" s="15">
        <v>4</v>
      </c>
      <c r="E252" s="15">
        <v>2.91</v>
      </c>
      <c r="F252" s="15">
        <v>4</v>
      </c>
      <c r="G252" s="15">
        <v>3.234015861022201</v>
      </c>
      <c r="H252" s="15">
        <v>4</v>
      </c>
      <c r="I252" s="15">
        <v>3.2932383999999999</v>
      </c>
      <c r="J252" s="15">
        <v>4</v>
      </c>
      <c r="K252" s="15">
        <v>3.7225637054508698</v>
      </c>
      <c r="L252" s="15">
        <v>4</v>
      </c>
      <c r="M252" s="15">
        <v>3.03765690376569</v>
      </c>
      <c r="N252" s="15">
        <v>4</v>
      </c>
      <c r="O252" s="15">
        <v>3.0932028108624579</v>
      </c>
      <c r="P252" s="15">
        <v>4</v>
      </c>
      <c r="Q252" s="15">
        <v>3.1356100042958981</v>
      </c>
      <c r="R252" s="15">
        <v>4</v>
      </c>
      <c r="S252" s="15">
        <v>3.005619039176497</v>
      </c>
      <c r="T252" s="15">
        <v>4</v>
      </c>
      <c r="U252" s="15">
        <v>4</v>
      </c>
      <c r="V252" s="15">
        <v>3</v>
      </c>
      <c r="W252" s="15">
        <v>3.874249935150146</v>
      </c>
      <c r="X252" s="15">
        <v>4</v>
      </c>
      <c r="Y252" s="15">
        <v>3.312459386886017</v>
      </c>
      <c r="Z252" s="15">
        <v>4</v>
      </c>
      <c r="AA252" s="15">
        <v>3.260533332824707</v>
      </c>
      <c r="AB252" s="15">
        <v>4</v>
      </c>
      <c r="AC252" s="15">
        <v>3.5929761904761901</v>
      </c>
      <c r="AD252" s="15">
        <v>4</v>
      </c>
      <c r="AE252" s="15">
        <v>3.6608333333333332</v>
      </c>
    </row>
    <row r="253" spans="2:31" x14ac:dyDescent="0.2">
      <c r="B253" s="15">
        <v>4</v>
      </c>
      <c r="C253" s="15">
        <v>3.864494853974445</v>
      </c>
      <c r="D253" s="15">
        <v>4</v>
      </c>
      <c r="E253" s="15">
        <v>4.43</v>
      </c>
      <c r="F253" s="15">
        <v>4</v>
      </c>
      <c r="G253" s="15">
        <v>4.0295351280948148</v>
      </c>
      <c r="H253" s="15">
        <v>4</v>
      </c>
      <c r="I253" s="15">
        <v>4.2970420000000003</v>
      </c>
      <c r="J253" s="15">
        <v>4</v>
      </c>
      <c r="K253" s="15">
        <v>3.864494853974445</v>
      </c>
      <c r="L253" s="15">
        <v>4</v>
      </c>
      <c r="M253" s="15">
        <v>3.7990622906898861</v>
      </c>
      <c r="N253" s="15">
        <v>4</v>
      </c>
      <c r="O253" s="15">
        <v>3.8020569667714108</v>
      </c>
      <c r="P253" s="15">
        <v>4</v>
      </c>
      <c r="Q253" s="15">
        <v>4.6338843561279131</v>
      </c>
      <c r="R253" s="15">
        <v>4</v>
      </c>
      <c r="S253" s="15">
        <v>4.7671689636954149</v>
      </c>
      <c r="T253" s="15">
        <v>4</v>
      </c>
      <c r="U253" s="15">
        <v>4</v>
      </c>
      <c r="V253" s="15">
        <v>3</v>
      </c>
      <c r="W253" s="15">
        <v>4.4508404731750488</v>
      </c>
      <c r="X253" s="15">
        <v>4</v>
      </c>
      <c r="Y253" s="15">
        <v>4.0125986110215841</v>
      </c>
      <c r="Z253" s="15">
        <v>4</v>
      </c>
      <c r="AA253" s="15">
        <v>3.9537327289581299</v>
      </c>
      <c r="AB253" s="15">
        <v>4</v>
      </c>
      <c r="AC253" s="15">
        <v>4.1501547619047621</v>
      </c>
      <c r="AD253" s="15">
        <v>4</v>
      </c>
      <c r="AE253" s="15">
        <v>4.149690476190476</v>
      </c>
    </row>
    <row r="254" spans="2:31" x14ac:dyDescent="0.2">
      <c r="B254" s="15">
        <v>2</v>
      </c>
      <c r="C254" s="15">
        <v>3.8575215537322038</v>
      </c>
      <c r="D254" s="15">
        <v>2</v>
      </c>
      <c r="E254" s="15">
        <v>3.69</v>
      </c>
      <c r="F254" s="15">
        <v>2</v>
      </c>
      <c r="G254" s="15">
        <v>3.7168767462560321</v>
      </c>
      <c r="H254" s="15">
        <v>2</v>
      </c>
      <c r="I254" s="15">
        <v>3.6867390000000002</v>
      </c>
      <c r="J254" s="15">
        <v>2</v>
      </c>
      <c r="K254" s="15">
        <v>3.8575215537322038</v>
      </c>
      <c r="L254" s="15">
        <v>2</v>
      </c>
      <c r="M254" s="15">
        <v>3.6448673277941568</v>
      </c>
      <c r="N254" s="15">
        <v>2</v>
      </c>
      <c r="O254" s="15">
        <v>4.1112526304322818</v>
      </c>
      <c r="P254" s="15">
        <v>2</v>
      </c>
      <c r="Q254" s="15">
        <v>4.0423139571505029</v>
      </c>
      <c r="R254" s="15">
        <v>2</v>
      </c>
      <c r="S254" s="15">
        <v>4.2679242150760759</v>
      </c>
      <c r="T254" s="15">
        <v>2</v>
      </c>
      <c r="U254" s="15">
        <v>2</v>
      </c>
      <c r="V254" s="15">
        <v>4</v>
      </c>
      <c r="W254" s="15">
        <v>3.3474800586700439</v>
      </c>
      <c r="X254" s="15">
        <v>2</v>
      </c>
      <c r="Y254" s="15">
        <v>3.7776599855789388</v>
      </c>
      <c r="Z254" s="15">
        <v>2</v>
      </c>
      <c r="AA254" s="15">
        <v>3.9760885238647461</v>
      </c>
      <c r="AB254" s="15">
        <v>2</v>
      </c>
      <c r="AC254" s="15">
        <v>2.6082182539682539</v>
      </c>
      <c r="AD254" s="15">
        <v>2</v>
      </c>
      <c r="AE254" s="15">
        <v>2.6982817460317459</v>
      </c>
    </row>
    <row r="255" spans="2:31" x14ac:dyDescent="0.2">
      <c r="B255" s="15">
        <v>5</v>
      </c>
      <c r="C255" s="15">
        <v>3.6488951010608779</v>
      </c>
      <c r="D255" s="15">
        <v>5</v>
      </c>
      <c r="E255" s="15">
        <v>4.1100000000000003</v>
      </c>
      <c r="F255" s="15">
        <v>5</v>
      </c>
      <c r="G255" s="15">
        <v>3.9307952608768</v>
      </c>
      <c r="H255" s="15">
        <v>5</v>
      </c>
      <c r="I255" s="15">
        <v>4.0259137000000003</v>
      </c>
      <c r="J255" s="15">
        <v>5</v>
      </c>
      <c r="K255" s="15">
        <v>3.6488951010608779</v>
      </c>
      <c r="L255" s="15">
        <v>5</v>
      </c>
      <c r="M255" s="15">
        <v>3.681549220010758</v>
      </c>
      <c r="N255" s="15">
        <v>5</v>
      </c>
      <c r="O255" s="15">
        <v>3.4431687209238562</v>
      </c>
      <c r="P255" s="15">
        <v>5</v>
      </c>
      <c r="Q255" s="15">
        <v>4.2699144744114914</v>
      </c>
      <c r="R255" s="15">
        <v>5</v>
      </c>
      <c r="S255" s="15">
        <v>4.5918945486419851</v>
      </c>
      <c r="T255" s="15">
        <v>5</v>
      </c>
      <c r="U255" s="15">
        <v>5</v>
      </c>
      <c r="V255" s="15">
        <v>4</v>
      </c>
      <c r="W255" s="15">
        <v>3.236768245697021</v>
      </c>
      <c r="X255" s="15">
        <v>5</v>
      </c>
      <c r="Y255" s="15">
        <v>4.0301669810801064</v>
      </c>
      <c r="Z255" s="15">
        <v>5</v>
      </c>
      <c r="AA255" s="15">
        <v>3.9675948619842529</v>
      </c>
      <c r="AB255" s="15">
        <v>5</v>
      </c>
      <c r="AC255" s="15">
        <v>4.6581904761904758</v>
      </c>
      <c r="AD255" s="15">
        <v>5</v>
      </c>
      <c r="AE255" s="15">
        <v>4.6794285714285717</v>
      </c>
    </row>
    <row r="256" spans="2:31" x14ac:dyDescent="0.2">
      <c r="B256" s="15">
        <v>4</v>
      </c>
      <c r="C256" s="15">
        <v>3.6918994802126162</v>
      </c>
      <c r="D256" s="15">
        <v>4</v>
      </c>
      <c r="E256" s="15">
        <v>4.3899999999999997</v>
      </c>
      <c r="F256" s="15">
        <v>4</v>
      </c>
      <c r="G256" s="15">
        <v>4.4496662575097687</v>
      </c>
      <c r="H256" s="15">
        <v>4</v>
      </c>
      <c r="I256" s="15">
        <v>4.3177576000000002</v>
      </c>
      <c r="J256" s="15">
        <v>4</v>
      </c>
      <c r="K256" s="15">
        <v>3.6918994802126162</v>
      </c>
      <c r="L256" s="15">
        <v>4</v>
      </c>
      <c r="M256" s="15">
        <v>3.859941844364442</v>
      </c>
      <c r="N256" s="15">
        <v>4</v>
      </c>
      <c r="O256" s="15">
        <v>3.8645878624378698</v>
      </c>
      <c r="P256" s="15">
        <v>4</v>
      </c>
      <c r="Q256" s="15">
        <v>3.475116127066908</v>
      </c>
      <c r="R256" s="15">
        <v>4</v>
      </c>
      <c r="S256" s="15">
        <v>3.3262479056185552</v>
      </c>
      <c r="T256" s="15">
        <v>4</v>
      </c>
      <c r="U256" s="15">
        <v>4</v>
      </c>
      <c r="V256" s="15">
        <v>5</v>
      </c>
      <c r="W256" s="15">
        <v>4.2757158279418954</v>
      </c>
      <c r="X256" s="15">
        <v>4</v>
      </c>
      <c r="Y256" s="15">
        <v>3.884484909936861</v>
      </c>
      <c r="Z256" s="15">
        <v>4</v>
      </c>
      <c r="AA256" s="15">
        <v>3.8567967414855961</v>
      </c>
      <c r="AB256" s="15">
        <v>4</v>
      </c>
      <c r="AC256" s="15">
        <v>3.932833333333333</v>
      </c>
      <c r="AD256" s="15">
        <v>4</v>
      </c>
      <c r="AE256" s="15">
        <v>3.830511904761905</v>
      </c>
    </row>
    <row r="257" spans="2:31" x14ac:dyDescent="0.2">
      <c r="B257" s="15">
        <v>4</v>
      </c>
      <c r="C257" s="15">
        <v>3.6914131717678189</v>
      </c>
      <c r="D257" s="15">
        <v>4</v>
      </c>
      <c r="E257" s="15">
        <v>3.4</v>
      </c>
      <c r="F257" s="15">
        <v>4</v>
      </c>
      <c r="G257" s="15">
        <v>3.9748582063542259</v>
      </c>
      <c r="H257" s="15">
        <v>4</v>
      </c>
      <c r="I257" s="15">
        <v>4.2163000000000004</v>
      </c>
      <c r="J257" s="15">
        <v>4</v>
      </c>
      <c r="K257" s="15">
        <v>3.6914131717678189</v>
      </c>
      <c r="L257" s="15">
        <v>4</v>
      </c>
      <c r="M257" s="15">
        <v>4.0128452151573537</v>
      </c>
      <c r="N257" s="15">
        <v>4</v>
      </c>
      <c r="O257" s="15">
        <v>3.6059513282110149</v>
      </c>
      <c r="P257" s="15">
        <v>4</v>
      </c>
      <c r="Q257" s="15">
        <v>4.1327589809152263</v>
      </c>
      <c r="R257" s="15">
        <v>4</v>
      </c>
      <c r="S257" s="15">
        <v>4.0743236416690509</v>
      </c>
      <c r="T257" s="15">
        <v>4</v>
      </c>
      <c r="U257" s="15">
        <v>4</v>
      </c>
      <c r="V257" s="15">
        <v>5</v>
      </c>
      <c r="W257" s="15">
        <v>4.1098737716674796</v>
      </c>
      <c r="X257" s="15">
        <v>4</v>
      </c>
      <c r="Y257" s="15">
        <v>3.7737028702965119</v>
      </c>
      <c r="Z257" s="15">
        <v>4</v>
      </c>
      <c r="AA257" s="15">
        <v>3.6645090579986568</v>
      </c>
      <c r="AB257" s="15">
        <v>4</v>
      </c>
      <c r="AC257" s="15">
        <v>4.0062539682539686</v>
      </c>
      <c r="AD257" s="15">
        <v>4</v>
      </c>
      <c r="AE257" s="15">
        <v>3.9743214285714279</v>
      </c>
    </row>
    <row r="258" spans="2:31" x14ac:dyDescent="0.2">
      <c r="B258" s="15">
        <v>4</v>
      </c>
      <c r="C258" s="15">
        <v>3.4743210075391149</v>
      </c>
      <c r="D258" s="15">
        <v>4</v>
      </c>
      <c r="E258" s="15">
        <v>4.24</v>
      </c>
      <c r="F258" s="15">
        <v>4</v>
      </c>
      <c r="G258" s="15">
        <v>3.9585735317487321</v>
      </c>
      <c r="H258" s="15">
        <v>4</v>
      </c>
      <c r="I258" s="15">
        <v>3.8095143</v>
      </c>
      <c r="J258" s="15">
        <v>4</v>
      </c>
      <c r="K258" s="15">
        <v>3.4743210075391149</v>
      </c>
      <c r="L258" s="15">
        <v>4</v>
      </c>
      <c r="M258" s="15">
        <v>4.297595585337012</v>
      </c>
      <c r="N258" s="15">
        <v>4</v>
      </c>
      <c r="O258" s="15">
        <v>3.8189277245333901</v>
      </c>
      <c r="P258" s="15">
        <v>4</v>
      </c>
      <c r="Q258" s="15">
        <v>4.0252940884973816</v>
      </c>
      <c r="R258" s="15">
        <v>4</v>
      </c>
      <c r="S258" s="15">
        <v>3.736389360557411</v>
      </c>
      <c r="T258" s="15">
        <v>4</v>
      </c>
      <c r="U258" s="15">
        <v>4</v>
      </c>
      <c r="V258" s="15">
        <v>4</v>
      </c>
      <c r="W258" s="15">
        <v>4.039459228515625</v>
      </c>
      <c r="X258" s="15">
        <v>4</v>
      </c>
      <c r="Y258" s="15">
        <v>4.0656442782416136</v>
      </c>
      <c r="Z258" s="15">
        <v>4</v>
      </c>
      <c r="AA258" s="15">
        <v>4.0398678779602051</v>
      </c>
      <c r="AB258" s="15">
        <v>4</v>
      </c>
      <c r="AC258" s="15">
        <v>4.1556547619047626</v>
      </c>
      <c r="AD258" s="15">
        <v>4</v>
      </c>
      <c r="AE258" s="15">
        <v>4.0102380952380949</v>
      </c>
    </row>
    <row r="259" spans="2:31" x14ac:dyDescent="0.2">
      <c r="B259" s="15">
        <v>5</v>
      </c>
      <c r="C259" s="15">
        <v>3.8772168996246918</v>
      </c>
      <c r="D259" s="15">
        <v>5</v>
      </c>
      <c r="E259" s="15">
        <v>3.99</v>
      </c>
      <c r="F259" s="15">
        <v>5</v>
      </c>
      <c r="G259" s="15">
        <v>4.141718764308977</v>
      </c>
      <c r="H259" s="15">
        <v>5</v>
      </c>
      <c r="I259" s="15">
        <v>4.2016989999999996</v>
      </c>
      <c r="J259" s="15">
        <v>5</v>
      </c>
      <c r="K259" s="15">
        <v>3.8772168996246918</v>
      </c>
      <c r="L259" s="15">
        <v>5</v>
      </c>
      <c r="M259" s="15">
        <v>3.859941844364442</v>
      </c>
      <c r="N259" s="15">
        <v>5</v>
      </c>
      <c r="O259" s="15">
        <v>3.5228292837733561</v>
      </c>
      <c r="P259" s="15">
        <v>5</v>
      </c>
      <c r="Q259" s="15">
        <v>3.5744560250542419</v>
      </c>
      <c r="R259" s="15">
        <v>5</v>
      </c>
      <c r="S259" s="15">
        <v>3.9922005156054912</v>
      </c>
      <c r="T259" s="15">
        <v>5</v>
      </c>
      <c r="U259" s="15">
        <v>5</v>
      </c>
      <c r="V259" s="15">
        <v>5</v>
      </c>
      <c r="W259" s="15">
        <v>4.2532930374145508</v>
      </c>
      <c r="X259" s="15">
        <v>5</v>
      </c>
      <c r="Y259" s="15">
        <v>4.0026099785942932</v>
      </c>
      <c r="Z259" s="15">
        <v>5</v>
      </c>
      <c r="AA259" s="15">
        <v>3.9422769546508789</v>
      </c>
      <c r="AB259" s="15">
        <v>5</v>
      </c>
      <c r="AC259" s="15">
        <v>4.538333333333334</v>
      </c>
      <c r="AD259" s="15">
        <v>5</v>
      </c>
      <c r="AE259" s="15">
        <v>4.5636666666666663</v>
      </c>
    </row>
    <row r="260" spans="2:31" x14ac:dyDescent="0.2">
      <c r="B260" s="15">
        <v>5</v>
      </c>
      <c r="C260" s="15">
        <v>3.8294466642959941</v>
      </c>
      <c r="D260" s="15">
        <v>5</v>
      </c>
      <c r="E260" s="15">
        <v>3.83</v>
      </c>
      <c r="F260" s="15">
        <v>5</v>
      </c>
      <c r="G260" s="15">
        <v>3.9972048863633001</v>
      </c>
      <c r="H260" s="15">
        <v>5</v>
      </c>
      <c r="I260" s="15">
        <v>4.1422305000000001</v>
      </c>
      <c r="J260" s="15">
        <v>5</v>
      </c>
      <c r="K260" s="15">
        <v>3.8294466642959941</v>
      </c>
      <c r="L260" s="15">
        <v>5</v>
      </c>
      <c r="M260" s="15">
        <v>3.607255948611237</v>
      </c>
      <c r="N260" s="15">
        <v>5</v>
      </c>
      <c r="O260" s="15">
        <v>3.6764768915684298</v>
      </c>
      <c r="P260" s="15">
        <v>5</v>
      </c>
      <c r="Q260" s="15">
        <v>3.6025702000286781</v>
      </c>
      <c r="R260" s="15">
        <v>5</v>
      </c>
      <c r="S260" s="15">
        <v>3.541257022577506</v>
      </c>
      <c r="T260" s="15">
        <v>5</v>
      </c>
      <c r="U260" s="15">
        <v>5</v>
      </c>
      <c r="V260" s="15">
        <v>3</v>
      </c>
      <c r="W260" s="15">
        <v>3.2031087875366211</v>
      </c>
      <c r="X260" s="15">
        <v>5</v>
      </c>
      <c r="Y260" s="15">
        <v>3.8586979385146392</v>
      </c>
      <c r="Z260" s="15">
        <v>5</v>
      </c>
      <c r="AA260" s="15">
        <v>4.1217770576477051</v>
      </c>
      <c r="AB260" s="15">
        <v>5</v>
      </c>
      <c r="AC260" s="15">
        <v>4.6430000000000007</v>
      </c>
      <c r="AD260" s="15">
        <v>5</v>
      </c>
      <c r="AE260" s="15">
        <v>4.7812857142857146</v>
      </c>
    </row>
    <row r="261" spans="2:31" x14ac:dyDescent="0.2">
      <c r="B261" s="15">
        <v>3</v>
      </c>
      <c r="C261" s="15">
        <v>4.4152268912065731</v>
      </c>
      <c r="D261" s="15">
        <v>3</v>
      </c>
      <c r="E261" s="15">
        <v>4.4800000000000004</v>
      </c>
      <c r="F261" s="15">
        <v>3</v>
      </c>
      <c r="G261" s="15">
        <v>4.4365044749460791</v>
      </c>
      <c r="H261" s="15">
        <v>3</v>
      </c>
      <c r="I261" s="15">
        <v>4.455444</v>
      </c>
      <c r="J261" s="15">
        <v>3</v>
      </c>
      <c r="K261" s="15">
        <v>4.4152268912065731</v>
      </c>
      <c r="L261" s="15">
        <v>3</v>
      </c>
      <c r="M261" s="15">
        <v>4.3469162995594717</v>
      </c>
      <c r="N261" s="15">
        <v>3</v>
      </c>
      <c r="O261" s="15">
        <v>2.5064584599520972</v>
      </c>
      <c r="P261" s="15">
        <v>3</v>
      </c>
      <c r="Q261" s="15">
        <v>3.1508900471805492</v>
      </c>
      <c r="R261" s="15">
        <v>3</v>
      </c>
      <c r="S261" s="15">
        <v>2.970217075037358</v>
      </c>
      <c r="T261" s="15">
        <v>3</v>
      </c>
      <c r="U261" s="15">
        <v>3</v>
      </c>
      <c r="V261" s="15">
        <v>5</v>
      </c>
      <c r="W261" s="15">
        <v>4.0718355178833008</v>
      </c>
      <c r="X261" s="15">
        <v>3</v>
      </c>
      <c r="Y261" s="15">
        <v>2.4340204390553239</v>
      </c>
      <c r="Z261" s="15">
        <v>3</v>
      </c>
      <c r="AA261" s="15">
        <v>2.5824389457702641</v>
      </c>
      <c r="AB261" s="15">
        <v>3</v>
      </c>
      <c r="AC261" s="15">
        <v>3.0131309523809522</v>
      </c>
      <c r="AD261" s="15">
        <v>3</v>
      </c>
      <c r="AE261" s="15">
        <v>2.9567222222222229</v>
      </c>
    </row>
    <row r="262" spans="2:31" x14ac:dyDescent="0.2">
      <c r="B262" s="15">
        <v>2</v>
      </c>
      <c r="C262" s="15">
        <v>2.784854833992132</v>
      </c>
      <c r="D262" s="15">
        <v>2</v>
      </c>
      <c r="E262" s="15">
        <v>2.68</v>
      </c>
      <c r="F262" s="15">
        <v>2</v>
      </c>
      <c r="G262" s="15">
        <v>2.2130254508109042</v>
      </c>
      <c r="H262" s="15">
        <v>2</v>
      </c>
      <c r="I262" s="15">
        <v>2.1468381999999999</v>
      </c>
      <c r="J262" s="15">
        <v>2</v>
      </c>
      <c r="K262" s="15">
        <v>2.784854833992132</v>
      </c>
      <c r="L262" s="15">
        <v>2</v>
      </c>
      <c r="M262" s="15">
        <v>2.5372208436724559</v>
      </c>
      <c r="N262" s="15">
        <v>2</v>
      </c>
      <c r="O262" s="15">
        <v>3.4746819843071721</v>
      </c>
      <c r="P262" s="15">
        <v>2</v>
      </c>
      <c r="Q262" s="15">
        <v>2.9944652687439661</v>
      </c>
      <c r="R262" s="15">
        <v>2</v>
      </c>
      <c r="S262" s="15">
        <v>3.218958852976153</v>
      </c>
      <c r="T262" s="15">
        <v>2</v>
      </c>
      <c r="U262" s="15">
        <v>2</v>
      </c>
      <c r="V262" s="15">
        <v>1</v>
      </c>
      <c r="W262" s="15">
        <v>2.5552949905395508</v>
      </c>
      <c r="X262" s="15">
        <v>2</v>
      </c>
      <c r="Y262" s="15">
        <v>2.7274072457574601</v>
      </c>
      <c r="Z262" s="15">
        <v>2</v>
      </c>
      <c r="AA262" s="15">
        <v>2.500415563583374</v>
      </c>
      <c r="AB262" s="15">
        <v>2</v>
      </c>
      <c r="AC262" s="15">
        <v>2.1467499999999999</v>
      </c>
      <c r="AD262" s="15">
        <v>2</v>
      </c>
      <c r="AE262" s="15">
        <v>2.4288809523809531</v>
      </c>
    </row>
    <row r="263" spans="2:31" x14ac:dyDescent="0.2">
      <c r="B263" s="15">
        <v>3</v>
      </c>
      <c r="C263" s="15">
        <v>3.7076940563576981</v>
      </c>
      <c r="D263" s="15">
        <v>3</v>
      </c>
      <c r="E263" s="15">
        <v>3.61</v>
      </c>
      <c r="F263" s="15">
        <v>3</v>
      </c>
      <c r="G263" s="15">
        <v>3.5312037245240191</v>
      </c>
      <c r="H263" s="15">
        <v>3</v>
      </c>
      <c r="I263" s="15">
        <v>3.4787129999999999</v>
      </c>
      <c r="J263" s="15">
        <v>3</v>
      </c>
      <c r="K263" s="15">
        <v>3.7076940563576981</v>
      </c>
      <c r="L263" s="15">
        <v>3</v>
      </c>
      <c r="M263" s="15">
        <v>3.9747958821441252</v>
      </c>
      <c r="N263" s="15">
        <v>3</v>
      </c>
      <c r="O263" s="15">
        <v>3.6381085714207382</v>
      </c>
      <c r="P263" s="15">
        <v>3</v>
      </c>
      <c r="Q263" s="15">
        <v>3.408637738122914</v>
      </c>
      <c r="R263" s="15">
        <v>3</v>
      </c>
      <c r="S263" s="15">
        <v>3.2669074563075231</v>
      </c>
      <c r="T263" s="15">
        <v>3</v>
      </c>
      <c r="U263" s="15">
        <v>3</v>
      </c>
      <c r="V263" s="15">
        <v>4</v>
      </c>
      <c r="W263" s="15">
        <v>4.2231311798095703</v>
      </c>
      <c r="X263" s="15">
        <v>3</v>
      </c>
      <c r="Y263" s="15">
        <v>3.4418438747516249</v>
      </c>
      <c r="Z263" s="15">
        <v>3</v>
      </c>
      <c r="AA263" s="15">
        <v>3.4198436737060551</v>
      </c>
      <c r="AB263" s="15">
        <v>3</v>
      </c>
      <c r="AC263" s="15">
        <v>3.1485119047619041</v>
      </c>
      <c r="AD263" s="15">
        <v>3</v>
      </c>
      <c r="AE263" s="15">
        <v>3.089607142857143</v>
      </c>
    </row>
    <row r="264" spans="2:31" x14ac:dyDescent="0.2">
      <c r="B264" s="15">
        <v>3</v>
      </c>
      <c r="C264" s="15">
        <v>3.7820732291088959</v>
      </c>
      <c r="D264" s="15">
        <v>3</v>
      </c>
      <c r="E264" s="15">
        <v>3.52</v>
      </c>
      <c r="F264" s="15">
        <v>3</v>
      </c>
      <c r="G264" s="15">
        <v>3.592399234089533</v>
      </c>
      <c r="H264" s="15">
        <v>3</v>
      </c>
      <c r="I264" s="15">
        <v>3.6066465000000001</v>
      </c>
      <c r="J264" s="15">
        <v>3</v>
      </c>
      <c r="K264" s="15">
        <v>3.782073229108895</v>
      </c>
      <c r="L264" s="15">
        <v>3</v>
      </c>
      <c r="M264" s="15">
        <v>3.8227938549481961</v>
      </c>
      <c r="N264" s="15">
        <v>3</v>
      </c>
      <c r="O264" s="15">
        <v>3.064384584218113</v>
      </c>
      <c r="P264" s="15">
        <v>3</v>
      </c>
      <c r="Q264" s="15">
        <v>3.0025943717458179</v>
      </c>
      <c r="R264" s="15">
        <v>3</v>
      </c>
      <c r="S264" s="15">
        <v>2.3997698836375831</v>
      </c>
      <c r="T264" s="15">
        <v>3</v>
      </c>
      <c r="U264" s="15">
        <v>3</v>
      </c>
      <c r="V264" s="15">
        <v>3</v>
      </c>
      <c r="W264" s="15">
        <v>2.872557401657104</v>
      </c>
      <c r="X264" s="15">
        <v>3</v>
      </c>
      <c r="Y264" s="15">
        <v>2.650819836622555</v>
      </c>
      <c r="Z264" s="15">
        <v>3</v>
      </c>
      <c r="AA264" s="15">
        <v>2.1451010704040532</v>
      </c>
      <c r="AB264" s="15">
        <v>3</v>
      </c>
      <c r="AC264" s="15">
        <v>2.9488492063492062</v>
      </c>
      <c r="AD264" s="15">
        <v>3</v>
      </c>
      <c r="AE264" s="15">
        <v>2.9580515873015871</v>
      </c>
    </row>
    <row r="265" spans="2:31" x14ac:dyDescent="0.2">
      <c r="B265" s="15">
        <v>4</v>
      </c>
      <c r="C265" s="15">
        <v>3.794340332864508</v>
      </c>
      <c r="D265" s="15">
        <v>4</v>
      </c>
      <c r="E265" s="15">
        <v>3.77</v>
      </c>
      <c r="F265" s="15">
        <v>4</v>
      </c>
      <c r="G265" s="15">
        <v>4.0324847935103776</v>
      </c>
      <c r="H265" s="15">
        <v>4</v>
      </c>
      <c r="I265" s="15">
        <v>3.8396509000000001</v>
      </c>
      <c r="J265" s="15">
        <v>4</v>
      </c>
      <c r="K265" s="15">
        <v>3.794340332864508</v>
      </c>
      <c r="L265" s="15">
        <v>4</v>
      </c>
      <c r="M265" s="15">
        <v>4.0155208964264082</v>
      </c>
      <c r="N265" s="15">
        <v>4</v>
      </c>
      <c r="O265" s="15">
        <v>4.264695208856951</v>
      </c>
      <c r="P265" s="15">
        <v>4</v>
      </c>
      <c r="Q265" s="15">
        <v>4.1890697716859879</v>
      </c>
      <c r="R265" s="15">
        <v>4</v>
      </c>
      <c r="S265" s="15">
        <v>4.1141848471727034</v>
      </c>
      <c r="T265" s="15">
        <v>4</v>
      </c>
      <c r="U265" s="15">
        <v>4</v>
      </c>
      <c r="V265" s="15">
        <v>5</v>
      </c>
      <c r="W265" s="15">
        <v>4.5437092781066886</v>
      </c>
      <c r="X265" s="15">
        <v>4</v>
      </c>
      <c r="Y265" s="15">
        <v>4.0585385930962827</v>
      </c>
      <c r="Z265" s="15">
        <v>4</v>
      </c>
      <c r="AA265" s="15">
        <v>4.1391520500183114</v>
      </c>
      <c r="AB265" s="15">
        <v>4</v>
      </c>
      <c r="AC265" s="15">
        <v>4.1112500000000001</v>
      </c>
      <c r="AD265" s="15">
        <v>4</v>
      </c>
      <c r="AE265" s="15">
        <v>3.9813611111111111</v>
      </c>
    </row>
    <row r="266" spans="2:31" x14ac:dyDescent="0.2">
      <c r="B266" s="15">
        <v>2</v>
      </c>
      <c r="C266" s="15">
        <v>3.6208347557434029</v>
      </c>
      <c r="D266" s="15">
        <v>2</v>
      </c>
      <c r="E266" s="15">
        <v>4.24</v>
      </c>
      <c r="F266" s="15">
        <v>2</v>
      </c>
      <c r="G266" s="15">
        <v>3.8429069245140561</v>
      </c>
      <c r="H266" s="15">
        <v>2</v>
      </c>
      <c r="I266" s="15">
        <v>3.982583</v>
      </c>
      <c r="J266" s="15">
        <v>2</v>
      </c>
      <c r="K266" s="15">
        <v>3.6208347557434029</v>
      </c>
      <c r="L266" s="15">
        <v>2</v>
      </c>
      <c r="M266" s="15">
        <v>4.0155208964264082</v>
      </c>
      <c r="N266" s="15">
        <v>2</v>
      </c>
      <c r="O266" s="15">
        <v>3.3961663604072569</v>
      </c>
      <c r="P266" s="15">
        <v>2</v>
      </c>
      <c r="Q266" s="15">
        <v>4.1129673492303827</v>
      </c>
      <c r="R266" s="15">
        <v>2</v>
      </c>
      <c r="S266" s="15">
        <v>3.7474025682814651</v>
      </c>
      <c r="T266" s="15">
        <v>2</v>
      </c>
      <c r="U266" s="15">
        <v>2</v>
      </c>
      <c r="V266" s="15">
        <v>2</v>
      </c>
      <c r="W266" s="15">
        <v>2.7501895427703862</v>
      </c>
      <c r="X266" s="15">
        <v>2</v>
      </c>
      <c r="Y266" s="15">
        <v>3.208685515432284</v>
      </c>
      <c r="Z266" s="15">
        <v>2</v>
      </c>
      <c r="AA266" s="15">
        <v>3.7431216239929199</v>
      </c>
      <c r="AB266" s="15">
        <v>2</v>
      </c>
      <c r="AC266" s="15">
        <v>2.9555277777777769</v>
      </c>
      <c r="AD266" s="15">
        <v>2</v>
      </c>
      <c r="AE266" s="15">
        <v>2.7354761904761902</v>
      </c>
    </row>
    <row r="267" spans="2:31" x14ac:dyDescent="0.2">
      <c r="B267" s="15">
        <v>4</v>
      </c>
      <c r="C267" s="15">
        <v>3.6613104333887438</v>
      </c>
      <c r="D267" s="15">
        <v>4</v>
      </c>
      <c r="E267" s="15">
        <v>3.88</v>
      </c>
      <c r="F267" s="15">
        <v>4</v>
      </c>
      <c r="G267" s="15">
        <v>3.4859575648622871</v>
      </c>
      <c r="H267" s="15">
        <v>4</v>
      </c>
      <c r="I267" s="15">
        <v>3.55816</v>
      </c>
      <c r="J267" s="15">
        <v>4</v>
      </c>
      <c r="K267" s="15">
        <v>3.661310433388743</v>
      </c>
      <c r="L267" s="15">
        <v>4</v>
      </c>
      <c r="M267" s="15">
        <v>3.607255948611237</v>
      </c>
      <c r="N267" s="15">
        <v>4</v>
      </c>
      <c r="O267" s="15">
        <v>3.3713042900782701</v>
      </c>
      <c r="P267" s="15">
        <v>4</v>
      </c>
      <c r="Q267" s="15">
        <v>3.715910220789322</v>
      </c>
      <c r="R267" s="15">
        <v>4</v>
      </c>
      <c r="S267" s="15">
        <v>3.754411968196893</v>
      </c>
      <c r="T267" s="15">
        <v>4</v>
      </c>
      <c r="U267" s="15">
        <v>4</v>
      </c>
      <c r="V267" s="15">
        <v>4</v>
      </c>
      <c r="W267" s="15">
        <v>3.9915492534637451</v>
      </c>
      <c r="X267" s="15">
        <v>4</v>
      </c>
      <c r="Y267" s="15">
        <v>3.6260414255738969</v>
      </c>
      <c r="Z267" s="15">
        <v>4</v>
      </c>
      <c r="AA267" s="15">
        <v>3.849628210067749</v>
      </c>
      <c r="AB267" s="15">
        <v>4</v>
      </c>
      <c r="AC267" s="15">
        <v>3.972142857142857</v>
      </c>
      <c r="AD267" s="15">
        <v>4</v>
      </c>
      <c r="AE267" s="15">
        <v>3.9389761904761902</v>
      </c>
    </row>
    <row r="268" spans="2:31" x14ac:dyDescent="0.2">
      <c r="B268" s="15">
        <v>2</v>
      </c>
      <c r="C268" s="15">
        <v>3.252265218153306</v>
      </c>
      <c r="D268" s="15">
        <v>2</v>
      </c>
      <c r="E268" s="15">
        <v>3.52</v>
      </c>
      <c r="F268" s="15">
        <v>2</v>
      </c>
      <c r="G268" s="15">
        <v>3.135137232711076</v>
      </c>
      <c r="H268" s="15">
        <v>2</v>
      </c>
      <c r="I268" s="15">
        <v>3.3114297000000001</v>
      </c>
      <c r="J268" s="15">
        <v>2</v>
      </c>
      <c r="K268" s="15">
        <v>3.252265218153306</v>
      </c>
      <c r="L268" s="15">
        <v>2</v>
      </c>
      <c r="M268" s="15">
        <v>3.0740037950664139</v>
      </c>
      <c r="N268" s="15">
        <v>2</v>
      </c>
      <c r="O268" s="15">
        <v>3.3829500303975482</v>
      </c>
      <c r="P268" s="15">
        <v>2</v>
      </c>
      <c r="Q268" s="15">
        <v>3.1857441465194838</v>
      </c>
      <c r="R268" s="15">
        <v>2</v>
      </c>
      <c r="S268" s="15">
        <v>3.177500926693992</v>
      </c>
      <c r="T268" s="15">
        <v>2</v>
      </c>
      <c r="U268" s="15">
        <v>2</v>
      </c>
      <c r="V268" s="15">
        <v>2</v>
      </c>
      <c r="W268" s="15">
        <v>2.0492012500762939</v>
      </c>
      <c r="X268" s="15">
        <v>2</v>
      </c>
      <c r="Y268" s="15">
        <v>3.5396614748266928</v>
      </c>
      <c r="Z268" s="15">
        <v>2</v>
      </c>
      <c r="AA268" s="15">
        <v>3.0456876754760742</v>
      </c>
      <c r="AB268" s="15">
        <v>2</v>
      </c>
      <c r="AC268" s="15">
        <v>2.282083333333333</v>
      </c>
      <c r="AD268" s="15">
        <v>2</v>
      </c>
      <c r="AE268" s="15">
        <v>2.5203412698412699</v>
      </c>
    </row>
    <row r="269" spans="2:31" x14ac:dyDescent="0.2">
      <c r="B269" s="15">
        <v>1</v>
      </c>
      <c r="C269" s="15">
        <v>3.8430287237129019</v>
      </c>
      <c r="D269" s="15">
        <v>1</v>
      </c>
      <c r="E269" s="15">
        <v>3.89</v>
      </c>
      <c r="F269" s="15">
        <v>1</v>
      </c>
      <c r="G269" s="15">
        <v>3.701737382619585</v>
      </c>
      <c r="H269" s="15">
        <v>1</v>
      </c>
      <c r="I269" s="15">
        <v>3.9619412000000001</v>
      </c>
      <c r="J269" s="15">
        <v>1</v>
      </c>
      <c r="K269" s="15">
        <v>3.8430287237129019</v>
      </c>
      <c r="L269" s="15">
        <v>1</v>
      </c>
      <c r="M269" s="15">
        <v>3.831386441976254</v>
      </c>
      <c r="N269" s="15">
        <v>1</v>
      </c>
      <c r="O269" s="15">
        <v>3.5817219985580611</v>
      </c>
      <c r="P269" s="15">
        <v>1</v>
      </c>
      <c r="Q269" s="15">
        <v>3.233378746839934</v>
      </c>
      <c r="R269" s="15">
        <v>1</v>
      </c>
      <c r="S269" s="15">
        <v>3.31805727657781</v>
      </c>
      <c r="T269" s="15">
        <v>1</v>
      </c>
      <c r="U269" s="15">
        <v>1</v>
      </c>
      <c r="V269" s="15">
        <v>4</v>
      </c>
      <c r="W269" s="15">
        <v>2.8868269920349121</v>
      </c>
      <c r="X269" s="15">
        <v>1</v>
      </c>
      <c r="Y269" s="15">
        <v>3.61020525364418</v>
      </c>
      <c r="Z269" s="15">
        <v>1</v>
      </c>
      <c r="AA269" s="15">
        <v>3.7689943313598628</v>
      </c>
      <c r="AB269" s="15">
        <v>1</v>
      </c>
      <c r="AC269" s="15">
        <v>2.4859523809523809</v>
      </c>
      <c r="AD269" s="15">
        <v>1</v>
      </c>
      <c r="AE269" s="15">
        <v>2.2072777777777781</v>
      </c>
    </row>
    <row r="270" spans="2:31" x14ac:dyDescent="0.2">
      <c r="B270" s="15">
        <v>3</v>
      </c>
      <c r="C270" s="15">
        <v>3.8911372273685512</v>
      </c>
      <c r="D270" s="15">
        <v>3</v>
      </c>
      <c r="E270" s="15">
        <v>4.2300000000000004</v>
      </c>
      <c r="F270" s="15">
        <v>3</v>
      </c>
      <c r="G270" s="15">
        <v>4.4969674659729018</v>
      </c>
      <c r="H270" s="15">
        <v>3</v>
      </c>
      <c r="I270" s="15">
        <v>4.5074433999999997</v>
      </c>
      <c r="J270" s="15">
        <v>3</v>
      </c>
      <c r="K270" s="15">
        <v>3.8911372273685512</v>
      </c>
      <c r="L270" s="15">
        <v>3</v>
      </c>
      <c r="M270" s="15">
        <v>4.2791702679343127</v>
      </c>
      <c r="N270" s="15">
        <v>3</v>
      </c>
      <c r="O270" s="15">
        <v>2.5146020664556659</v>
      </c>
      <c r="P270" s="15">
        <v>3</v>
      </c>
      <c r="Q270" s="15">
        <v>2.3753957563511539</v>
      </c>
      <c r="R270" s="15">
        <v>3</v>
      </c>
      <c r="S270" s="15">
        <v>2.2807022579388079</v>
      </c>
      <c r="T270" s="15">
        <v>3</v>
      </c>
      <c r="U270" s="15">
        <v>3</v>
      </c>
      <c r="V270" s="15">
        <v>1</v>
      </c>
      <c r="W270" s="15">
        <v>1.7894828319549561</v>
      </c>
      <c r="X270" s="15">
        <v>3</v>
      </c>
      <c r="Y270" s="15">
        <v>2.7554124919975118</v>
      </c>
      <c r="Z270" s="15">
        <v>3</v>
      </c>
      <c r="AA270" s="15">
        <v>2.6591100692749019</v>
      </c>
      <c r="AB270" s="15">
        <v>3</v>
      </c>
      <c r="AC270" s="15">
        <v>2.81045238095238</v>
      </c>
      <c r="AD270" s="15">
        <v>3</v>
      </c>
      <c r="AE270" s="15">
        <v>2.976805555555555</v>
      </c>
    </row>
    <row r="271" spans="2:31" x14ac:dyDescent="0.2">
      <c r="B271" s="15">
        <v>4</v>
      </c>
      <c r="C271" s="15">
        <v>3.5214411234304279</v>
      </c>
      <c r="D271" s="15">
        <v>4</v>
      </c>
      <c r="E271" s="15">
        <v>3.32</v>
      </c>
      <c r="F271" s="15">
        <v>4</v>
      </c>
      <c r="G271" s="15">
        <v>3.4167089702267308</v>
      </c>
      <c r="H271" s="15">
        <v>4</v>
      </c>
      <c r="I271" s="15">
        <v>3.4903692999999998</v>
      </c>
      <c r="J271" s="15">
        <v>4</v>
      </c>
      <c r="K271" s="15">
        <v>3.5214411234304279</v>
      </c>
      <c r="L271" s="15">
        <v>4</v>
      </c>
      <c r="M271" s="15">
        <v>3.466986351899668</v>
      </c>
      <c r="N271" s="15">
        <v>4</v>
      </c>
      <c r="O271" s="15">
        <v>3.7574074558818529</v>
      </c>
      <c r="P271" s="15">
        <v>4</v>
      </c>
      <c r="Q271" s="15">
        <v>3.421360903591494</v>
      </c>
      <c r="R271" s="15">
        <v>4</v>
      </c>
      <c r="S271" s="15">
        <v>3.4855068646738872</v>
      </c>
      <c r="T271" s="15">
        <v>4</v>
      </c>
      <c r="U271" s="15">
        <v>4</v>
      </c>
      <c r="V271" s="15">
        <v>5</v>
      </c>
      <c r="W271" s="15">
        <v>4.5454907417297363</v>
      </c>
      <c r="X271" s="15">
        <v>4</v>
      </c>
      <c r="Y271" s="15">
        <v>3.6364237402442181</v>
      </c>
      <c r="Z271" s="15">
        <v>4</v>
      </c>
      <c r="AA271" s="15">
        <v>3.8280751705169682</v>
      </c>
      <c r="AB271" s="15">
        <v>4</v>
      </c>
      <c r="AC271" s="15">
        <v>3.7393452380952379</v>
      </c>
      <c r="AD271" s="15">
        <v>4</v>
      </c>
      <c r="AE271" s="15">
        <v>3.81997619047619</v>
      </c>
    </row>
    <row r="272" spans="2:31" x14ac:dyDescent="0.2">
      <c r="B272" s="15">
        <v>3</v>
      </c>
      <c r="C272" s="15">
        <v>3.8289458972494561</v>
      </c>
      <c r="D272" s="15">
        <v>3</v>
      </c>
      <c r="E272" s="15">
        <v>3.06</v>
      </c>
      <c r="F272" s="15">
        <v>3</v>
      </c>
      <c r="G272" s="15">
        <v>3.1857878959387902</v>
      </c>
      <c r="H272" s="15">
        <v>3</v>
      </c>
      <c r="I272" s="15">
        <v>3.2732043000000002</v>
      </c>
      <c r="J272" s="15">
        <v>3</v>
      </c>
      <c r="K272" s="15">
        <v>3.8289458972494561</v>
      </c>
      <c r="L272" s="15">
        <v>3</v>
      </c>
      <c r="M272" s="15">
        <v>3.4249596557288871</v>
      </c>
      <c r="N272" s="15">
        <v>3</v>
      </c>
      <c r="O272" s="15">
        <v>3.7305177570445709</v>
      </c>
      <c r="P272" s="15">
        <v>3</v>
      </c>
      <c r="Q272" s="15">
        <v>3.55072884012155</v>
      </c>
      <c r="R272" s="15">
        <v>3</v>
      </c>
      <c r="S272" s="15">
        <v>3.3980482685725129</v>
      </c>
      <c r="T272" s="15">
        <v>3</v>
      </c>
      <c r="U272" s="15">
        <v>3</v>
      </c>
      <c r="V272" s="15">
        <v>2</v>
      </c>
      <c r="W272" s="15">
        <v>2.9294390678405762</v>
      </c>
      <c r="X272" s="15">
        <v>3</v>
      </c>
      <c r="Y272" s="15">
        <v>3.5036537544274911</v>
      </c>
      <c r="Z272" s="15">
        <v>3</v>
      </c>
      <c r="AA272" s="15">
        <v>3.45597243309021</v>
      </c>
      <c r="AB272" s="15">
        <v>3</v>
      </c>
      <c r="AC272" s="15">
        <v>3.0959285714285709</v>
      </c>
      <c r="AD272" s="15">
        <v>3</v>
      </c>
      <c r="AE272" s="15">
        <v>3.11375</v>
      </c>
    </row>
    <row r="273" spans="2:31" x14ac:dyDescent="0.2">
      <c r="B273" s="15">
        <v>5</v>
      </c>
      <c r="C273" s="15">
        <v>3.7312492535514248</v>
      </c>
      <c r="D273" s="15">
        <v>5</v>
      </c>
      <c r="E273" s="15">
        <v>3.74</v>
      </c>
      <c r="F273" s="15">
        <v>5</v>
      </c>
      <c r="G273" s="15">
        <v>3.7075743874369409</v>
      </c>
      <c r="H273" s="15">
        <v>5</v>
      </c>
      <c r="I273" s="15">
        <v>3.8046574999999998</v>
      </c>
      <c r="J273" s="15">
        <v>5</v>
      </c>
      <c r="K273" s="15">
        <v>3.7312492535514248</v>
      </c>
      <c r="L273" s="15">
        <v>5</v>
      </c>
      <c r="M273" s="15">
        <v>3.607255948611237</v>
      </c>
      <c r="N273" s="15">
        <v>5</v>
      </c>
      <c r="O273" s="15">
        <v>3.5544891684934812</v>
      </c>
      <c r="P273" s="15">
        <v>5</v>
      </c>
      <c r="Q273" s="15">
        <v>3.7935274791520031</v>
      </c>
      <c r="R273" s="15">
        <v>5</v>
      </c>
      <c r="S273" s="15">
        <v>3.9314975579223961</v>
      </c>
      <c r="T273" s="15">
        <v>5</v>
      </c>
      <c r="U273" s="15">
        <v>5</v>
      </c>
      <c r="V273" s="15">
        <v>2</v>
      </c>
      <c r="W273" s="15">
        <v>3.3659107685089111</v>
      </c>
      <c r="X273" s="15">
        <v>5</v>
      </c>
      <c r="Y273" s="15">
        <v>4.0539916743264479</v>
      </c>
      <c r="Z273" s="15">
        <v>5</v>
      </c>
      <c r="AA273" s="15">
        <v>3.85655665397644</v>
      </c>
      <c r="AB273" s="15">
        <v>5</v>
      </c>
      <c r="AC273" s="15">
        <v>4.7136666666666667</v>
      </c>
      <c r="AD273" s="15">
        <v>5</v>
      </c>
      <c r="AE273" s="15">
        <v>4.723694444444444</v>
      </c>
    </row>
    <row r="274" spans="2:31" x14ac:dyDescent="0.2">
      <c r="B274" s="15">
        <v>4</v>
      </c>
      <c r="C274" s="15">
        <v>3.566494470640452</v>
      </c>
      <c r="D274" s="15">
        <v>4</v>
      </c>
      <c r="E274" s="15">
        <v>3.73</v>
      </c>
      <c r="F274" s="15">
        <v>4</v>
      </c>
      <c r="G274" s="15">
        <v>3.540319865100348</v>
      </c>
      <c r="H274" s="15">
        <v>4</v>
      </c>
      <c r="I274" s="15">
        <v>3.5986087000000002</v>
      </c>
      <c r="J274" s="15">
        <v>4</v>
      </c>
      <c r="K274" s="15">
        <v>3.566494470640452</v>
      </c>
      <c r="L274" s="15">
        <v>4</v>
      </c>
      <c r="M274" s="15">
        <v>3.681549220010758</v>
      </c>
      <c r="N274" s="15">
        <v>4</v>
      </c>
      <c r="O274" s="15">
        <v>4.0454054610469541</v>
      </c>
      <c r="P274" s="15">
        <v>4</v>
      </c>
      <c r="Q274" s="15">
        <v>3.8600414989240481</v>
      </c>
      <c r="R274" s="15">
        <v>4</v>
      </c>
      <c r="S274" s="15">
        <v>3.9523652232425279</v>
      </c>
      <c r="T274" s="15">
        <v>4</v>
      </c>
      <c r="U274" s="15">
        <v>4</v>
      </c>
      <c r="V274" s="15">
        <v>4</v>
      </c>
      <c r="W274" s="15">
        <v>3.9968810081481929</v>
      </c>
      <c r="X274" s="15">
        <v>4</v>
      </c>
      <c r="Y274" s="15">
        <v>3.8387521751287501</v>
      </c>
      <c r="Z274" s="15">
        <v>4</v>
      </c>
      <c r="AA274" s="15">
        <v>3.5561378002166748</v>
      </c>
      <c r="AB274" s="15">
        <v>4</v>
      </c>
      <c r="AC274" s="15">
        <v>4.1142380952380959</v>
      </c>
      <c r="AD274" s="15">
        <v>4</v>
      </c>
      <c r="AE274" s="15">
        <v>3.9836428571428582</v>
      </c>
    </row>
    <row r="275" spans="2:31" x14ac:dyDescent="0.2">
      <c r="B275" s="15">
        <v>4</v>
      </c>
      <c r="C275" s="15">
        <v>3.8291807879162341</v>
      </c>
      <c r="D275" s="15">
        <v>4</v>
      </c>
      <c r="E275" s="15">
        <v>3.44</v>
      </c>
      <c r="F275" s="15">
        <v>4</v>
      </c>
      <c r="G275" s="15">
        <v>3.604295708917558</v>
      </c>
      <c r="H275" s="15">
        <v>4</v>
      </c>
      <c r="I275" s="15">
        <v>3.7227589999999999</v>
      </c>
      <c r="J275" s="15">
        <v>4</v>
      </c>
      <c r="K275" s="15">
        <v>3.8291807879162341</v>
      </c>
      <c r="L275" s="15">
        <v>4</v>
      </c>
      <c r="M275" s="15">
        <v>3.4723892837616179</v>
      </c>
      <c r="N275" s="15">
        <v>4</v>
      </c>
      <c r="O275" s="15">
        <v>3.950771353979738</v>
      </c>
      <c r="P275" s="15">
        <v>4</v>
      </c>
      <c r="Q275" s="15">
        <v>3.9214039133597378</v>
      </c>
      <c r="R275" s="15">
        <v>4</v>
      </c>
      <c r="S275" s="15">
        <v>4.1474108222865107</v>
      </c>
      <c r="T275" s="15">
        <v>4</v>
      </c>
      <c r="U275" s="15">
        <v>4</v>
      </c>
      <c r="V275" s="15">
        <v>1</v>
      </c>
      <c r="W275" s="15">
        <v>2.6925899982452388</v>
      </c>
      <c r="X275" s="15">
        <v>4</v>
      </c>
      <c r="Y275" s="15">
        <v>3.750218483236643</v>
      </c>
      <c r="Z275" s="15">
        <v>4</v>
      </c>
      <c r="AA275" s="15">
        <v>3.4608907699584961</v>
      </c>
      <c r="AB275" s="15">
        <v>4</v>
      </c>
      <c r="AC275" s="15">
        <v>3.8530000000000002</v>
      </c>
      <c r="AD275" s="15">
        <v>4</v>
      </c>
      <c r="AE275" s="15">
        <v>4.0508452380952384</v>
      </c>
    </row>
    <row r="276" spans="2:31" x14ac:dyDescent="0.2">
      <c r="B276" s="15">
        <v>4</v>
      </c>
      <c r="C276" s="15">
        <v>4.3881609902779504</v>
      </c>
      <c r="D276" s="15">
        <v>4</v>
      </c>
      <c r="E276" s="15">
        <v>4.37</v>
      </c>
      <c r="F276" s="15">
        <v>4</v>
      </c>
      <c r="G276" s="15">
        <v>4.4072153531049629</v>
      </c>
      <c r="H276" s="15">
        <v>4</v>
      </c>
      <c r="I276" s="15">
        <v>4.4971237000000004</v>
      </c>
      <c r="J276" s="15">
        <v>4</v>
      </c>
      <c r="K276" s="15">
        <v>4.3881609902779504</v>
      </c>
      <c r="L276" s="15">
        <v>4</v>
      </c>
      <c r="M276" s="15">
        <v>4.3181067694001101</v>
      </c>
      <c r="N276" s="15">
        <v>4</v>
      </c>
      <c r="O276" s="15">
        <v>3.3342996056732841</v>
      </c>
      <c r="P276" s="15">
        <v>4</v>
      </c>
      <c r="Q276" s="15">
        <v>3.7295670790847102</v>
      </c>
      <c r="R276" s="15">
        <v>4</v>
      </c>
      <c r="S276" s="15">
        <v>3.5599637395036008</v>
      </c>
      <c r="T276" s="15">
        <v>4</v>
      </c>
      <c r="U276" s="15">
        <v>4</v>
      </c>
      <c r="V276" s="15">
        <v>2</v>
      </c>
      <c r="W276" s="15">
        <v>2.2049250602722168</v>
      </c>
      <c r="X276" s="15">
        <v>4</v>
      </c>
      <c r="Y276" s="15">
        <v>3.8892848416776911</v>
      </c>
      <c r="Z276" s="15">
        <v>4</v>
      </c>
      <c r="AA276" s="15">
        <v>3.7717504501342769</v>
      </c>
      <c r="AB276" s="15">
        <v>4</v>
      </c>
      <c r="AC276" s="15">
        <v>4.1146666666666674</v>
      </c>
      <c r="AD276" s="15">
        <v>4</v>
      </c>
      <c r="AE276" s="15">
        <v>3.8827857142857138</v>
      </c>
    </row>
    <row r="277" spans="2:31" x14ac:dyDescent="0.2">
      <c r="B277" s="15">
        <v>4</v>
      </c>
      <c r="C277" s="15">
        <v>3.9616722587796489</v>
      </c>
      <c r="D277" s="15">
        <v>4</v>
      </c>
      <c r="E277" s="15">
        <v>4.29</v>
      </c>
      <c r="F277" s="15">
        <v>4</v>
      </c>
      <c r="G277" s="15">
        <v>4.3068742040112031</v>
      </c>
      <c r="H277" s="15">
        <v>4</v>
      </c>
      <c r="I277" s="15">
        <v>4.1955020000000003</v>
      </c>
      <c r="J277" s="15">
        <v>4</v>
      </c>
      <c r="K277" s="15">
        <v>3.9616722587796489</v>
      </c>
      <c r="L277" s="15">
        <v>4</v>
      </c>
      <c r="M277" s="15">
        <v>4.297595585337012</v>
      </c>
      <c r="N277" s="15">
        <v>4</v>
      </c>
      <c r="O277" s="15">
        <v>3.836187766186451</v>
      </c>
      <c r="P277" s="15">
        <v>4</v>
      </c>
      <c r="Q277" s="15">
        <v>4.0349007893213384</v>
      </c>
      <c r="R277" s="15">
        <v>4</v>
      </c>
      <c r="S277" s="15">
        <v>3.8494710873811702</v>
      </c>
      <c r="T277" s="15">
        <v>4</v>
      </c>
      <c r="U277" s="15">
        <v>4</v>
      </c>
      <c r="V277" s="15">
        <v>3</v>
      </c>
      <c r="W277" s="15">
        <v>1.7895569801330571</v>
      </c>
      <c r="X277" s="15">
        <v>4</v>
      </c>
      <c r="Y277" s="15">
        <v>3.9094449176794841</v>
      </c>
      <c r="Z277" s="15">
        <v>4</v>
      </c>
      <c r="AA277" s="15">
        <v>3.966155052185059</v>
      </c>
      <c r="AB277" s="15">
        <v>4</v>
      </c>
      <c r="AC277" s="15">
        <v>4.0781666666666663</v>
      </c>
      <c r="AD277" s="15">
        <v>4</v>
      </c>
      <c r="AE277" s="15">
        <v>3.9574285714285709</v>
      </c>
    </row>
    <row r="278" spans="2:31" x14ac:dyDescent="0.2">
      <c r="B278" s="15">
        <v>5</v>
      </c>
      <c r="C278" s="15">
        <v>3.854705658684503</v>
      </c>
      <c r="D278" s="15">
        <v>5</v>
      </c>
      <c r="E278" s="15">
        <v>3.83</v>
      </c>
      <c r="F278" s="15">
        <v>5</v>
      </c>
      <c r="G278" s="15">
        <v>3.9438141123448411</v>
      </c>
      <c r="H278" s="15">
        <v>5</v>
      </c>
      <c r="I278" s="15">
        <v>3.8521678000000001</v>
      </c>
      <c r="J278" s="15">
        <v>5</v>
      </c>
      <c r="K278" s="15">
        <v>3.854705658684503</v>
      </c>
      <c r="L278" s="15">
        <v>5</v>
      </c>
      <c r="M278" s="15">
        <v>3.7283003633427532</v>
      </c>
      <c r="N278" s="15">
        <v>5</v>
      </c>
      <c r="O278" s="15">
        <v>3.5844611254740868</v>
      </c>
      <c r="P278" s="15">
        <v>5</v>
      </c>
      <c r="Q278" s="15">
        <v>3.7058733104771031</v>
      </c>
      <c r="R278" s="15">
        <v>5</v>
      </c>
      <c r="S278" s="15">
        <v>4.357879664956366</v>
      </c>
      <c r="T278" s="15">
        <v>5</v>
      </c>
      <c r="U278" s="15">
        <v>5</v>
      </c>
      <c r="V278" s="15">
        <v>4</v>
      </c>
      <c r="W278" s="15">
        <v>3.9969065189361568</v>
      </c>
      <c r="X278" s="15">
        <v>5</v>
      </c>
      <c r="Y278" s="15">
        <v>3.886090759030612</v>
      </c>
      <c r="Z278" s="15">
        <v>5</v>
      </c>
      <c r="AA278" s="15">
        <v>3.6567268371582031</v>
      </c>
      <c r="AB278" s="15">
        <v>5</v>
      </c>
      <c r="AC278" s="15">
        <v>4.7699999999999996</v>
      </c>
      <c r="AD278" s="15">
        <v>5</v>
      </c>
      <c r="AE278" s="15">
        <v>4.6363571428571433</v>
      </c>
    </row>
    <row r="279" spans="2:31" x14ac:dyDescent="0.2">
      <c r="B279" s="15">
        <v>5</v>
      </c>
      <c r="C279" s="15">
        <v>3.8514689103616622</v>
      </c>
      <c r="D279" s="15">
        <v>5</v>
      </c>
      <c r="E279" s="15">
        <v>4.2699999999999996</v>
      </c>
      <c r="F279" s="15">
        <v>5</v>
      </c>
      <c r="G279" s="15">
        <v>4.5244318602939719</v>
      </c>
      <c r="H279" s="15">
        <v>5</v>
      </c>
      <c r="I279" s="15">
        <v>4.6551714000000004</v>
      </c>
      <c r="J279" s="15">
        <v>5</v>
      </c>
      <c r="K279" s="15">
        <v>3.8514689103616622</v>
      </c>
      <c r="L279" s="15">
        <v>5</v>
      </c>
      <c r="M279" s="15">
        <v>4.5788177339901477</v>
      </c>
      <c r="N279" s="15">
        <v>5</v>
      </c>
      <c r="O279" s="15">
        <v>3.913903969181256</v>
      </c>
      <c r="P279" s="15">
        <v>5</v>
      </c>
      <c r="Q279" s="15">
        <v>4.5393378090095329</v>
      </c>
      <c r="R279" s="15">
        <v>5</v>
      </c>
      <c r="S279" s="15">
        <v>4.5265284577321641</v>
      </c>
      <c r="T279" s="15">
        <v>5</v>
      </c>
      <c r="U279" s="15">
        <v>5</v>
      </c>
      <c r="V279" s="15">
        <v>5</v>
      </c>
      <c r="W279" s="15">
        <v>4.1184720993041992</v>
      </c>
      <c r="X279" s="15">
        <v>5</v>
      </c>
      <c r="Y279" s="15">
        <v>4.4348711309578919</v>
      </c>
      <c r="Z279" s="15">
        <v>5</v>
      </c>
      <c r="AA279" s="15">
        <v>4.4946117401123047</v>
      </c>
      <c r="AB279" s="15">
        <v>5</v>
      </c>
      <c r="AC279" s="15">
        <v>4.8485357142857142</v>
      </c>
      <c r="AD279" s="15">
        <v>5</v>
      </c>
      <c r="AE279" s="15">
        <v>4.8663333333333334</v>
      </c>
    </row>
    <row r="280" spans="2:31" x14ac:dyDescent="0.2">
      <c r="B280" s="15">
        <v>5</v>
      </c>
      <c r="C280" s="15">
        <v>4.1320745083621491</v>
      </c>
      <c r="D280" s="15">
        <v>5</v>
      </c>
      <c r="E280" s="15">
        <v>4.82</v>
      </c>
      <c r="F280" s="15">
        <v>5</v>
      </c>
      <c r="G280" s="15">
        <v>4.8793180803835252</v>
      </c>
      <c r="H280" s="15">
        <v>5</v>
      </c>
      <c r="I280" s="15">
        <v>5.080686</v>
      </c>
      <c r="J280" s="15">
        <v>5</v>
      </c>
      <c r="K280" s="15">
        <v>4.1320745083621491</v>
      </c>
      <c r="L280" s="15">
        <v>5</v>
      </c>
      <c r="M280" s="15">
        <v>4.8080568720379144</v>
      </c>
      <c r="N280" s="15">
        <v>5</v>
      </c>
      <c r="O280" s="15">
        <v>3.9110710738015841</v>
      </c>
      <c r="P280" s="15">
        <v>5</v>
      </c>
      <c r="Q280" s="15">
        <v>4.6863092585350099</v>
      </c>
      <c r="R280" s="15">
        <v>5</v>
      </c>
      <c r="S280" s="15">
        <v>4.6154218799834101</v>
      </c>
      <c r="T280" s="15">
        <v>5</v>
      </c>
      <c r="U280" s="15">
        <v>5</v>
      </c>
      <c r="V280" s="15">
        <v>4</v>
      </c>
      <c r="W280" s="15">
        <v>3.8856105804443359</v>
      </c>
      <c r="X280" s="15">
        <v>5</v>
      </c>
      <c r="Y280" s="15">
        <v>4.4672002808751454</v>
      </c>
      <c r="Z280" s="15">
        <v>5</v>
      </c>
      <c r="AA280" s="15">
        <v>4.3703799247741699</v>
      </c>
      <c r="AB280" s="15">
        <v>5</v>
      </c>
      <c r="AC280" s="15">
        <v>4.9633333333333338</v>
      </c>
      <c r="AD280" s="15">
        <v>5</v>
      </c>
      <c r="AE280" s="15">
        <v>4.968</v>
      </c>
    </row>
    <row r="281" spans="2:31" x14ac:dyDescent="0.2">
      <c r="B281" s="15">
        <v>3</v>
      </c>
      <c r="C281" s="15">
        <v>3.7607497365993501</v>
      </c>
      <c r="D281" s="15">
        <v>3</v>
      </c>
      <c r="E281" s="15">
        <v>3.67</v>
      </c>
      <c r="F281" s="15">
        <v>3</v>
      </c>
      <c r="G281" s="15">
        <v>3.8881578259555258</v>
      </c>
      <c r="H281" s="15">
        <v>3</v>
      </c>
      <c r="I281" s="15">
        <v>3.8046047999999999</v>
      </c>
      <c r="J281" s="15">
        <v>3</v>
      </c>
      <c r="K281" s="15">
        <v>3.7607497365993501</v>
      </c>
      <c r="L281" s="15">
        <v>3</v>
      </c>
      <c r="M281" s="15">
        <v>3.831386441976254</v>
      </c>
      <c r="N281" s="15">
        <v>3</v>
      </c>
      <c r="O281" s="15">
        <v>3.45661386144489</v>
      </c>
      <c r="P281" s="15">
        <v>3</v>
      </c>
      <c r="Q281" s="15">
        <v>3.31368491959199</v>
      </c>
      <c r="R281" s="15">
        <v>3</v>
      </c>
      <c r="S281" s="15">
        <v>3.5712493131911249</v>
      </c>
      <c r="T281" s="15">
        <v>3</v>
      </c>
      <c r="U281" s="15">
        <v>3</v>
      </c>
      <c r="V281" s="15">
        <v>5</v>
      </c>
      <c r="W281" s="15">
        <v>5.0031380653381348</v>
      </c>
      <c r="X281" s="15">
        <v>3</v>
      </c>
      <c r="Y281" s="15">
        <v>3.5003710595747801</v>
      </c>
      <c r="Z281" s="15">
        <v>3</v>
      </c>
      <c r="AA281" s="15">
        <v>3.4091510772705078</v>
      </c>
      <c r="AB281" s="15">
        <v>3</v>
      </c>
      <c r="AC281" s="15">
        <v>3.089035714285715</v>
      </c>
      <c r="AD281" s="15">
        <v>3</v>
      </c>
      <c r="AE281" s="15">
        <v>3.190805555555555</v>
      </c>
    </row>
    <row r="282" spans="2:31" x14ac:dyDescent="0.2">
      <c r="B282" s="15">
        <v>3</v>
      </c>
      <c r="C282" s="15">
        <v>3.8608138223301909</v>
      </c>
      <c r="D282" s="15">
        <v>3</v>
      </c>
      <c r="E282" s="15">
        <v>3.18</v>
      </c>
      <c r="F282" s="15">
        <v>3</v>
      </c>
      <c r="G282" s="15">
        <v>3.3200431199498559</v>
      </c>
      <c r="H282" s="15">
        <v>3</v>
      </c>
      <c r="I282" s="15">
        <v>3.4957685000000001</v>
      </c>
      <c r="J282" s="15">
        <v>3</v>
      </c>
      <c r="K282" s="15">
        <v>3.8608138223301909</v>
      </c>
      <c r="L282" s="15">
        <v>3</v>
      </c>
      <c r="M282" s="15">
        <v>3.2103004291845489</v>
      </c>
      <c r="N282" s="15">
        <v>3</v>
      </c>
      <c r="O282" s="15">
        <v>4.4987382227414967</v>
      </c>
      <c r="P282" s="15">
        <v>3</v>
      </c>
      <c r="Q282" s="15">
        <v>4.6999954217012778</v>
      </c>
      <c r="R282" s="15">
        <v>3</v>
      </c>
      <c r="S282" s="15">
        <v>4.5930942177395879</v>
      </c>
      <c r="T282" s="15">
        <v>3</v>
      </c>
      <c r="U282" s="15">
        <v>3</v>
      </c>
      <c r="V282" s="15">
        <v>3</v>
      </c>
      <c r="W282" s="15">
        <v>3.0372276306152339</v>
      </c>
      <c r="X282" s="15">
        <v>3</v>
      </c>
      <c r="Y282" s="15">
        <v>4.1229259129605849</v>
      </c>
      <c r="Z282" s="15">
        <v>3</v>
      </c>
      <c r="AA282" s="15">
        <v>4.238743782043457</v>
      </c>
      <c r="AB282" s="15">
        <v>3</v>
      </c>
      <c r="AC282" s="15">
        <v>3.2577380952380959</v>
      </c>
      <c r="AD282" s="15">
        <v>3</v>
      </c>
      <c r="AE282" s="15">
        <v>3.4861746031746019</v>
      </c>
    </row>
    <row r="283" spans="2:31" x14ac:dyDescent="0.2">
      <c r="B283" s="15">
        <v>4</v>
      </c>
      <c r="C283" s="15">
        <v>3.8370841784306582</v>
      </c>
      <c r="D283" s="15">
        <v>4</v>
      </c>
      <c r="E283" s="15">
        <v>3.39</v>
      </c>
      <c r="F283" s="15">
        <v>4</v>
      </c>
      <c r="G283" s="15">
        <v>3.7058212913091468</v>
      </c>
      <c r="H283" s="15">
        <v>4</v>
      </c>
      <c r="I283" s="15">
        <v>3.5683569999999998</v>
      </c>
      <c r="J283" s="15">
        <v>4</v>
      </c>
      <c r="K283" s="15">
        <v>3.8370841784306582</v>
      </c>
      <c r="L283" s="15">
        <v>4</v>
      </c>
      <c r="M283" s="15">
        <v>3.7990622906898861</v>
      </c>
      <c r="N283" s="15">
        <v>4</v>
      </c>
      <c r="O283" s="15">
        <v>3.6237140490544788</v>
      </c>
      <c r="P283" s="15">
        <v>4</v>
      </c>
      <c r="Q283" s="15">
        <v>3.8015996373530041</v>
      </c>
      <c r="R283" s="15">
        <v>4</v>
      </c>
      <c r="S283" s="15">
        <v>3.9139934662742908</v>
      </c>
      <c r="T283" s="15">
        <v>4</v>
      </c>
      <c r="U283" s="15">
        <v>4</v>
      </c>
      <c r="V283" s="15">
        <v>5</v>
      </c>
      <c r="W283" s="15">
        <v>4.3630847930908203</v>
      </c>
      <c r="X283" s="15">
        <v>4</v>
      </c>
      <c r="Y283" s="15">
        <v>3.9708962979339701</v>
      </c>
      <c r="Z283" s="15">
        <v>4</v>
      </c>
      <c r="AA283" s="15">
        <v>3.9925048351287842</v>
      </c>
      <c r="AB283" s="15">
        <v>4</v>
      </c>
      <c r="AC283" s="15">
        <v>4.0189642857142864</v>
      </c>
      <c r="AD283" s="15">
        <v>4</v>
      </c>
      <c r="AE283" s="15">
        <v>4.1553015873015866</v>
      </c>
    </row>
    <row r="284" spans="2:31" x14ac:dyDescent="0.2">
      <c r="B284" s="15">
        <v>5</v>
      </c>
      <c r="C284" s="15">
        <v>3.6949142877363279</v>
      </c>
      <c r="D284" s="15">
        <v>5</v>
      </c>
      <c r="E284" s="15">
        <v>4.37</v>
      </c>
      <c r="F284" s="15">
        <v>5</v>
      </c>
      <c r="G284" s="15">
        <v>4.2164139534882672</v>
      </c>
      <c r="H284" s="15">
        <v>5</v>
      </c>
      <c r="I284" s="15">
        <v>4.0525479999999998</v>
      </c>
      <c r="J284" s="15">
        <v>5</v>
      </c>
      <c r="K284" s="15">
        <v>3.694914287736327</v>
      </c>
      <c r="L284" s="15">
        <v>5</v>
      </c>
      <c r="M284" s="15">
        <v>4.0128452151573537</v>
      </c>
      <c r="N284" s="15">
        <v>5</v>
      </c>
      <c r="O284" s="15">
        <v>3.1877480384816912</v>
      </c>
      <c r="P284" s="15">
        <v>5</v>
      </c>
      <c r="Q284" s="15">
        <v>4.2598871062908952</v>
      </c>
      <c r="R284" s="15">
        <v>5</v>
      </c>
      <c r="S284" s="15">
        <v>4.0077829483994627</v>
      </c>
      <c r="T284" s="15">
        <v>5</v>
      </c>
      <c r="U284" s="15">
        <v>5</v>
      </c>
      <c r="V284" s="15">
        <v>3</v>
      </c>
      <c r="W284" s="15">
        <v>4.0218911170959473</v>
      </c>
      <c r="X284" s="15">
        <v>5</v>
      </c>
      <c r="Y284" s="15">
        <v>3.5581213844106401</v>
      </c>
      <c r="Z284" s="15">
        <v>5</v>
      </c>
      <c r="AA284" s="15">
        <v>4.0936446189880371</v>
      </c>
      <c r="AB284" s="15">
        <v>5</v>
      </c>
      <c r="AC284" s="15">
        <v>4.5679404761904756</v>
      </c>
      <c r="AD284" s="15">
        <v>5</v>
      </c>
      <c r="AE284" s="15">
        <v>4.5550952380952383</v>
      </c>
    </row>
    <row r="285" spans="2:31" x14ac:dyDescent="0.2">
      <c r="B285" s="15">
        <v>4</v>
      </c>
      <c r="C285" s="15">
        <v>3.9431624106137622</v>
      </c>
      <c r="D285" s="15">
        <v>4</v>
      </c>
      <c r="E285" s="15">
        <v>3.83</v>
      </c>
      <c r="F285" s="15">
        <v>4</v>
      </c>
      <c r="G285" s="15">
        <v>4.1585189841710974</v>
      </c>
      <c r="H285" s="15">
        <v>4</v>
      </c>
      <c r="I285" s="15">
        <v>4.2954299999999996</v>
      </c>
      <c r="J285" s="15">
        <v>4</v>
      </c>
      <c r="K285" s="15">
        <v>3.9431624106137622</v>
      </c>
      <c r="L285" s="15">
        <v>4</v>
      </c>
      <c r="M285" s="15">
        <v>4.1691297208538591</v>
      </c>
      <c r="N285" s="15">
        <v>4</v>
      </c>
      <c r="O285" s="15">
        <v>3.8241967191869839</v>
      </c>
      <c r="P285" s="15">
        <v>4</v>
      </c>
      <c r="Q285" s="15">
        <v>4.0613254966653436</v>
      </c>
      <c r="R285" s="15">
        <v>4</v>
      </c>
      <c r="S285" s="15">
        <v>4.0341596036693703</v>
      </c>
      <c r="T285" s="15">
        <v>4</v>
      </c>
      <c r="U285" s="15">
        <v>4</v>
      </c>
      <c r="V285" s="15">
        <v>4</v>
      </c>
      <c r="W285" s="15">
        <v>3.9191100597381592</v>
      </c>
      <c r="X285" s="15">
        <v>4</v>
      </c>
      <c r="Y285" s="15">
        <v>3.8949373637552962</v>
      </c>
      <c r="Z285" s="15">
        <v>4</v>
      </c>
      <c r="AA285" s="15">
        <v>4.2807521820068359</v>
      </c>
      <c r="AB285" s="15">
        <v>4</v>
      </c>
      <c r="AC285" s="15">
        <v>4.0960714285714293</v>
      </c>
      <c r="AD285" s="15">
        <v>4</v>
      </c>
      <c r="AE285" s="15">
        <v>4.1214404761904753</v>
      </c>
    </row>
    <row r="286" spans="2:31" x14ac:dyDescent="0.2">
      <c r="B286" s="15">
        <v>5</v>
      </c>
      <c r="C286" s="15">
        <v>3.834570632917492</v>
      </c>
      <c r="D286" s="15">
        <v>5</v>
      </c>
      <c r="E286" s="15">
        <v>4.1100000000000003</v>
      </c>
      <c r="F286" s="15">
        <v>5</v>
      </c>
      <c r="G286" s="15">
        <v>4.0599138998229636</v>
      </c>
      <c r="H286" s="15">
        <v>5</v>
      </c>
      <c r="I286" s="15">
        <v>4.0522289999999996</v>
      </c>
      <c r="J286" s="15">
        <v>5</v>
      </c>
      <c r="K286" s="15">
        <v>3.834570632917492</v>
      </c>
      <c r="L286" s="15">
        <v>5</v>
      </c>
      <c r="M286" s="15">
        <v>3.831386441976254</v>
      </c>
      <c r="N286" s="15">
        <v>5</v>
      </c>
      <c r="O286" s="15">
        <v>4.3893250370374002</v>
      </c>
      <c r="P286" s="15">
        <v>5</v>
      </c>
      <c r="Q286" s="15">
        <v>4.6970097223260154</v>
      </c>
      <c r="R286" s="15">
        <v>5</v>
      </c>
      <c r="S286" s="15">
        <v>4.6603970661405834</v>
      </c>
      <c r="T286" s="15">
        <v>5</v>
      </c>
      <c r="U286" s="15">
        <v>5</v>
      </c>
      <c r="V286" s="15">
        <v>3</v>
      </c>
      <c r="W286" s="15">
        <v>2.600846529006958</v>
      </c>
      <c r="X286" s="15">
        <v>5</v>
      </c>
      <c r="Y286" s="15">
        <v>4.5341727619601144</v>
      </c>
      <c r="Z286" s="15">
        <v>5</v>
      </c>
      <c r="AA286" s="15">
        <v>4.4246125221252441</v>
      </c>
      <c r="AB286" s="15">
        <v>5</v>
      </c>
      <c r="AC286" s="15">
        <v>4.7816071428571432</v>
      </c>
      <c r="AD286" s="15">
        <v>5</v>
      </c>
      <c r="AE286" s="15">
        <v>4.8740952380952383</v>
      </c>
    </row>
    <row r="287" spans="2:31" x14ac:dyDescent="0.2">
      <c r="B287" s="15">
        <v>5</v>
      </c>
      <c r="C287" s="15">
        <v>3.6683427758616469</v>
      </c>
      <c r="D287" s="15">
        <v>5</v>
      </c>
      <c r="E287" s="15">
        <v>4.17</v>
      </c>
      <c r="F287" s="15">
        <v>5</v>
      </c>
      <c r="G287" s="15">
        <v>3.769105261478666</v>
      </c>
      <c r="H287" s="15">
        <v>5</v>
      </c>
      <c r="I287" s="15">
        <v>3.8865694999999998</v>
      </c>
      <c r="J287" s="15">
        <v>5</v>
      </c>
      <c r="K287" s="15">
        <v>3.6683427758616469</v>
      </c>
      <c r="L287" s="15">
        <v>5</v>
      </c>
      <c r="M287" s="15">
        <v>3.7917898193760262</v>
      </c>
      <c r="N287" s="15">
        <v>5</v>
      </c>
      <c r="O287" s="15">
        <v>4.2613273765989153</v>
      </c>
      <c r="P287" s="15">
        <v>5</v>
      </c>
      <c r="Q287" s="15">
        <v>4.2379678688841134</v>
      </c>
      <c r="R287" s="15">
        <v>5</v>
      </c>
      <c r="S287" s="15">
        <v>4.1973186747624718</v>
      </c>
      <c r="T287" s="15">
        <v>5</v>
      </c>
      <c r="U287" s="15">
        <v>5</v>
      </c>
      <c r="V287" s="15">
        <v>4</v>
      </c>
      <c r="W287" s="15">
        <v>3.737360000610352</v>
      </c>
      <c r="X287" s="15">
        <v>5</v>
      </c>
      <c r="Y287" s="15">
        <v>4.3254301039798237</v>
      </c>
      <c r="Z287" s="15">
        <v>5</v>
      </c>
      <c r="AA287" s="15">
        <v>4.3132610321044922</v>
      </c>
      <c r="AB287" s="15">
        <v>5</v>
      </c>
      <c r="AC287" s="15">
        <v>4.6771666666666674</v>
      </c>
      <c r="AD287" s="15">
        <v>5</v>
      </c>
      <c r="AE287" s="15">
        <v>4.7080000000000011</v>
      </c>
    </row>
    <row r="288" spans="2:31" x14ac:dyDescent="0.2">
      <c r="B288" s="15">
        <v>4</v>
      </c>
      <c r="C288" s="15">
        <v>4.4641960283201358</v>
      </c>
      <c r="D288" s="15">
        <v>4</v>
      </c>
      <c r="E288" s="15">
        <v>4.82</v>
      </c>
      <c r="F288" s="15">
        <v>4</v>
      </c>
      <c r="G288" s="15">
        <v>4.7839466280257259</v>
      </c>
      <c r="H288" s="15">
        <v>4</v>
      </c>
      <c r="I288" s="15">
        <v>4.9960389999999997</v>
      </c>
      <c r="J288" s="15">
        <v>4</v>
      </c>
      <c r="K288" s="15">
        <v>4.4641960283201358</v>
      </c>
      <c r="L288" s="15">
        <v>4</v>
      </c>
      <c r="M288" s="15">
        <v>4.7248780487804876</v>
      </c>
      <c r="N288" s="15">
        <v>4</v>
      </c>
      <c r="O288" s="15">
        <v>3.6855940133187688</v>
      </c>
      <c r="P288" s="15">
        <v>4</v>
      </c>
      <c r="Q288" s="15">
        <v>3.6494428250547699</v>
      </c>
      <c r="R288" s="15">
        <v>4</v>
      </c>
      <c r="S288" s="15">
        <v>3.3727252774196468</v>
      </c>
      <c r="T288" s="15">
        <v>4</v>
      </c>
      <c r="U288" s="15">
        <v>4</v>
      </c>
      <c r="V288" s="15">
        <v>4</v>
      </c>
      <c r="W288" s="15">
        <v>3.2384004592895508</v>
      </c>
      <c r="X288" s="15">
        <v>4</v>
      </c>
      <c r="Y288" s="15">
        <v>4.3663119098538781</v>
      </c>
      <c r="Z288" s="15">
        <v>4</v>
      </c>
      <c r="AA288" s="15">
        <v>4.2236957550048828</v>
      </c>
      <c r="AB288" s="15">
        <v>4</v>
      </c>
      <c r="AC288" s="15">
        <v>3.977238095238095</v>
      </c>
      <c r="AD288" s="15">
        <v>4</v>
      </c>
      <c r="AE288" s="15">
        <v>4.0104285714285721</v>
      </c>
    </row>
    <row r="289" spans="2:31" x14ac:dyDescent="0.2">
      <c r="B289" s="15">
        <v>2</v>
      </c>
      <c r="C289" s="15">
        <v>2.8275836440503301</v>
      </c>
      <c r="D289" s="15">
        <v>2</v>
      </c>
      <c r="E289" s="15">
        <v>2.57</v>
      </c>
      <c r="F289" s="15">
        <v>2</v>
      </c>
      <c r="G289" s="15">
        <v>2.527122382926184</v>
      </c>
      <c r="H289" s="15">
        <v>2</v>
      </c>
      <c r="I289" s="15">
        <v>2.661718</v>
      </c>
      <c r="J289" s="15">
        <v>2</v>
      </c>
      <c r="K289" s="15">
        <v>2.8275836440503301</v>
      </c>
      <c r="L289" s="15">
        <v>2</v>
      </c>
      <c r="M289" s="15">
        <v>2.8340395480225991</v>
      </c>
      <c r="N289" s="15">
        <v>2</v>
      </c>
      <c r="O289" s="15">
        <v>2.6451378369883498</v>
      </c>
      <c r="P289" s="15">
        <v>2</v>
      </c>
      <c r="Q289" s="15">
        <v>2.1193614203036701</v>
      </c>
      <c r="R289" s="15">
        <v>2</v>
      </c>
      <c r="S289" s="15">
        <v>1.911246941819178</v>
      </c>
      <c r="T289" s="15">
        <v>2</v>
      </c>
      <c r="U289" s="15">
        <v>2</v>
      </c>
      <c r="V289" s="15">
        <v>2</v>
      </c>
      <c r="W289" s="15">
        <v>1.9360038042068479</v>
      </c>
      <c r="X289" s="15">
        <v>2</v>
      </c>
      <c r="Y289" s="15">
        <v>2.380656530055635</v>
      </c>
      <c r="Z289" s="15">
        <v>2</v>
      </c>
      <c r="AA289" s="15">
        <v>2.5562224388122559</v>
      </c>
      <c r="AB289" s="15">
        <v>2</v>
      </c>
      <c r="AC289" s="15">
        <v>2.1314880952380961</v>
      </c>
      <c r="AD289" s="15">
        <v>2</v>
      </c>
      <c r="AE289" s="15">
        <v>1.972</v>
      </c>
    </row>
    <row r="290" spans="2:31" x14ac:dyDescent="0.2">
      <c r="B290" s="15">
        <v>4</v>
      </c>
      <c r="C290" s="15">
        <v>4.182990292493912</v>
      </c>
      <c r="D290" s="15">
        <v>4</v>
      </c>
      <c r="E290" s="15">
        <v>4.49</v>
      </c>
      <c r="F290" s="15">
        <v>4</v>
      </c>
      <c r="G290" s="15">
        <v>4.5672925506816</v>
      </c>
      <c r="H290" s="15">
        <v>4</v>
      </c>
      <c r="I290" s="15">
        <v>4.6563077000000002</v>
      </c>
      <c r="J290" s="15">
        <v>4</v>
      </c>
      <c r="K290" s="15">
        <v>4.182990292493912</v>
      </c>
      <c r="L290" s="15">
        <v>4</v>
      </c>
      <c r="M290" s="15">
        <v>4.4884074496389204</v>
      </c>
      <c r="N290" s="15">
        <v>4</v>
      </c>
      <c r="O290" s="15">
        <v>4.1100999545423207</v>
      </c>
      <c r="P290" s="15">
        <v>4</v>
      </c>
      <c r="Q290" s="15">
        <v>3.8450473642284311</v>
      </c>
      <c r="R290" s="15">
        <v>4</v>
      </c>
      <c r="S290" s="15">
        <v>3.8882411630320708</v>
      </c>
      <c r="T290" s="15">
        <v>4</v>
      </c>
      <c r="U290" s="15">
        <v>4</v>
      </c>
      <c r="V290" s="15">
        <v>4</v>
      </c>
      <c r="W290" s="15">
        <v>4.0521464347839364</v>
      </c>
      <c r="X290" s="15">
        <v>4</v>
      </c>
      <c r="Y290" s="15">
        <v>3.8380151872210928</v>
      </c>
      <c r="Z290" s="15">
        <v>4</v>
      </c>
      <c r="AA290" s="15">
        <v>3.7001297473907471</v>
      </c>
      <c r="AB290" s="15">
        <v>4</v>
      </c>
      <c r="AC290" s="15">
        <v>3.984666666666667</v>
      </c>
      <c r="AD290" s="15">
        <v>4</v>
      </c>
      <c r="AE290" s="15">
        <v>3.968154761904763</v>
      </c>
    </row>
    <row r="291" spans="2:31" x14ac:dyDescent="0.2">
      <c r="B291" s="15">
        <v>5</v>
      </c>
      <c r="C291" s="15">
        <v>3.6757036645576981</v>
      </c>
      <c r="D291" s="15">
        <v>5</v>
      </c>
      <c r="E291" s="15">
        <v>3.44</v>
      </c>
      <c r="F291" s="15">
        <v>5</v>
      </c>
      <c r="G291" s="15">
        <v>3.7734226787990011</v>
      </c>
      <c r="H291" s="15">
        <v>5</v>
      </c>
      <c r="I291" s="15">
        <v>3.5278450000000001</v>
      </c>
      <c r="J291" s="15">
        <v>5</v>
      </c>
      <c r="K291" s="15">
        <v>3.6757036645576981</v>
      </c>
      <c r="L291" s="15">
        <v>5</v>
      </c>
      <c r="M291" s="15">
        <v>3.4800233304170312</v>
      </c>
      <c r="N291" s="15">
        <v>5</v>
      </c>
      <c r="O291" s="15">
        <v>3.7624972116232489</v>
      </c>
      <c r="P291" s="15">
        <v>5</v>
      </c>
      <c r="Q291" s="15">
        <v>4.1168993273341687</v>
      </c>
      <c r="R291" s="15">
        <v>5</v>
      </c>
      <c r="S291" s="15">
        <v>3.9227058694870469</v>
      </c>
      <c r="T291" s="15">
        <v>5</v>
      </c>
      <c r="U291" s="15">
        <v>5</v>
      </c>
      <c r="V291" s="15">
        <v>3</v>
      </c>
      <c r="W291" s="15">
        <v>2.9863970279693599</v>
      </c>
      <c r="X291" s="15">
        <v>5</v>
      </c>
      <c r="Y291" s="15">
        <v>4.3738172557712662</v>
      </c>
      <c r="Z291" s="15">
        <v>5</v>
      </c>
      <c r="AA291" s="15">
        <v>4.4370284080505371</v>
      </c>
      <c r="AB291" s="15">
        <v>5</v>
      </c>
      <c r="AC291" s="15">
        <v>4.6935000000000002</v>
      </c>
      <c r="AD291" s="15">
        <v>5</v>
      </c>
      <c r="AE291" s="15">
        <v>4.6383095238095242</v>
      </c>
    </row>
    <row r="292" spans="2:31" x14ac:dyDescent="0.2">
      <c r="B292" s="15">
        <v>1</v>
      </c>
      <c r="C292" s="15">
        <v>3.4867651151513139</v>
      </c>
      <c r="D292" s="15">
        <v>1</v>
      </c>
      <c r="E292" s="15">
        <v>3.26</v>
      </c>
      <c r="F292" s="15">
        <v>1</v>
      </c>
      <c r="G292" s="15">
        <v>2.9414566612658821</v>
      </c>
      <c r="H292" s="15">
        <v>1</v>
      </c>
      <c r="I292" s="15">
        <v>3.0282377999999999</v>
      </c>
      <c r="J292" s="15">
        <v>1</v>
      </c>
      <c r="K292" s="15">
        <v>3.4867651151513139</v>
      </c>
      <c r="L292" s="15">
        <v>1</v>
      </c>
      <c r="M292" s="15">
        <v>3.607255948611237</v>
      </c>
      <c r="N292" s="15">
        <v>1</v>
      </c>
      <c r="O292" s="15">
        <v>2.617834905846752</v>
      </c>
      <c r="P292" s="15">
        <v>1</v>
      </c>
      <c r="Q292" s="15">
        <v>2.0692620290244639</v>
      </c>
      <c r="R292" s="15">
        <v>1</v>
      </c>
      <c r="S292" s="15">
        <v>1.9675595519399409</v>
      </c>
      <c r="T292" s="15">
        <v>1</v>
      </c>
      <c r="U292" s="15">
        <v>1</v>
      </c>
      <c r="V292" s="15">
        <v>4</v>
      </c>
      <c r="W292" s="15">
        <v>3.8562624454498291</v>
      </c>
      <c r="X292" s="15">
        <v>1</v>
      </c>
      <c r="Y292" s="15">
        <v>1.422851590085223</v>
      </c>
      <c r="Z292" s="15">
        <v>1</v>
      </c>
      <c r="AA292" s="15">
        <v>1.061826229095459</v>
      </c>
      <c r="AB292" s="15">
        <v>1</v>
      </c>
      <c r="AC292" s="15">
        <v>1.4302222222222221</v>
      </c>
      <c r="AD292" s="15">
        <v>1</v>
      </c>
      <c r="AE292" s="15">
        <v>1.2263333333333331</v>
      </c>
    </row>
    <row r="293" spans="2:31" x14ac:dyDescent="0.2">
      <c r="B293" s="15">
        <v>4</v>
      </c>
      <c r="C293" s="15">
        <v>3.6156005753250779</v>
      </c>
      <c r="D293" s="15">
        <v>4</v>
      </c>
      <c r="E293" s="15">
        <v>4.05</v>
      </c>
      <c r="F293" s="15">
        <v>4</v>
      </c>
      <c r="G293" s="15">
        <v>3.936591056063945</v>
      </c>
      <c r="H293" s="15">
        <v>4</v>
      </c>
      <c r="I293" s="15">
        <v>3.8140624000000001</v>
      </c>
      <c r="J293" s="15">
        <v>4</v>
      </c>
      <c r="K293" s="15">
        <v>3.6156005753250779</v>
      </c>
      <c r="L293" s="15">
        <v>4</v>
      </c>
      <c r="M293" s="15">
        <v>4.3198225757112274</v>
      </c>
      <c r="N293" s="15">
        <v>4</v>
      </c>
      <c r="O293" s="15">
        <v>3.2734020714103491</v>
      </c>
      <c r="P293" s="15">
        <v>4</v>
      </c>
      <c r="Q293" s="15">
        <v>4.2614366780426884</v>
      </c>
      <c r="R293" s="15">
        <v>4</v>
      </c>
      <c r="S293" s="15">
        <v>4.4257011875728818</v>
      </c>
      <c r="T293" s="15">
        <v>4</v>
      </c>
      <c r="U293" s="15">
        <v>4</v>
      </c>
      <c r="V293" s="15">
        <v>2</v>
      </c>
      <c r="W293" s="15">
        <v>2.0214695930480961</v>
      </c>
      <c r="X293" s="15">
        <v>4</v>
      </c>
      <c r="Y293" s="15">
        <v>3.551244487305679</v>
      </c>
      <c r="Z293" s="15">
        <v>4</v>
      </c>
      <c r="AA293" s="15">
        <v>3.5969085693359379</v>
      </c>
      <c r="AB293" s="15">
        <v>4</v>
      </c>
      <c r="AC293" s="15">
        <v>4.0381666666666662</v>
      </c>
      <c r="AD293" s="15">
        <v>4</v>
      </c>
      <c r="AE293" s="15">
        <v>3.992833333333333</v>
      </c>
    </row>
    <row r="294" spans="2:31" x14ac:dyDescent="0.2">
      <c r="B294" s="15">
        <v>4</v>
      </c>
      <c r="C294" s="15">
        <v>3.7916662684497058</v>
      </c>
      <c r="D294" s="15">
        <v>4</v>
      </c>
      <c r="E294" s="15">
        <v>4</v>
      </c>
      <c r="F294" s="15">
        <v>4</v>
      </c>
      <c r="G294" s="15">
        <v>3.8607787300247591</v>
      </c>
      <c r="H294" s="15">
        <v>4</v>
      </c>
      <c r="I294" s="15">
        <v>3.8113869999999999</v>
      </c>
      <c r="J294" s="15">
        <v>4</v>
      </c>
      <c r="K294" s="15">
        <v>3.7916662684497058</v>
      </c>
      <c r="L294" s="15">
        <v>4</v>
      </c>
      <c r="M294" s="15">
        <v>3.831386441976254</v>
      </c>
      <c r="N294" s="15">
        <v>4</v>
      </c>
      <c r="O294" s="15">
        <v>4.2897640392359122</v>
      </c>
      <c r="P294" s="15">
        <v>4</v>
      </c>
      <c r="Q294" s="15">
        <v>4.6486549006502011</v>
      </c>
      <c r="R294" s="15">
        <v>4</v>
      </c>
      <c r="S294" s="15">
        <v>4.8897362740373058</v>
      </c>
      <c r="T294" s="15">
        <v>4</v>
      </c>
      <c r="U294" s="15">
        <v>4</v>
      </c>
      <c r="V294" s="15">
        <v>3</v>
      </c>
      <c r="W294" s="15">
        <v>2.7986278533935551</v>
      </c>
      <c r="X294" s="15">
        <v>4</v>
      </c>
      <c r="Y294" s="15">
        <v>4.0720587037987679</v>
      </c>
      <c r="Z294" s="15">
        <v>4</v>
      </c>
      <c r="AA294" s="15">
        <v>4.0996026992797852</v>
      </c>
      <c r="AB294" s="15">
        <v>4</v>
      </c>
      <c r="AC294" s="15">
        <v>4.2366666666666646</v>
      </c>
      <c r="AD294" s="15">
        <v>4</v>
      </c>
      <c r="AE294" s="15">
        <v>4.1591071428571427</v>
      </c>
    </row>
    <row r="295" spans="2:31" x14ac:dyDescent="0.2">
      <c r="B295" s="15">
        <v>4</v>
      </c>
      <c r="C295" s="15">
        <v>3.6332384037041359</v>
      </c>
      <c r="D295" s="15">
        <v>4</v>
      </c>
      <c r="E295" s="15">
        <v>3.11</v>
      </c>
      <c r="F295" s="15">
        <v>4</v>
      </c>
      <c r="G295" s="15">
        <v>3.151742817366892</v>
      </c>
      <c r="H295" s="15">
        <v>4</v>
      </c>
      <c r="I295" s="15">
        <v>3.168104</v>
      </c>
      <c r="J295" s="15">
        <v>4</v>
      </c>
      <c r="K295" s="15">
        <v>3.6332384037041359</v>
      </c>
      <c r="L295" s="15">
        <v>4</v>
      </c>
      <c r="M295" s="15">
        <v>3.139204545454545</v>
      </c>
      <c r="N295" s="15">
        <v>4</v>
      </c>
      <c r="O295" s="15">
        <v>3.2987626035014639</v>
      </c>
      <c r="P295" s="15">
        <v>4</v>
      </c>
      <c r="Q295" s="15">
        <v>3.2040591081445302</v>
      </c>
      <c r="R295" s="15">
        <v>4</v>
      </c>
      <c r="S295" s="15">
        <v>2.977199113676904</v>
      </c>
      <c r="T295" s="15">
        <v>4</v>
      </c>
      <c r="U295" s="15">
        <v>4</v>
      </c>
      <c r="V295" s="15">
        <v>3</v>
      </c>
      <c r="W295" s="15">
        <v>3.9816408157348628</v>
      </c>
      <c r="X295" s="15">
        <v>4</v>
      </c>
      <c r="Y295" s="15">
        <v>3.7849683230467122</v>
      </c>
      <c r="Z295" s="15">
        <v>4</v>
      </c>
      <c r="AA295" s="15">
        <v>4.0358819961547852</v>
      </c>
      <c r="AB295" s="15">
        <v>4</v>
      </c>
      <c r="AC295" s="15">
        <v>3.58238888888889</v>
      </c>
      <c r="AD295" s="15">
        <v>4</v>
      </c>
      <c r="AE295" s="15">
        <v>3.495761904761904</v>
      </c>
    </row>
    <row r="296" spans="2:31" x14ac:dyDescent="0.2">
      <c r="B296" s="15">
        <v>5</v>
      </c>
      <c r="C296" s="15">
        <v>4.238343178726848</v>
      </c>
      <c r="D296" s="15">
        <v>5</v>
      </c>
      <c r="E296" s="15">
        <v>4.6100000000000003</v>
      </c>
      <c r="F296" s="15">
        <v>5</v>
      </c>
      <c r="G296" s="15">
        <v>4.5595858963603462</v>
      </c>
      <c r="H296" s="15">
        <v>5</v>
      </c>
      <c r="I296" s="15">
        <v>4.7209399999999997</v>
      </c>
      <c r="J296" s="15">
        <v>5</v>
      </c>
      <c r="K296" s="15">
        <v>4.238343178726848</v>
      </c>
      <c r="L296" s="15">
        <v>5</v>
      </c>
      <c r="M296" s="15">
        <v>4.4884074496389204</v>
      </c>
      <c r="N296" s="15">
        <v>5</v>
      </c>
      <c r="O296" s="15">
        <v>4.0814336089698076</v>
      </c>
      <c r="P296" s="15">
        <v>5</v>
      </c>
      <c r="Q296" s="15">
        <v>4.7505226577529918</v>
      </c>
      <c r="R296" s="15">
        <v>5</v>
      </c>
      <c r="S296" s="15">
        <v>4.6365731374231522</v>
      </c>
      <c r="T296" s="15">
        <v>5</v>
      </c>
      <c r="U296" s="15">
        <v>5</v>
      </c>
      <c r="V296" s="15">
        <v>3</v>
      </c>
      <c r="W296" s="15">
        <v>3.971429586410522</v>
      </c>
      <c r="X296" s="15">
        <v>5</v>
      </c>
      <c r="Y296" s="15">
        <v>4.3422513511419272</v>
      </c>
      <c r="Z296" s="15">
        <v>5</v>
      </c>
      <c r="AA296" s="15">
        <v>4.2544150352478027</v>
      </c>
      <c r="AB296" s="15">
        <v>5</v>
      </c>
      <c r="AC296" s="15">
        <v>4.7631666666666668</v>
      </c>
      <c r="AD296" s="15">
        <v>5</v>
      </c>
      <c r="AE296" s="15">
        <v>4.6855952380952388</v>
      </c>
    </row>
    <row r="297" spans="2:31" x14ac:dyDescent="0.2">
      <c r="B297" s="15">
        <v>1</v>
      </c>
      <c r="C297" s="15">
        <v>2.3329041353733242</v>
      </c>
      <c r="D297" s="15">
        <v>1</v>
      </c>
      <c r="E297" s="15">
        <v>2.99</v>
      </c>
      <c r="F297" s="15">
        <v>1</v>
      </c>
      <c r="G297" s="15">
        <v>2.215831877422993</v>
      </c>
      <c r="H297" s="15">
        <v>1</v>
      </c>
      <c r="I297" s="15">
        <v>2.5427232000000002</v>
      </c>
      <c r="J297" s="15">
        <v>1</v>
      </c>
      <c r="K297" s="15">
        <v>2.3329041353733242</v>
      </c>
      <c r="L297" s="15">
        <v>1</v>
      </c>
      <c r="M297" s="15">
        <v>3.0664652567975832</v>
      </c>
      <c r="N297" s="15">
        <v>1</v>
      </c>
      <c r="O297" s="15">
        <v>2.4783083524608909</v>
      </c>
      <c r="P297" s="15">
        <v>1</v>
      </c>
      <c r="Q297" s="15">
        <v>2.2708639077007859</v>
      </c>
      <c r="R297" s="15">
        <v>1</v>
      </c>
      <c r="S297" s="15">
        <v>2.2557139810598641</v>
      </c>
      <c r="T297" s="15">
        <v>1</v>
      </c>
      <c r="U297" s="15">
        <v>1</v>
      </c>
      <c r="V297" s="15">
        <v>1</v>
      </c>
      <c r="W297" s="15">
        <v>3.0721051692962651</v>
      </c>
      <c r="X297" s="15">
        <v>1</v>
      </c>
      <c r="Y297" s="15">
        <v>2.034052379637334</v>
      </c>
      <c r="Z297" s="15">
        <v>1</v>
      </c>
      <c r="AA297" s="15">
        <v>2.3017268180847168</v>
      </c>
      <c r="AB297" s="15">
        <v>1</v>
      </c>
      <c r="AC297" s="15">
        <v>1.7716666666666669</v>
      </c>
      <c r="AD297" s="15">
        <v>1</v>
      </c>
      <c r="AE297" s="15">
        <v>1.470404761904762</v>
      </c>
    </row>
    <row r="298" spans="2:31" x14ac:dyDescent="0.2">
      <c r="B298" s="15">
        <v>4</v>
      </c>
      <c r="C298" s="15">
        <v>4.2534848444610267</v>
      </c>
      <c r="D298" s="15">
        <v>4</v>
      </c>
      <c r="E298" s="15">
        <v>3.88</v>
      </c>
      <c r="F298" s="15">
        <v>4</v>
      </c>
      <c r="G298" s="15">
        <v>4.0764005302964321</v>
      </c>
      <c r="H298" s="15">
        <v>4</v>
      </c>
      <c r="I298" s="15">
        <v>4.0839113999999999</v>
      </c>
      <c r="J298" s="15">
        <v>4</v>
      </c>
      <c r="K298" s="15">
        <v>4.2534848444610267</v>
      </c>
      <c r="L298" s="15">
        <v>4</v>
      </c>
      <c r="M298" s="15">
        <v>3.8643274853801168</v>
      </c>
      <c r="N298" s="15">
        <v>4</v>
      </c>
      <c r="O298" s="15">
        <v>3.3152689431424389</v>
      </c>
      <c r="P298" s="15">
        <v>4</v>
      </c>
      <c r="Q298" s="15">
        <v>3.425971659644699</v>
      </c>
      <c r="R298" s="15">
        <v>4</v>
      </c>
      <c r="S298" s="15">
        <v>3.0192315870200628</v>
      </c>
      <c r="T298" s="15">
        <v>4</v>
      </c>
      <c r="U298" s="15">
        <v>4</v>
      </c>
      <c r="V298" s="15">
        <v>4</v>
      </c>
      <c r="W298" s="15">
        <v>4.2391080856323242</v>
      </c>
      <c r="X298" s="15">
        <v>4</v>
      </c>
      <c r="Y298" s="15">
        <v>3.7895587963380142</v>
      </c>
      <c r="Z298" s="15">
        <v>4</v>
      </c>
      <c r="AA298" s="15">
        <v>4.0690131187438956</v>
      </c>
      <c r="AB298" s="15">
        <v>4</v>
      </c>
      <c r="AC298" s="15">
        <v>3.84915873015873</v>
      </c>
      <c r="AD298" s="15">
        <v>4</v>
      </c>
      <c r="AE298" s="15">
        <v>3.8592539682539679</v>
      </c>
    </row>
    <row r="299" spans="2:31" x14ac:dyDescent="0.2">
      <c r="B299" s="15">
        <v>3</v>
      </c>
      <c r="C299" s="15">
        <v>3.63112414044876</v>
      </c>
      <c r="D299" s="15">
        <v>3</v>
      </c>
      <c r="E299" s="15">
        <v>3.53</v>
      </c>
      <c r="F299" s="15">
        <v>3</v>
      </c>
      <c r="G299" s="15">
        <v>3.7609877426242191</v>
      </c>
      <c r="H299" s="15">
        <v>3</v>
      </c>
      <c r="I299" s="15">
        <v>3.4531323999999999</v>
      </c>
      <c r="J299" s="15">
        <v>3</v>
      </c>
      <c r="K299" s="15">
        <v>3.63112414044876</v>
      </c>
      <c r="L299" s="15">
        <v>3</v>
      </c>
      <c r="M299" s="15">
        <v>4.0155208964264082</v>
      </c>
      <c r="N299" s="15">
        <v>3</v>
      </c>
      <c r="O299" s="15">
        <v>3.6425239222712609</v>
      </c>
      <c r="P299" s="15">
        <v>3</v>
      </c>
      <c r="Q299" s="15">
        <v>3.3414708309734209</v>
      </c>
      <c r="R299" s="15">
        <v>3</v>
      </c>
      <c r="S299" s="15">
        <v>2.8040835564525568</v>
      </c>
      <c r="T299" s="15">
        <v>3</v>
      </c>
      <c r="U299" s="15">
        <v>3</v>
      </c>
      <c r="V299" s="15">
        <v>3</v>
      </c>
      <c r="W299" s="15">
        <v>3.227028608322144</v>
      </c>
      <c r="X299" s="15">
        <v>3</v>
      </c>
      <c r="Y299" s="15">
        <v>3.9103644561717079</v>
      </c>
      <c r="Z299" s="15">
        <v>3</v>
      </c>
      <c r="AA299" s="15">
        <v>4.0401611328125</v>
      </c>
      <c r="AB299" s="15">
        <v>3</v>
      </c>
      <c r="AC299" s="15">
        <v>3.1188571428571441</v>
      </c>
      <c r="AD299" s="15">
        <v>3</v>
      </c>
      <c r="AE299" s="15">
        <v>3.1512738095238091</v>
      </c>
    </row>
    <row r="300" spans="2:31" x14ac:dyDescent="0.2">
      <c r="B300" s="15">
        <v>3</v>
      </c>
      <c r="C300" s="15">
        <v>3.412079703351615</v>
      </c>
      <c r="D300" s="15">
        <v>3</v>
      </c>
      <c r="E300" s="15">
        <v>3.66</v>
      </c>
      <c r="F300" s="15">
        <v>3</v>
      </c>
      <c r="G300" s="15">
        <v>3.3744961799948441</v>
      </c>
      <c r="H300" s="15">
        <v>3</v>
      </c>
      <c r="I300" s="15">
        <v>3.4396076</v>
      </c>
      <c r="J300" s="15">
        <v>3</v>
      </c>
      <c r="K300" s="15">
        <v>3.412079703351615</v>
      </c>
      <c r="L300" s="15">
        <v>3</v>
      </c>
      <c r="M300" s="15">
        <v>3.63018534863195</v>
      </c>
      <c r="N300" s="15">
        <v>3</v>
      </c>
      <c r="O300" s="15">
        <v>3.3851349949213549</v>
      </c>
      <c r="P300" s="15">
        <v>3</v>
      </c>
      <c r="Q300" s="15">
        <v>3.1278963548368779</v>
      </c>
      <c r="R300" s="15">
        <v>3</v>
      </c>
      <c r="S300" s="15">
        <v>3.070003366428093</v>
      </c>
      <c r="T300" s="15">
        <v>3</v>
      </c>
      <c r="U300" s="15">
        <v>3</v>
      </c>
      <c r="V300" s="15">
        <v>5</v>
      </c>
      <c r="W300" s="15">
        <v>3.2932078838348389</v>
      </c>
      <c r="X300" s="15">
        <v>3</v>
      </c>
      <c r="Y300" s="15">
        <v>3.3036933361859169</v>
      </c>
      <c r="Z300" s="15">
        <v>3</v>
      </c>
      <c r="AA300" s="15">
        <v>3.0656764507293701</v>
      </c>
      <c r="AB300" s="15">
        <v>3</v>
      </c>
      <c r="AC300" s="15">
        <v>3.20177380952381</v>
      </c>
      <c r="AD300" s="15">
        <v>3</v>
      </c>
      <c r="AE300" s="15">
        <v>3.209000000000001</v>
      </c>
    </row>
    <row r="301" spans="2:31" x14ac:dyDescent="0.2">
      <c r="B301" s="15">
        <v>4</v>
      </c>
      <c r="C301" s="15">
        <v>4.0164238541579769</v>
      </c>
      <c r="D301" s="15">
        <v>4</v>
      </c>
      <c r="E301" s="15">
        <v>4.3</v>
      </c>
      <c r="F301" s="15">
        <v>4</v>
      </c>
      <c r="G301" s="15">
        <v>4.1050839680905904</v>
      </c>
      <c r="H301" s="15">
        <v>4</v>
      </c>
      <c r="I301" s="15">
        <v>4.2434187000000003</v>
      </c>
      <c r="J301" s="15">
        <v>4</v>
      </c>
      <c r="K301" s="15">
        <v>4.0164238541579769</v>
      </c>
      <c r="L301" s="15">
        <v>4</v>
      </c>
      <c r="M301" s="15">
        <v>4.206442166910688</v>
      </c>
      <c r="N301" s="15">
        <v>4</v>
      </c>
      <c r="O301" s="15">
        <v>4.2665711596958111</v>
      </c>
      <c r="P301" s="15">
        <v>4</v>
      </c>
      <c r="Q301" s="15">
        <v>4.3062721148629732</v>
      </c>
      <c r="R301" s="15">
        <v>4</v>
      </c>
      <c r="S301" s="15">
        <v>4.296597431735047</v>
      </c>
      <c r="T301" s="15">
        <v>4</v>
      </c>
      <c r="U301" s="15">
        <v>4</v>
      </c>
      <c r="V301" s="15">
        <v>4</v>
      </c>
      <c r="W301" s="15">
        <v>3.734865665435791</v>
      </c>
      <c r="X301" s="15">
        <v>4</v>
      </c>
      <c r="Y301" s="15">
        <v>4.2603085868211714</v>
      </c>
      <c r="Z301" s="15">
        <v>4</v>
      </c>
      <c r="AA301" s="15">
        <v>4.407599925994873</v>
      </c>
      <c r="AB301" s="15">
        <v>4</v>
      </c>
      <c r="AC301" s="15">
        <v>4.1341666666666672</v>
      </c>
      <c r="AD301" s="15">
        <v>4</v>
      </c>
      <c r="AE301" s="15">
        <v>4.2000238095238096</v>
      </c>
    </row>
    <row r="302" spans="2:31" x14ac:dyDescent="0.2">
      <c r="B302" s="15">
        <v>5</v>
      </c>
      <c r="C302" s="15">
        <v>3.9834947650989281</v>
      </c>
      <c r="D302" s="15">
        <v>5</v>
      </c>
      <c r="E302" s="15">
        <v>4.63</v>
      </c>
      <c r="F302" s="15">
        <v>5</v>
      </c>
      <c r="G302" s="15">
        <v>4.5896056410891708</v>
      </c>
      <c r="H302" s="15">
        <v>5</v>
      </c>
      <c r="I302" s="15">
        <v>4.8783035000000003</v>
      </c>
      <c r="J302" s="15">
        <v>5</v>
      </c>
      <c r="K302" s="15">
        <v>3.9834947650989281</v>
      </c>
      <c r="L302" s="15">
        <v>5</v>
      </c>
      <c r="M302" s="15">
        <v>4.3465189873417716</v>
      </c>
      <c r="N302" s="15">
        <v>5</v>
      </c>
      <c r="O302" s="15">
        <v>4.3520662546541198</v>
      </c>
      <c r="P302" s="15">
        <v>5</v>
      </c>
      <c r="Q302" s="15">
        <v>5.1130365287780366</v>
      </c>
      <c r="R302" s="15">
        <v>5</v>
      </c>
      <c r="S302" s="15">
        <v>5.3196671515934906</v>
      </c>
      <c r="T302" s="15">
        <v>5</v>
      </c>
      <c r="U302" s="15">
        <v>5</v>
      </c>
      <c r="V302" s="15">
        <v>5</v>
      </c>
      <c r="W302" s="15">
        <v>2.8726315498352051</v>
      </c>
      <c r="X302" s="15">
        <v>5</v>
      </c>
      <c r="Y302" s="15">
        <v>4.5711108855931819</v>
      </c>
      <c r="Z302" s="15">
        <v>5</v>
      </c>
      <c r="AA302" s="15">
        <v>4.4982028007507324</v>
      </c>
      <c r="AB302" s="15">
        <v>5</v>
      </c>
      <c r="AC302" s="15">
        <v>4.8704999999999998</v>
      </c>
      <c r="AD302" s="15">
        <v>5</v>
      </c>
      <c r="AE302" s="15">
        <v>4.9249999999999998</v>
      </c>
    </row>
    <row r="303" spans="2:31" x14ac:dyDescent="0.2">
      <c r="B303" s="15">
        <v>4</v>
      </c>
      <c r="C303" s="15">
        <v>3.784474037549844</v>
      </c>
      <c r="D303" s="15">
        <v>4</v>
      </c>
      <c r="E303" s="15">
        <v>4.12</v>
      </c>
      <c r="F303" s="15">
        <v>4</v>
      </c>
      <c r="G303" s="15">
        <v>3.964329623462544</v>
      </c>
      <c r="H303" s="15">
        <v>4</v>
      </c>
      <c r="I303" s="15">
        <v>4.1522226</v>
      </c>
      <c r="J303" s="15">
        <v>4</v>
      </c>
      <c r="K303" s="15">
        <v>3.784474037549844</v>
      </c>
      <c r="L303" s="15">
        <v>4</v>
      </c>
      <c r="M303" s="15">
        <v>3.7917898193760262</v>
      </c>
      <c r="N303" s="15">
        <v>4</v>
      </c>
      <c r="O303" s="15">
        <v>4.122528791150212</v>
      </c>
      <c r="P303" s="15">
        <v>4</v>
      </c>
      <c r="Q303" s="15">
        <v>4.2938138012397404</v>
      </c>
      <c r="R303" s="15">
        <v>4</v>
      </c>
      <c r="S303" s="15">
        <v>4.1544092496159628</v>
      </c>
      <c r="T303" s="15">
        <v>4</v>
      </c>
      <c r="U303" s="15">
        <v>4</v>
      </c>
      <c r="V303" s="15">
        <v>5</v>
      </c>
      <c r="W303" s="15">
        <v>4.6165242195129386</v>
      </c>
      <c r="X303" s="15">
        <v>4</v>
      </c>
      <c r="Y303" s="15">
        <v>4.0131692251912217</v>
      </c>
      <c r="Z303" s="15">
        <v>4</v>
      </c>
      <c r="AA303" s="15">
        <v>3.9253661632537842</v>
      </c>
      <c r="AB303" s="15">
        <v>4</v>
      </c>
      <c r="AC303" s="15">
        <v>4.0095714285714283</v>
      </c>
      <c r="AD303" s="15">
        <v>4</v>
      </c>
      <c r="AE303" s="15">
        <v>4.1560714285714289</v>
      </c>
    </row>
    <row r="304" spans="2:31" x14ac:dyDescent="0.2">
      <c r="B304" s="15">
        <v>5</v>
      </c>
      <c r="C304" s="15">
        <v>3.7762564881717462</v>
      </c>
      <c r="D304" s="15">
        <v>5</v>
      </c>
      <c r="E304" s="15">
        <v>3.6</v>
      </c>
      <c r="F304" s="15">
        <v>5</v>
      </c>
      <c r="G304" s="15">
        <v>3.693482135410417</v>
      </c>
      <c r="H304" s="15">
        <v>5</v>
      </c>
      <c r="I304" s="15">
        <v>3.4574449999999999</v>
      </c>
      <c r="J304" s="15">
        <v>5</v>
      </c>
      <c r="K304" s="15">
        <v>3.7762564881717462</v>
      </c>
      <c r="L304" s="15">
        <v>5</v>
      </c>
      <c r="M304" s="15">
        <v>3.7552812071330588</v>
      </c>
      <c r="N304" s="15">
        <v>5</v>
      </c>
      <c r="O304" s="15">
        <v>4.4691098555645246</v>
      </c>
      <c r="P304" s="15">
        <v>5</v>
      </c>
      <c r="Q304" s="15">
        <v>4.501497508100031</v>
      </c>
      <c r="R304" s="15">
        <v>5</v>
      </c>
      <c r="S304" s="15">
        <v>4.6867815053289483</v>
      </c>
      <c r="T304" s="15">
        <v>5</v>
      </c>
      <c r="U304" s="15">
        <v>5</v>
      </c>
      <c r="V304" s="15">
        <v>3</v>
      </c>
      <c r="W304" s="15">
        <v>3.800291776657104</v>
      </c>
      <c r="X304" s="15">
        <v>5</v>
      </c>
      <c r="Y304" s="15">
        <v>4.4921901932429229</v>
      </c>
      <c r="Z304" s="15">
        <v>5</v>
      </c>
      <c r="AA304" s="15">
        <v>4.5340614318847656</v>
      </c>
      <c r="AB304" s="15">
        <v>5</v>
      </c>
      <c r="AC304" s="15">
        <v>4.7736666666666672</v>
      </c>
      <c r="AD304" s="15">
        <v>5</v>
      </c>
      <c r="AE304" s="15">
        <v>4.6126190476190478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BO304"/>
  <sheetViews>
    <sheetView showGridLines="0" workbookViewId="0">
      <selection activeCell="C1" sqref="C1"/>
    </sheetView>
  </sheetViews>
  <sheetFormatPr baseColWidth="10" defaultColWidth="8.83203125" defaultRowHeight="15" x14ac:dyDescent="0.2"/>
  <cols>
    <col min="1" max="1" width="3.5" customWidth="1"/>
    <col min="2" max="2" width="20.5" bestFit="1" customWidth="1"/>
    <col min="3" max="3" width="24.83203125" bestFit="1" customWidth="1"/>
    <col min="4" max="4" width="20.5" bestFit="1" customWidth="1"/>
    <col min="5" max="5" width="24.83203125" bestFit="1" customWidth="1"/>
    <col min="6" max="6" width="20.5" bestFit="1" customWidth="1"/>
    <col min="7" max="7" width="24.83203125" bestFit="1" customWidth="1"/>
    <col min="8" max="8" width="20.5" bestFit="1" customWidth="1"/>
    <col min="9" max="9" width="24.83203125" bestFit="1" customWidth="1"/>
    <col min="10" max="10" width="20.5" bestFit="1" customWidth="1"/>
    <col min="11" max="11" width="24.83203125" bestFit="1" customWidth="1"/>
    <col min="12" max="12" width="20.5" bestFit="1" customWidth="1"/>
    <col min="13" max="13" width="24.8320312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535</v>
      </c>
    </row>
    <row r="3" spans="1:67" s="1" customFormat="1" x14ac:dyDescent="0.2"/>
    <row r="5" spans="1:67" x14ac:dyDescent="0.2">
      <c r="B5" s="1" t="s">
        <v>505</v>
      </c>
      <c r="C5" s="1" t="s">
        <v>506</v>
      </c>
      <c r="D5" s="1" t="s">
        <v>507</v>
      </c>
      <c r="E5" s="1" t="s">
        <v>508</v>
      </c>
      <c r="F5" s="1" t="s">
        <v>509</v>
      </c>
      <c r="G5" s="1" t="s">
        <v>510</v>
      </c>
      <c r="H5" s="1" t="s">
        <v>511</v>
      </c>
      <c r="I5" s="1" t="s">
        <v>512</v>
      </c>
      <c r="J5" s="1" t="s">
        <v>513</v>
      </c>
      <c r="K5" s="1" t="s">
        <v>514</v>
      </c>
      <c r="L5" s="1" t="s">
        <v>515</v>
      </c>
      <c r="M5" s="1" t="s">
        <v>516</v>
      </c>
      <c r="N5" s="1" t="s">
        <v>517</v>
      </c>
      <c r="O5" s="1" t="s">
        <v>518</v>
      </c>
      <c r="P5" s="1" t="s">
        <v>519</v>
      </c>
      <c r="Q5" s="1" t="s">
        <v>520</v>
      </c>
      <c r="R5" s="1" t="s">
        <v>521</v>
      </c>
      <c r="S5" s="1" t="s">
        <v>522</v>
      </c>
      <c r="T5" s="1" t="s">
        <v>523</v>
      </c>
      <c r="U5" s="1" t="s">
        <v>524</v>
      </c>
      <c r="V5" s="1" t="s">
        <v>525</v>
      </c>
      <c r="W5" s="1" t="s">
        <v>526</v>
      </c>
      <c r="X5" s="1" t="s">
        <v>527</v>
      </c>
      <c r="Y5" s="1" t="s">
        <v>528</v>
      </c>
      <c r="Z5" s="1" t="s">
        <v>529</v>
      </c>
      <c r="AA5" s="1" t="s">
        <v>530</v>
      </c>
      <c r="AB5" s="1" t="s">
        <v>531</v>
      </c>
      <c r="AC5" s="1" t="s">
        <v>532</v>
      </c>
      <c r="AD5" s="1" t="s">
        <v>533</v>
      </c>
      <c r="AE5" s="1" t="s">
        <v>534</v>
      </c>
    </row>
    <row r="6" spans="1:67" x14ac:dyDescent="0.2">
      <c r="B6" s="15">
        <v>4</v>
      </c>
      <c r="C6" s="15">
        <v>3.8202929260842362</v>
      </c>
      <c r="D6" s="15">
        <v>4</v>
      </c>
      <c r="E6" s="15">
        <v>3.91</v>
      </c>
      <c r="F6" s="15">
        <v>4</v>
      </c>
      <c r="G6" s="15">
        <v>3.881289915222633</v>
      </c>
      <c r="H6" s="15">
        <v>4</v>
      </c>
      <c r="I6" s="15">
        <v>3.891651</v>
      </c>
      <c r="J6" s="15">
        <v>4</v>
      </c>
      <c r="K6" s="15">
        <v>3.8202929260842362</v>
      </c>
      <c r="L6" s="15">
        <v>4</v>
      </c>
      <c r="M6" s="15">
        <v>3.831386441976254</v>
      </c>
      <c r="N6" s="15">
        <v>4</v>
      </c>
      <c r="O6" s="15">
        <v>4.0081329113137443</v>
      </c>
      <c r="P6" s="15">
        <v>4</v>
      </c>
      <c r="Q6" s="15">
        <v>4.1710976988697608</v>
      </c>
      <c r="R6" s="15">
        <v>4</v>
      </c>
      <c r="S6" s="15">
        <v>4.2965294773396794</v>
      </c>
      <c r="T6" s="15">
        <v>4</v>
      </c>
      <c r="U6" s="15">
        <v>4.36064023965658</v>
      </c>
      <c r="V6" s="15">
        <v>3</v>
      </c>
      <c r="W6" s="15">
        <v>3.5067329406738281</v>
      </c>
      <c r="X6" s="15">
        <v>4</v>
      </c>
      <c r="Y6" s="15">
        <v>4.1932083869278083</v>
      </c>
      <c r="Z6" s="15">
        <v>4</v>
      </c>
      <c r="AA6" s="15">
        <v>4.0823898315429688</v>
      </c>
      <c r="AB6" s="15">
        <v>4</v>
      </c>
      <c r="AC6" s="15">
        <v>4.4274642857142856</v>
      </c>
      <c r="AD6" s="15">
        <v>4</v>
      </c>
      <c r="AE6" s="15">
        <v>4.5438809523809516</v>
      </c>
    </row>
    <row r="7" spans="1:67" x14ac:dyDescent="0.2">
      <c r="B7" s="15">
        <v>3</v>
      </c>
      <c r="C7" s="15">
        <v>3.6050643128134232</v>
      </c>
      <c r="D7" s="15">
        <v>3</v>
      </c>
      <c r="E7" s="15">
        <v>3.74</v>
      </c>
      <c r="F7" s="15">
        <v>3</v>
      </c>
      <c r="G7" s="15">
        <v>3.5116268013884691</v>
      </c>
      <c r="H7" s="15">
        <v>3</v>
      </c>
      <c r="I7" s="15">
        <v>3.5741133999999999</v>
      </c>
      <c r="J7" s="15">
        <v>3</v>
      </c>
      <c r="K7" s="15">
        <v>3.6050643128134232</v>
      </c>
      <c r="L7" s="15">
        <v>3</v>
      </c>
      <c r="M7" s="15">
        <v>3.6448673277941568</v>
      </c>
      <c r="N7" s="15">
        <v>3</v>
      </c>
      <c r="O7" s="15">
        <v>4.1605114738939601</v>
      </c>
      <c r="P7" s="15">
        <v>3</v>
      </c>
      <c r="Q7" s="15">
        <v>4.2227543524843476</v>
      </c>
      <c r="R7" s="15">
        <v>3</v>
      </c>
      <c r="S7" s="15">
        <v>4.2299231098594534</v>
      </c>
      <c r="T7" s="15">
        <v>3</v>
      </c>
      <c r="U7" s="15">
        <v>4.1981282456904019</v>
      </c>
      <c r="V7" s="15">
        <v>4</v>
      </c>
      <c r="W7" s="15">
        <v>3.8201148509979248</v>
      </c>
      <c r="X7" s="15">
        <v>3</v>
      </c>
      <c r="Y7" s="15">
        <v>4.1945670288362891</v>
      </c>
      <c r="Z7" s="15">
        <v>3</v>
      </c>
      <c r="AA7" s="15">
        <v>4.2884016036987296</v>
      </c>
      <c r="AB7" s="15">
        <v>3</v>
      </c>
      <c r="AC7" s="15">
        <v>3.983277777777777</v>
      </c>
      <c r="AD7" s="15">
        <v>3</v>
      </c>
      <c r="AE7" s="15">
        <v>4.0230833333333331</v>
      </c>
    </row>
    <row r="8" spans="1:67" x14ac:dyDescent="0.2">
      <c r="B8" s="15">
        <v>3</v>
      </c>
      <c r="C8" s="15">
        <v>3.45557937730345</v>
      </c>
      <c r="D8" s="15">
        <v>3</v>
      </c>
      <c r="E8" s="15">
        <v>3.12</v>
      </c>
      <c r="F8" s="15">
        <v>3</v>
      </c>
      <c r="G8" s="15">
        <v>2.9647959842965039</v>
      </c>
      <c r="H8" s="15">
        <v>3</v>
      </c>
      <c r="I8" s="15">
        <v>3.0231737999999999</v>
      </c>
      <c r="J8" s="15">
        <v>3</v>
      </c>
      <c r="K8" s="15">
        <v>3.45557937730345</v>
      </c>
      <c r="L8" s="15">
        <v>3</v>
      </c>
      <c r="M8" s="15">
        <v>3.457399103139013</v>
      </c>
      <c r="N8" s="15">
        <v>3</v>
      </c>
      <c r="O8" s="15">
        <v>3.5770758687027362</v>
      </c>
      <c r="P8" s="15">
        <v>3</v>
      </c>
      <c r="Q8" s="15">
        <v>3.7517945263729859</v>
      </c>
      <c r="R8" s="15">
        <v>3</v>
      </c>
      <c r="S8" s="15">
        <v>3.0100156954728319</v>
      </c>
      <c r="T8" s="15">
        <v>3</v>
      </c>
      <c r="U8" s="15">
        <v>3.6760856166450799</v>
      </c>
      <c r="V8" s="15">
        <v>3</v>
      </c>
      <c r="W8" s="15">
        <v>3.2440376281738281</v>
      </c>
      <c r="X8" s="15">
        <v>3</v>
      </c>
      <c r="Y8" s="15">
        <v>3.6128801356338469</v>
      </c>
      <c r="Z8" s="15">
        <v>3</v>
      </c>
      <c r="AA8" s="15">
        <v>3.5367331504821782</v>
      </c>
      <c r="AB8" s="15">
        <v>3</v>
      </c>
      <c r="AC8" s="15">
        <v>3.2378492063492059</v>
      </c>
      <c r="AD8" s="15">
        <v>3</v>
      </c>
      <c r="AE8" s="15">
        <v>3.566126984126984</v>
      </c>
    </row>
    <row r="9" spans="1:67" x14ac:dyDescent="0.2">
      <c r="B9" s="15">
        <v>2</v>
      </c>
      <c r="C9" s="15">
        <v>3.4273689260496192</v>
      </c>
      <c r="D9" s="15">
        <v>2</v>
      </c>
      <c r="E9" s="15">
        <v>2.67</v>
      </c>
      <c r="F9" s="15">
        <v>2</v>
      </c>
      <c r="G9" s="15">
        <v>2.4797962391106672</v>
      </c>
      <c r="H9" s="15">
        <v>2</v>
      </c>
      <c r="I9" s="15">
        <v>2.3481337999999998</v>
      </c>
      <c r="J9" s="15">
        <v>2</v>
      </c>
      <c r="K9" s="15">
        <v>3.4273689260496192</v>
      </c>
      <c r="L9" s="15">
        <v>2</v>
      </c>
      <c r="M9" s="15">
        <v>2.25</v>
      </c>
      <c r="N9" s="15">
        <v>2</v>
      </c>
      <c r="O9" s="15">
        <v>3.4420960464622272</v>
      </c>
      <c r="P9" s="15">
        <v>2</v>
      </c>
      <c r="Q9" s="15">
        <v>3.1202646437012129</v>
      </c>
      <c r="R9" s="15">
        <v>2</v>
      </c>
      <c r="S9" s="15">
        <v>2.9332465508505532</v>
      </c>
      <c r="T9" s="15">
        <v>2</v>
      </c>
      <c r="U9" s="15">
        <v>3.5710571211919819</v>
      </c>
      <c r="V9" s="15">
        <v>3</v>
      </c>
      <c r="W9" s="15">
        <v>3.3499681949615479</v>
      </c>
      <c r="X9" s="15">
        <v>2</v>
      </c>
      <c r="Y9" s="15">
        <v>3.5451446503153412</v>
      </c>
      <c r="Z9" s="15">
        <v>2</v>
      </c>
      <c r="AA9" s="15">
        <v>2.1600334644317631</v>
      </c>
      <c r="AB9" s="15">
        <v>2</v>
      </c>
      <c r="AC9" s="15">
        <v>2.9283917748917752</v>
      </c>
      <c r="AD9" s="15">
        <v>2</v>
      </c>
      <c r="AE9" s="15">
        <v>3.8631309523809518</v>
      </c>
    </row>
    <row r="10" spans="1:67" x14ac:dyDescent="0.2">
      <c r="B10" s="15">
        <v>3</v>
      </c>
      <c r="C10" s="15">
        <v>3.7110572319188448</v>
      </c>
      <c r="D10" s="15">
        <v>3</v>
      </c>
      <c r="E10" s="15">
        <v>3.85</v>
      </c>
      <c r="F10" s="15">
        <v>3</v>
      </c>
      <c r="G10" s="15">
        <v>3.7922571321460392</v>
      </c>
      <c r="H10" s="15">
        <v>3</v>
      </c>
      <c r="I10" s="15">
        <v>3.8366832999999998</v>
      </c>
      <c r="J10" s="15">
        <v>3</v>
      </c>
      <c r="K10" s="15">
        <v>3.7110572319188448</v>
      </c>
      <c r="L10" s="15">
        <v>3</v>
      </c>
      <c r="M10" s="15">
        <v>3.831386441976254</v>
      </c>
      <c r="N10" s="15">
        <v>3</v>
      </c>
      <c r="O10" s="15">
        <v>2.4308452961994922</v>
      </c>
      <c r="P10" s="15">
        <v>3</v>
      </c>
      <c r="Q10" s="15">
        <v>2.1148287311655358</v>
      </c>
      <c r="R10" s="15">
        <v>3</v>
      </c>
      <c r="S10" s="15">
        <v>2.3477824931108802</v>
      </c>
      <c r="T10" s="15">
        <v>3</v>
      </c>
      <c r="U10" s="15">
        <v>2.6602247908803101</v>
      </c>
      <c r="V10" s="15">
        <v>4</v>
      </c>
      <c r="W10" s="15">
        <v>4.1965756416320801</v>
      </c>
      <c r="X10" s="15">
        <v>3</v>
      </c>
      <c r="Y10" s="15">
        <v>2.4669323321067909</v>
      </c>
      <c r="Z10" s="15">
        <v>3</v>
      </c>
      <c r="AA10" s="15">
        <v>2.139656543731689</v>
      </c>
      <c r="AB10" s="15">
        <v>3</v>
      </c>
      <c r="AC10" s="15">
        <v>2.2708730158730162</v>
      </c>
      <c r="AD10" s="15">
        <v>3</v>
      </c>
      <c r="AE10" s="15">
        <v>2.6413333333333329</v>
      </c>
    </row>
    <row r="11" spans="1:67" x14ac:dyDescent="0.2">
      <c r="B11" s="15">
        <v>2</v>
      </c>
      <c r="C11" s="15">
        <v>3.5641173196507219</v>
      </c>
      <c r="D11" s="15">
        <v>2</v>
      </c>
      <c r="E11" s="15">
        <v>3.32</v>
      </c>
      <c r="F11" s="15">
        <v>2</v>
      </c>
      <c r="G11" s="15">
        <v>3.1827448836683829</v>
      </c>
      <c r="H11" s="15">
        <v>2</v>
      </c>
      <c r="I11" s="15">
        <v>3.0082260000000001</v>
      </c>
      <c r="J11" s="15">
        <v>2</v>
      </c>
      <c r="K11" s="15">
        <v>3.5641173196507219</v>
      </c>
      <c r="L11" s="15">
        <v>2</v>
      </c>
      <c r="M11" s="15">
        <v>3.584545454545454</v>
      </c>
      <c r="N11" s="15">
        <v>2</v>
      </c>
      <c r="O11" s="15">
        <v>4.0231403049328804</v>
      </c>
      <c r="P11" s="15">
        <v>2</v>
      </c>
      <c r="Q11" s="15">
        <v>3.2341768450615982</v>
      </c>
      <c r="R11" s="15">
        <v>2</v>
      </c>
      <c r="S11" s="15">
        <v>3.5723085317605898</v>
      </c>
      <c r="T11" s="15">
        <v>2</v>
      </c>
      <c r="U11" s="15">
        <v>3.974205815921616</v>
      </c>
      <c r="V11" s="15">
        <v>4</v>
      </c>
      <c r="W11" s="15">
        <v>3.892181396484375</v>
      </c>
      <c r="X11" s="15">
        <v>2</v>
      </c>
      <c r="Y11" s="15">
        <v>3.914949662401126</v>
      </c>
      <c r="Z11" s="15">
        <v>2</v>
      </c>
      <c r="AA11" s="15">
        <v>3.514161348342896</v>
      </c>
      <c r="AB11" s="15">
        <v>2</v>
      </c>
      <c r="AC11" s="15">
        <v>3.257654761904762</v>
      </c>
      <c r="AD11" s="15">
        <v>2</v>
      </c>
      <c r="AE11" s="15">
        <v>3.3577619047619049</v>
      </c>
    </row>
    <row r="12" spans="1:67" x14ac:dyDescent="0.2">
      <c r="B12" s="15">
        <v>5</v>
      </c>
      <c r="C12" s="15">
        <v>3.5338097114002558</v>
      </c>
      <c r="D12" s="15">
        <v>5</v>
      </c>
      <c r="E12" s="15">
        <v>3.63</v>
      </c>
      <c r="F12" s="15">
        <v>5</v>
      </c>
      <c r="G12" s="15">
        <v>3.3787874912245588</v>
      </c>
      <c r="H12" s="15">
        <v>5</v>
      </c>
      <c r="I12" s="15">
        <v>3.31209</v>
      </c>
      <c r="J12" s="15">
        <v>5</v>
      </c>
      <c r="K12" s="15">
        <v>3.5338097114002558</v>
      </c>
      <c r="L12" s="15">
        <v>5</v>
      </c>
      <c r="M12" s="15">
        <v>3.607255948611237</v>
      </c>
      <c r="N12" s="15">
        <v>5</v>
      </c>
      <c r="O12" s="15">
        <v>3.6029293857161289</v>
      </c>
      <c r="P12" s="15">
        <v>5</v>
      </c>
      <c r="Q12" s="15">
        <v>3.9808090572838761</v>
      </c>
      <c r="R12" s="15">
        <v>5</v>
      </c>
      <c r="S12" s="15">
        <v>3.911559369672823</v>
      </c>
      <c r="T12" s="15">
        <v>5</v>
      </c>
      <c r="U12" s="15">
        <v>3.2822757554325181</v>
      </c>
      <c r="V12" s="15">
        <v>2</v>
      </c>
      <c r="W12" s="15">
        <v>3.2690832614898682</v>
      </c>
      <c r="X12" s="15">
        <v>5</v>
      </c>
      <c r="Y12" s="15">
        <v>4.017875979325618</v>
      </c>
      <c r="Z12" s="15">
        <v>5</v>
      </c>
      <c r="AA12" s="15">
        <v>3.4676694869995122</v>
      </c>
      <c r="AB12" s="15">
        <v>5</v>
      </c>
      <c r="AC12" s="15">
        <v>4.0875952380952381</v>
      </c>
      <c r="AD12" s="15">
        <v>5</v>
      </c>
      <c r="AE12" s="15">
        <v>4.032460317460318</v>
      </c>
    </row>
    <row r="13" spans="1:67" x14ac:dyDescent="0.2">
      <c r="B13" s="15">
        <v>4</v>
      </c>
      <c r="C13" s="15">
        <v>3.8289965525594809</v>
      </c>
      <c r="D13" s="15">
        <v>4</v>
      </c>
      <c r="E13" s="15">
        <v>3.9</v>
      </c>
      <c r="F13" s="15">
        <v>4</v>
      </c>
      <c r="G13" s="15">
        <v>3.7258704963281488</v>
      </c>
      <c r="H13" s="15">
        <v>4</v>
      </c>
      <c r="I13" s="15">
        <v>3.6984987</v>
      </c>
      <c r="J13" s="15">
        <v>4</v>
      </c>
      <c r="K13" s="15">
        <v>3.82899655255948</v>
      </c>
      <c r="L13" s="15">
        <v>4</v>
      </c>
      <c r="M13" s="15">
        <v>3.759297520661157</v>
      </c>
      <c r="N13" s="15">
        <v>4</v>
      </c>
      <c r="O13" s="15">
        <v>3.9974977002917602</v>
      </c>
      <c r="P13" s="15">
        <v>4</v>
      </c>
      <c r="Q13" s="15">
        <v>4.0145017691938296</v>
      </c>
      <c r="R13" s="15">
        <v>4</v>
      </c>
      <c r="S13" s="15">
        <v>3.9034044399047141</v>
      </c>
      <c r="T13" s="15">
        <v>4</v>
      </c>
      <c r="U13" s="15">
        <v>3.9377856524389641</v>
      </c>
      <c r="V13" s="15">
        <v>3</v>
      </c>
      <c r="W13" s="15">
        <v>3.650407075881958</v>
      </c>
      <c r="X13" s="15">
        <v>4</v>
      </c>
      <c r="Y13" s="15">
        <v>3.9340993752552942</v>
      </c>
      <c r="Z13" s="15">
        <v>4</v>
      </c>
      <c r="AA13" s="15">
        <v>3.7397458553314209</v>
      </c>
      <c r="AB13" s="15">
        <v>4</v>
      </c>
      <c r="AC13" s="15">
        <v>3.958912698412699</v>
      </c>
      <c r="AD13" s="15">
        <v>4</v>
      </c>
      <c r="AE13" s="15">
        <v>4.2236547619047622</v>
      </c>
    </row>
    <row r="14" spans="1:67" x14ac:dyDescent="0.2">
      <c r="B14" s="15">
        <v>1</v>
      </c>
      <c r="C14" s="15">
        <v>3.842378443547803</v>
      </c>
      <c r="D14" s="15">
        <v>1</v>
      </c>
      <c r="E14" s="15">
        <v>4.3099999999999996</v>
      </c>
      <c r="F14" s="15">
        <v>1</v>
      </c>
      <c r="G14" s="15">
        <v>4.5554722895375299</v>
      </c>
      <c r="H14" s="15">
        <v>1</v>
      </c>
      <c r="I14" s="15">
        <v>4.3758983999999996</v>
      </c>
      <c r="J14" s="15">
        <v>1</v>
      </c>
      <c r="K14" s="15">
        <v>3.842378443547803</v>
      </c>
      <c r="L14" s="15">
        <v>1</v>
      </c>
      <c r="M14" s="15">
        <v>4.6670435274166193</v>
      </c>
      <c r="N14" s="15">
        <v>1</v>
      </c>
      <c r="O14" s="15">
        <v>2.7956007818496</v>
      </c>
      <c r="P14" s="15">
        <v>1</v>
      </c>
      <c r="Q14" s="15">
        <v>3.3929463624639951</v>
      </c>
      <c r="R14" s="15">
        <v>1</v>
      </c>
      <c r="S14" s="15">
        <v>3.590922338550953</v>
      </c>
      <c r="T14" s="15">
        <v>1</v>
      </c>
      <c r="U14" s="15">
        <v>3.0596414003879162</v>
      </c>
      <c r="V14" s="15">
        <v>3</v>
      </c>
      <c r="W14" s="15">
        <v>3.4887819290161128</v>
      </c>
      <c r="X14" s="15">
        <v>1</v>
      </c>
      <c r="Y14" s="15">
        <v>2.2434756554339659</v>
      </c>
      <c r="Z14" s="15">
        <v>1</v>
      </c>
      <c r="AA14" s="15">
        <v>2.576454639434814</v>
      </c>
      <c r="AB14" s="15">
        <v>1</v>
      </c>
      <c r="AC14" s="15">
        <v>3.5522738095238089</v>
      </c>
      <c r="AD14" s="15">
        <v>1</v>
      </c>
      <c r="AE14" s="15">
        <v>3.135039682539682</v>
      </c>
    </row>
    <row r="15" spans="1:67" x14ac:dyDescent="0.2">
      <c r="B15" s="15">
        <v>4</v>
      </c>
      <c r="C15" s="15">
        <v>3.3169160017105872</v>
      </c>
      <c r="D15" s="15">
        <v>4</v>
      </c>
      <c r="E15" s="15">
        <v>3.06</v>
      </c>
      <c r="F15" s="15">
        <v>4</v>
      </c>
      <c r="G15" s="15">
        <v>2.8894402275647848</v>
      </c>
      <c r="H15" s="15">
        <v>4</v>
      </c>
      <c r="I15" s="15">
        <v>2.8832323999999998</v>
      </c>
      <c r="J15" s="15">
        <v>4</v>
      </c>
      <c r="K15" s="15">
        <v>3.3169160017105872</v>
      </c>
      <c r="L15" s="15">
        <v>4</v>
      </c>
      <c r="M15" s="15">
        <v>2.7190426638917788</v>
      </c>
      <c r="N15" s="15">
        <v>4</v>
      </c>
      <c r="O15" s="15">
        <v>3.8785764737352459</v>
      </c>
      <c r="P15" s="15">
        <v>4</v>
      </c>
      <c r="Q15" s="15">
        <v>3.2747444415536222</v>
      </c>
      <c r="R15" s="15">
        <v>4</v>
      </c>
      <c r="S15" s="15">
        <v>3.268390342077697</v>
      </c>
      <c r="T15" s="15">
        <v>4</v>
      </c>
      <c r="U15" s="15">
        <v>3.8957415460805298</v>
      </c>
      <c r="V15" s="15">
        <v>2</v>
      </c>
      <c r="W15" s="15">
        <v>2.5661594867706299</v>
      </c>
      <c r="X15" s="15">
        <v>4</v>
      </c>
      <c r="Y15" s="15">
        <v>3.5696479572865738</v>
      </c>
      <c r="Z15" s="15">
        <v>4</v>
      </c>
      <c r="AA15" s="15">
        <v>3.474389791488647</v>
      </c>
      <c r="AB15" s="15">
        <v>4</v>
      </c>
      <c r="AC15" s="15">
        <v>3.2018214285714288</v>
      </c>
      <c r="AD15" s="15">
        <v>4</v>
      </c>
      <c r="AE15" s="15">
        <v>2.8709047619047618</v>
      </c>
    </row>
    <row r="16" spans="1:67" x14ac:dyDescent="0.2">
      <c r="B16" s="15">
        <v>2</v>
      </c>
      <c r="C16" s="15">
        <v>3.8865866919723611</v>
      </c>
      <c r="D16" s="15">
        <v>2</v>
      </c>
      <c r="E16" s="15">
        <v>2.58</v>
      </c>
      <c r="F16" s="15">
        <v>2</v>
      </c>
      <c r="G16" s="15">
        <v>2.7330265042927842</v>
      </c>
      <c r="H16" s="15">
        <v>2</v>
      </c>
      <c r="I16" s="15">
        <v>2.8674903</v>
      </c>
      <c r="J16" s="15">
        <v>2</v>
      </c>
      <c r="K16" s="15">
        <v>3.8865866919723611</v>
      </c>
      <c r="L16" s="15">
        <v>2</v>
      </c>
      <c r="M16" s="15">
        <v>2.6029684601113172</v>
      </c>
      <c r="N16" s="15">
        <v>2</v>
      </c>
      <c r="O16" s="15">
        <v>3.5532243246206678</v>
      </c>
      <c r="P16" s="15">
        <v>2</v>
      </c>
      <c r="Q16" s="15">
        <v>2.9987763175883582</v>
      </c>
      <c r="R16" s="15">
        <v>2</v>
      </c>
      <c r="S16" s="15">
        <v>3.2397011192561669</v>
      </c>
      <c r="T16" s="15">
        <v>2</v>
      </c>
      <c r="U16" s="15">
        <v>4.0999570078332512</v>
      </c>
      <c r="V16" s="15">
        <v>5</v>
      </c>
      <c r="W16" s="15">
        <v>3.4035027027130131</v>
      </c>
      <c r="X16" s="15">
        <v>2</v>
      </c>
      <c r="Y16" s="15">
        <v>3.9592146643773578</v>
      </c>
      <c r="Z16" s="15">
        <v>2</v>
      </c>
      <c r="AA16" s="15">
        <v>4.1714916229248047</v>
      </c>
      <c r="AB16" s="15">
        <v>2</v>
      </c>
      <c r="AC16" s="15">
        <v>2.913702380952381</v>
      </c>
      <c r="AD16" s="15">
        <v>2</v>
      </c>
      <c r="AE16" s="15">
        <v>3.3714761904761898</v>
      </c>
    </row>
    <row r="17" spans="2:31" x14ac:dyDescent="0.2">
      <c r="B17" s="15">
        <v>5</v>
      </c>
      <c r="C17" s="15">
        <v>3.5835659310643351</v>
      </c>
      <c r="D17" s="15">
        <v>5</v>
      </c>
      <c r="E17" s="15">
        <v>3.32</v>
      </c>
      <c r="F17" s="15">
        <v>5</v>
      </c>
      <c r="G17" s="15">
        <v>3.337316684948906</v>
      </c>
      <c r="H17" s="15">
        <v>5</v>
      </c>
      <c r="I17" s="15">
        <v>3.2492070000000002</v>
      </c>
      <c r="J17" s="15">
        <v>5</v>
      </c>
      <c r="K17" s="15">
        <v>3.5835659310643351</v>
      </c>
      <c r="L17" s="15">
        <v>5</v>
      </c>
      <c r="M17" s="15">
        <v>3.9747958821441252</v>
      </c>
      <c r="N17" s="15">
        <v>5</v>
      </c>
      <c r="O17" s="15">
        <v>3.3719060913967991</v>
      </c>
      <c r="P17" s="15">
        <v>5</v>
      </c>
      <c r="Q17" s="15">
        <v>3.3736951658466898</v>
      </c>
      <c r="R17" s="15">
        <v>5</v>
      </c>
      <c r="S17" s="15">
        <v>3.5331964208292042</v>
      </c>
      <c r="T17" s="15">
        <v>5</v>
      </c>
      <c r="U17" s="15">
        <v>4.0214010947053804</v>
      </c>
      <c r="V17" s="15">
        <v>4</v>
      </c>
      <c r="W17" s="15">
        <v>2.6588585376739502</v>
      </c>
      <c r="X17" s="15">
        <v>5</v>
      </c>
      <c r="Y17" s="15">
        <v>3.192637112558022</v>
      </c>
      <c r="Z17" s="15">
        <v>5</v>
      </c>
      <c r="AA17" s="15">
        <v>3.1387779712677002</v>
      </c>
      <c r="AB17" s="15">
        <v>5</v>
      </c>
      <c r="AC17" s="15">
        <v>3.3847976190476201</v>
      </c>
      <c r="AD17" s="15">
        <v>5</v>
      </c>
      <c r="AE17" s="15">
        <v>3.6442976190476188</v>
      </c>
    </row>
    <row r="18" spans="2:31" x14ac:dyDescent="0.2">
      <c r="B18" s="15">
        <v>3</v>
      </c>
      <c r="C18" s="15">
        <v>3.6968601997792971</v>
      </c>
      <c r="D18" s="15">
        <v>3</v>
      </c>
      <c r="E18" s="15">
        <v>4.17</v>
      </c>
      <c r="F18" s="15">
        <v>3</v>
      </c>
      <c r="G18" s="15">
        <v>3.7535841213078891</v>
      </c>
      <c r="H18" s="15">
        <v>3</v>
      </c>
      <c r="I18" s="15">
        <v>3.7178311000000002</v>
      </c>
      <c r="J18" s="15">
        <v>3</v>
      </c>
      <c r="K18" s="15">
        <v>3.6968601997792971</v>
      </c>
      <c r="L18" s="15">
        <v>3</v>
      </c>
      <c r="M18" s="15">
        <v>3.0835140997830801</v>
      </c>
      <c r="N18" s="15">
        <v>3</v>
      </c>
      <c r="O18" s="15">
        <v>3.6999212954667988</v>
      </c>
      <c r="P18" s="15">
        <v>3</v>
      </c>
      <c r="Q18" s="15">
        <v>2.9208417598476322</v>
      </c>
      <c r="R18" s="15">
        <v>3</v>
      </c>
      <c r="S18" s="15">
        <v>2.9310185881818049</v>
      </c>
      <c r="T18" s="15">
        <v>3</v>
      </c>
      <c r="U18" s="15">
        <v>3.6192514382591301</v>
      </c>
      <c r="V18" s="15">
        <v>5</v>
      </c>
      <c r="W18" s="15">
        <v>4.426856517791748</v>
      </c>
      <c r="X18" s="15">
        <v>3</v>
      </c>
      <c r="Y18" s="15">
        <v>3.7291365022292959</v>
      </c>
      <c r="Z18" s="15">
        <v>3</v>
      </c>
      <c r="AA18" s="15">
        <v>3.685350894927979</v>
      </c>
      <c r="AB18" s="15">
        <v>3</v>
      </c>
      <c r="AC18" s="15">
        <v>2.8014404761904772</v>
      </c>
      <c r="AD18" s="15">
        <v>3</v>
      </c>
      <c r="AE18" s="15">
        <v>2.9614365079365079</v>
      </c>
    </row>
    <row r="19" spans="2:31" x14ac:dyDescent="0.2">
      <c r="B19" s="15">
        <v>4</v>
      </c>
      <c r="C19" s="15">
        <v>3.7557112887533051</v>
      </c>
      <c r="D19" s="15">
        <v>4</v>
      </c>
      <c r="E19" s="15">
        <v>3.89</v>
      </c>
      <c r="F19" s="15">
        <v>4</v>
      </c>
      <c r="G19" s="15">
        <v>3.8062544746899429</v>
      </c>
      <c r="H19" s="15">
        <v>4</v>
      </c>
      <c r="I19" s="15">
        <v>3.9525185</v>
      </c>
      <c r="J19" s="15">
        <v>4</v>
      </c>
      <c r="K19" s="15">
        <v>3.7557112887533051</v>
      </c>
      <c r="L19" s="15">
        <v>4</v>
      </c>
      <c r="M19" s="15">
        <v>3.9747958821441252</v>
      </c>
      <c r="N19" s="15">
        <v>4</v>
      </c>
      <c r="O19" s="15">
        <v>3.8081558180570241</v>
      </c>
      <c r="P19" s="15">
        <v>4</v>
      </c>
      <c r="Q19" s="15">
        <v>4.0347913465986549</v>
      </c>
      <c r="R19" s="15">
        <v>4</v>
      </c>
      <c r="S19" s="15">
        <v>3.9932688243590899</v>
      </c>
      <c r="T19" s="15">
        <v>4</v>
      </c>
      <c r="U19" s="15">
        <v>4.0006111309408139</v>
      </c>
      <c r="V19" s="15">
        <v>3</v>
      </c>
      <c r="W19" s="15">
        <v>3.097692728042603</v>
      </c>
      <c r="X19" s="15">
        <v>4</v>
      </c>
      <c r="Y19" s="15">
        <v>3.9542790122733882</v>
      </c>
      <c r="Z19" s="15">
        <v>4</v>
      </c>
      <c r="AA19" s="15">
        <v>3.846511602401733</v>
      </c>
      <c r="AB19" s="15">
        <v>4</v>
      </c>
      <c r="AC19" s="15">
        <v>4.2119047619047629</v>
      </c>
      <c r="AD19" s="15">
        <v>4</v>
      </c>
      <c r="AE19" s="15">
        <v>4.0866825396825393</v>
      </c>
    </row>
    <row r="20" spans="2:31" x14ac:dyDescent="0.2">
      <c r="B20" s="15">
        <v>3</v>
      </c>
      <c r="C20" s="15">
        <v>3.5198575674857762</v>
      </c>
      <c r="D20" s="15">
        <v>3</v>
      </c>
      <c r="E20" s="15">
        <v>3.32</v>
      </c>
      <c r="F20" s="15">
        <v>3</v>
      </c>
      <c r="G20" s="15">
        <v>2.5181920706026291</v>
      </c>
      <c r="H20" s="15">
        <v>3</v>
      </c>
      <c r="I20" s="15">
        <v>2.6497820000000001</v>
      </c>
      <c r="J20" s="15">
        <v>3</v>
      </c>
      <c r="K20" s="15">
        <v>3.5198575674857762</v>
      </c>
      <c r="L20" s="15">
        <v>3</v>
      </c>
      <c r="M20" s="15">
        <v>2.5758620689655172</v>
      </c>
      <c r="N20" s="15">
        <v>3</v>
      </c>
      <c r="O20" s="15">
        <v>4.2101120461720907</v>
      </c>
      <c r="P20" s="15">
        <v>3</v>
      </c>
      <c r="Q20" s="15">
        <v>3.307993561182283</v>
      </c>
      <c r="R20" s="15">
        <v>3</v>
      </c>
      <c r="S20" s="15">
        <v>3.3324002189140698</v>
      </c>
      <c r="T20" s="15">
        <v>3</v>
      </c>
      <c r="U20" s="15">
        <v>4.274921326041011</v>
      </c>
      <c r="V20" s="15">
        <v>2</v>
      </c>
      <c r="W20" s="15">
        <v>3.6936616897583008</v>
      </c>
      <c r="X20" s="15">
        <v>3</v>
      </c>
      <c r="Y20" s="15">
        <v>4.1506331706915871</v>
      </c>
      <c r="Z20" s="15">
        <v>3</v>
      </c>
      <c r="AA20" s="15">
        <v>4.3936309814453116</v>
      </c>
      <c r="AB20" s="15">
        <v>3</v>
      </c>
      <c r="AC20" s="15">
        <v>2.7290555555555551</v>
      </c>
      <c r="AD20" s="15">
        <v>3</v>
      </c>
      <c r="AE20" s="15">
        <v>2.3570833333333332</v>
      </c>
    </row>
    <row r="21" spans="2:31" x14ac:dyDescent="0.2">
      <c r="B21" s="15">
        <v>5</v>
      </c>
      <c r="C21" s="15">
        <v>3.8071375909555738</v>
      </c>
      <c r="D21" s="15">
        <v>5</v>
      </c>
      <c r="E21" s="15">
        <v>3.8</v>
      </c>
      <c r="F21" s="15">
        <v>5</v>
      </c>
      <c r="G21" s="15">
        <v>3.9578986975621731</v>
      </c>
      <c r="H21" s="15">
        <v>5</v>
      </c>
      <c r="I21" s="15">
        <v>4.0109262000000001</v>
      </c>
      <c r="J21" s="15">
        <v>5</v>
      </c>
      <c r="K21" s="15">
        <v>3.8071375909555738</v>
      </c>
      <c r="L21" s="15">
        <v>5</v>
      </c>
      <c r="M21" s="15">
        <v>3.831386441976254</v>
      </c>
      <c r="N21" s="15">
        <v>5</v>
      </c>
      <c r="O21" s="15">
        <v>2.614450099247875</v>
      </c>
      <c r="P21" s="15">
        <v>5</v>
      </c>
      <c r="Q21" s="15">
        <v>3.335865939002713</v>
      </c>
      <c r="R21" s="15">
        <v>5</v>
      </c>
      <c r="S21" s="15">
        <v>3.5241764850840052</v>
      </c>
      <c r="T21" s="15">
        <v>5</v>
      </c>
      <c r="U21" s="15">
        <v>3.032406224419284</v>
      </c>
      <c r="V21" s="15">
        <v>3</v>
      </c>
      <c r="W21" s="15">
        <v>1.6330715417861941</v>
      </c>
      <c r="X21" s="15">
        <v>5</v>
      </c>
      <c r="Y21" s="15">
        <v>2.480304131050497</v>
      </c>
      <c r="Z21" s="15">
        <v>5</v>
      </c>
      <c r="AA21" s="15">
        <v>2.491233348846436</v>
      </c>
      <c r="AB21" s="15">
        <v>5</v>
      </c>
      <c r="AC21" s="15">
        <v>3.4549761904761911</v>
      </c>
      <c r="AD21" s="15">
        <v>5</v>
      </c>
      <c r="AE21" s="15">
        <v>3.7859206349206351</v>
      </c>
    </row>
    <row r="22" spans="2:31" x14ac:dyDescent="0.2">
      <c r="B22" s="15">
        <v>5</v>
      </c>
      <c r="C22" s="15">
        <v>3.7882246393540031</v>
      </c>
      <c r="D22" s="15">
        <v>5</v>
      </c>
      <c r="E22" s="15">
        <v>4.2300000000000004</v>
      </c>
      <c r="F22" s="15">
        <v>5</v>
      </c>
      <c r="G22" s="15">
        <v>4.1044744678395526</v>
      </c>
      <c r="H22" s="15">
        <v>5</v>
      </c>
      <c r="I22" s="15">
        <v>4.3523639999999997</v>
      </c>
      <c r="J22" s="15">
        <v>5</v>
      </c>
      <c r="K22" s="15">
        <v>3.7882246393540031</v>
      </c>
      <c r="L22" s="15">
        <v>5</v>
      </c>
      <c r="M22" s="15">
        <v>4.0128452151573537</v>
      </c>
      <c r="N22" s="15">
        <v>5</v>
      </c>
      <c r="O22" s="15">
        <v>3.8718176656705201</v>
      </c>
      <c r="P22" s="15">
        <v>5</v>
      </c>
      <c r="Q22" s="15">
        <v>4.0295707099351024</v>
      </c>
      <c r="R22" s="15">
        <v>5</v>
      </c>
      <c r="S22" s="15">
        <v>4.0957154001839973</v>
      </c>
      <c r="T22" s="15">
        <v>5</v>
      </c>
      <c r="U22" s="15">
        <v>4.2373395593332592</v>
      </c>
      <c r="V22" s="15">
        <v>3</v>
      </c>
      <c r="W22" s="15">
        <v>3.2504444122314449</v>
      </c>
      <c r="X22" s="15">
        <v>5</v>
      </c>
      <c r="Y22" s="15">
        <v>3.9100826011062542</v>
      </c>
      <c r="Z22" s="15">
        <v>5</v>
      </c>
      <c r="AA22" s="15">
        <v>3.9093086719512939</v>
      </c>
      <c r="AB22" s="15">
        <v>5</v>
      </c>
      <c r="AC22" s="15">
        <v>4.2663333333333329</v>
      </c>
      <c r="AD22" s="15">
        <v>5</v>
      </c>
      <c r="AE22" s="15">
        <v>4.5149523809523808</v>
      </c>
    </row>
    <row r="23" spans="2:31" x14ac:dyDescent="0.2">
      <c r="B23" s="15">
        <v>5</v>
      </c>
      <c r="C23" s="15">
        <v>3.6521359579966872</v>
      </c>
      <c r="D23" s="15">
        <v>5</v>
      </c>
      <c r="E23" s="15">
        <v>3.69</v>
      </c>
      <c r="F23" s="15">
        <v>5</v>
      </c>
      <c r="G23" s="15">
        <v>3.4357388365043682</v>
      </c>
      <c r="H23" s="15">
        <v>5</v>
      </c>
      <c r="I23" s="15">
        <v>3.6180512999999999</v>
      </c>
      <c r="J23" s="15">
        <v>5</v>
      </c>
      <c r="K23" s="15">
        <v>3.6521359579966872</v>
      </c>
      <c r="L23" s="15">
        <v>5</v>
      </c>
      <c r="M23" s="15">
        <v>3.8227938549481961</v>
      </c>
      <c r="N23" s="15">
        <v>5</v>
      </c>
      <c r="O23" s="15">
        <v>4.3556102318910952</v>
      </c>
      <c r="P23" s="15">
        <v>5</v>
      </c>
      <c r="Q23" s="15">
        <v>4.5738632244128423</v>
      </c>
      <c r="R23" s="15">
        <v>5</v>
      </c>
      <c r="S23" s="15">
        <v>4.2468020497131906</v>
      </c>
      <c r="T23" s="15">
        <v>5</v>
      </c>
      <c r="U23" s="15">
        <v>4.4743038918769518</v>
      </c>
      <c r="V23" s="15">
        <v>3</v>
      </c>
      <c r="W23" s="15">
        <v>3.1919817924499512</v>
      </c>
      <c r="X23" s="15">
        <v>5</v>
      </c>
      <c r="Y23" s="15">
        <v>4.1067618051930674</v>
      </c>
      <c r="Z23" s="15">
        <v>5</v>
      </c>
      <c r="AA23" s="15">
        <v>4.0863785743713379</v>
      </c>
      <c r="AB23" s="15">
        <v>5</v>
      </c>
      <c r="AC23" s="15">
        <v>4.5567380952380958</v>
      </c>
      <c r="AD23" s="15">
        <v>5</v>
      </c>
      <c r="AE23" s="15">
        <v>4.4751666666666674</v>
      </c>
    </row>
    <row r="24" spans="2:31" x14ac:dyDescent="0.2">
      <c r="B24" s="15">
        <v>5</v>
      </c>
      <c r="C24" s="15">
        <v>4.0595353729448096</v>
      </c>
      <c r="D24" s="15">
        <v>5</v>
      </c>
      <c r="E24" s="15">
        <v>4.3600000000000003</v>
      </c>
      <c r="F24" s="15">
        <v>5</v>
      </c>
      <c r="G24" s="15">
        <v>4.7476364076323216</v>
      </c>
      <c r="H24" s="15">
        <v>5</v>
      </c>
      <c r="I24" s="15">
        <v>4.6309132999999996</v>
      </c>
      <c r="J24" s="15">
        <v>5</v>
      </c>
      <c r="K24" s="15">
        <v>4.0595353729448096</v>
      </c>
      <c r="L24" s="15">
        <v>5</v>
      </c>
      <c r="M24" s="15">
        <v>4.8080568720379144</v>
      </c>
      <c r="N24" s="15">
        <v>5</v>
      </c>
      <c r="O24" s="15">
        <v>3.3991110503873601</v>
      </c>
      <c r="P24" s="15">
        <v>5</v>
      </c>
      <c r="Q24" s="15">
        <v>4.565754650121554</v>
      </c>
      <c r="R24" s="15">
        <v>5</v>
      </c>
      <c r="S24" s="15">
        <v>4.337450688009314</v>
      </c>
      <c r="T24" s="15">
        <v>5</v>
      </c>
      <c r="U24" s="15">
        <v>3.7424005460157979</v>
      </c>
      <c r="V24" s="15">
        <v>4</v>
      </c>
      <c r="W24" s="15">
        <v>3.1105091571807861</v>
      </c>
      <c r="X24" s="15">
        <v>5</v>
      </c>
      <c r="Y24" s="15">
        <v>3.6219381542445328</v>
      </c>
      <c r="Z24" s="15">
        <v>5</v>
      </c>
      <c r="AA24" s="15">
        <v>3.228988409042358</v>
      </c>
      <c r="AB24" s="15">
        <v>5</v>
      </c>
      <c r="AC24" s="15">
        <v>4.6166666666666663</v>
      </c>
      <c r="AD24" s="15">
        <v>5</v>
      </c>
      <c r="AE24" s="15">
        <v>4.4079761904761909</v>
      </c>
    </row>
    <row r="25" spans="2:31" x14ac:dyDescent="0.2">
      <c r="B25" s="15">
        <v>2</v>
      </c>
      <c r="C25" s="15">
        <v>3.8398073887782069</v>
      </c>
      <c r="D25" s="15">
        <v>2</v>
      </c>
      <c r="E25" s="15">
        <v>4.26</v>
      </c>
      <c r="F25" s="15">
        <v>2</v>
      </c>
      <c r="G25" s="15">
        <v>4.2807444685305551</v>
      </c>
      <c r="H25" s="15">
        <v>2</v>
      </c>
      <c r="I25" s="15">
        <v>4.2330240000000003</v>
      </c>
      <c r="J25" s="15">
        <v>2</v>
      </c>
      <c r="K25" s="15">
        <v>3.839807388778206</v>
      </c>
      <c r="L25" s="15">
        <v>2</v>
      </c>
      <c r="M25" s="15">
        <v>4.297595585337012</v>
      </c>
      <c r="N25" s="15">
        <v>2</v>
      </c>
      <c r="O25" s="15">
        <v>3.4171946133000448</v>
      </c>
      <c r="P25" s="15">
        <v>2</v>
      </c>
      <c r="Q25" s="15">
        <v>3.0342186856724962</v>
      </c>
      <c r="R25" s="15">
        <v>2</v>
      </c>
      <c r="S25" s="15">
        <v>2.9984506068884258</v>
      </c>
      <c r="T25" s="15">
        <v>2</v>
      </c>
      <c r="U25" s="15">
        <v>3.618159186910304</v>
      </c>
      <c r="V25" s="15">
        <v>1</v>
      </c>
      <c r="W25" s="15">
        <v>2.026192426681519</v>
      </c>
      <c r="X25" s="15">
        <v>2</v>
      </c>
      <c r="Y25" s="15">
        <v>3.6355661618723398</v>
      </c>
      <c r="Z25" s="15">
        <v>2</v>
      </c>
      <c r="AA25" s="15">
        <v>3.5638642311096191</v>
      </c>
      <c r="AB25" s="15">
        <v>2</v>
      </c>
      <c r="AC25" s="15">
        <v>3.1950714285714281</v>
      </c>
      <c r="AD25" s="15">
        <v>2</v>
      </c>
      <c r="AE25" s="15">
        <v>3.3724285714285709</v>
      </c>
    </row>
    <row r="26" spans="2:31" x14ac:dyDescent="0.2">
      <c r="B26" s="15">
        <v>3</v>
      </c>
      <c r="C26" s="15">
        <v>3.8029070510990231</v>
      </c>
      <c r="D26" s="15">
        <v>3</v>
      </c>
      <c r="E26" s="15">
        <v>4.24</v>
      </c>
      <c r="F26" s="15">
        <v>3</v>
      </c>
      <c r="G26" s="15">
        <v>3.961017753348623</v>
      </c>
      <c r="H26" s="15">
        <v>3</v>
      </c>
      <c r="I26" s="15">
        <v>4.2827859999999998</v>
      </c>
      <c r="J26" s="15">
        <v>3</v>
      </c>
      <c r="K26" s="15">
        <v>3.8029070510990231</v>
      </c>
      <c r="L26" s="15">
        <v>3</v>
      </c>
      <c r="M26" s="15">
        <v>3.7886597938144329</v>
      </c>
      <c r="N26" s="15">
        <v>3</v>
      </c>
      <c r="O26" s="15">
        <v>3.1882415256878258</v>
      </c>
      <c r="P26" s="15">
        <v>3</v>
      </c>
      <c r="Q26" s="15">
        <v>3.268202150866669</v>
      </c>
      <c r="R26" s="15">
        <v>3</v>
      </c>
      <c r="S26" s="15">
        <v>3.3078622201540808</v>
      </c>
      <c r="T26" s="15">
        <v>3</v>
      </c>
      <c r="U26" s="15">
        <v>3.1049797160713251</v>
      </c>
      <c r="V26" s="15">
        <v>1</v>
      </c>
      <c r="W26" s="15">
        <v>2.3548824787139888</v>
      </c>
      <c r="X26" s="15">
        <v>3</v>
      </c>
      <c r="Y26" s="15">
        <v>3.83741076754078</v>
      </c>
      <c r="Z26" s="15">
        <v>3</v>
      </c>
      <c r="AA26" s="15">
        <v>3.5811436176300049</v>
      </c>
      <c r="AB26" s="15">
        <v>3</v>
      </c>
      <c r="AC26" s="15">
        <v>4.2618571428571421</v>
      </c>
      <c r="AD26" s="15">
        <v>3</v>
      </c>
      <c r="AE26" s="15">
        <v>3.6222500000000002</v>
      </c>
    </row>
    <row r="27" spans="2:31" x14ac:dyDescent="0.2">
      <c r="B27" s="15">
        <v>5</v>
      </c>
      <c r="C27" s="15">
        <v>4.1060975861696241</v>
      </c>
      <c r="D27" s="15">
        <v>5</v>
      </c>
      <c r="E27" s="15">
        <v>4.1500000000000004</v>
      </c>
      <c r="F27" s="15">
        <v>5</v>
      </c>
      <c r="G27" s="15">
        <v>4.6030954843835978</v>
      </c>
      <c r="H27" s="15">
        <v>5</v>
      </c>
      <c r="I27" s="15">
        <v>4.8448099999999998</v>
      </c>
      <c r="J27" s="15">
        <v>5</v>
      </c>
      <c r="K27" s="15">
        <v>4.1060975861696241</v>
      </c>
      <c r="L27" s="15">
        <v>5</v>
      </c>
      <c r="M27" s="15">
        <v>4.6670435274166193</v>
      </c>
      <c r="N27" s="15">
        <v>5</v>
      </c>
      <c r="O27" s="15">
        <v>3.6935058400732261</v>
      </c>
      <c r="P27" s="15">
        <v>5</v>
      </c>
      <c r="Q27" s="15">
        <v>4.9995835101973114</v>
      </c>
      <c r="R27" s="15">
        <v>5</v>
      </c>
      <c r="S27" s="15">
        <v>4.8953534111636863</v>
      </c>
      <c r="T27" s="15">
        <v>5</v>
      </c>
      <c r="U27" s="15">
        <v>4.1598005152822806</v>
      </c>
      <c r="V27" s="15">
        <v>3</v>
      </c>
      <c r="W27" s="15">
        <v>1.792976021766663</v>
      </c>
      <c r="X27" s="15">
        <v>5</v>
      </c>
      <c r="Y27" s="15">
        <v>3.965378219231714</v>
      </c>
      <c r="Z27" s="15">
        <v>5</v>
      </c>
      <c r="AA27" s="15">
        <v>3.4382061958312988</v>
      </c>
      <c r="AB27" s="15">
        <v>5</v>
      </c>
      <c r="AC27" s="15">
        <v>4.6090952380952386</v>
      </c>
      <c r="AD27" s="15">
        <v>5</v>
      </c>
      <c r="AE27" s="15">
        <v>4.6889999999999992</v>
      </c>
    </row>
    <row r="28" spans="2:31" x14ac:dyDescent="0.2">
      <c r="B28" s="15">
        <v>5</v>
      </c>
      <c r="C28" s="15">
        <v>3.6781817207908629</v>
      </c>
      <c r="D28" s="15">
        <v>5</v>
      </c>
      <c r="E28" s="15">
        <v>3.81</v>
      </c>
      <c r="F28" s="15">
        <v>5</v>
      </c>
      <c r="G28" s="15">
        <v>3.8250223439497679</v>
      </c>
      <c r="H28" s="15">
        <v>5</v>
      </c>
      <c r="I28" s="15">
        <v>3.4814607999999998</v>
      </c>
      <c r="J28" s="15">
        <v>5</v>
      </c>
      <c r="K28" s="15">
        <v>3.678181720790862</v>
      </c>
      <c r="L28" s="15">
        <v>5</v>
      </c>
      <c r="M28" s="15">
        <v>3.7283003633427532</v>
      </c>
      <c r="N28" s="15">
        <v>5</v>
      </c>
      <c r="O28" s="15">
        <v>3.492168807736626</v>
      </c>
      <c r="P28" s="15">
        <v>5</v>
      </c>
      <c r="Q28" s="15">
        <v>3.614729070789481</v>
      </c>
      <c r="R28" s="15">
        <v>5</v>
      </c>
      <c r="S28" s="15">
        <v>4.2139369986174406</v>
      </c>
      <c r="T28" s="15">
        <v>5</v>
      </c>
      <c r="U28" s="15">
        <v>3.670809220053894</v>
      </c>
      <c r="V28" s="15">
        <v>5</v>
      </c>
      <c r="W28" s="15">
        <v>4.0089931488037109</v>
      </c>
      <c r="X28" s="15">
        <v>5</v>
      </c>
      <c r="Y28" s="15">
        <v>3.431490134147094</v>
      </c>
      <c r="Z28" s="15">
        <v>5</v>
      </c>
      <c r="AA28" s="15">
        <v>3.632632970809937</v>
      </c>
      <c r="AB28" s="15">
        <v>5</v>
      </c>
      <c r="AC28" s="15">
        <v>4.0519761904761911</v>
      </c>
      <c r="AD28" s="15">
        <v>5</v>
      </c>
      <c r="AE28" s="15">
        <v>4.1137142857142859</v>
      </c>
    </row>
    <row r="29" spans="2:31" x14ac:dyDescent="0.2">
      <c r="B29" s="15">
        <v>3</v>
      </c>
      <c r="C29" s="15">
        <v>3.4880746760332442</v>
      </c>
      <c r="D29" s="15">
        <v>3</v>
      </c>
      <c r="E29" s="15">
        <v>3.83</v>
      </c>
      <c r="F29" s="15">
        <v>3</v>
      </c>
      <c r="G29" s="15">
        <v>3.6492072588354021</v>
      </c>
      <c r="H29" s="15">
        <v>3</v>
      </c>
      <c r="I29" s="15">
        <v>3.6113076</v>
      </c>
      <c r="J29" s="15">
        <v>3</v>
      </c>
      <c r="K29" s="15">
        <v>3.4880746760332442</v>
      </c>
      <c r="L29" s="15">
        <v>3</v>
      </c>
      <c r="M29" s="15">
        <v>4.1486227721313886</v>
      </c>
      <c r="N29" s="15">
        <v>3</v>
      </c>
      <c r="O29" s="15">
        <v>3.2563174319858699</v>
      </c>
      <c r="P29" s="15">
        <v>3</v>
      </c>
      <c r="Q29" s="15">
        <v>3.3631860132908491</v>
      </c>
      <c r="R29" s="15">
        <v>3</v>
      </c>
      <c r="S29" s="15">
        <v>3.137526777189557</v>
      </c>
      <c r="T29" s="15">
        <v>3</v>
      </c>
      <c r="U29" s="15">
        <v>3.5616799192438302</v>
      </c>
      <c r="V29" s="15">
        <v>5</v>
      </c>
      <c r="W29" s="15">
        <v>3.9918744564056401</v>
      </c>
      <c r="X29" s="15">
        <v>3</v>
      </c>
      <c r="Y29" s="15">
        <v>3.3551815835780729</v>
      </c>
      <c r="Z29" s="15">
        <v>3</v>
      </c>
      <c r="AA29" s="15">
        <v>3.172885417938232</v>
      </c>
      <c r="AB29" s="15">
        <v>3</v>
      </c>
      <c r="AC29" s="15">
        <v>3.5967781385281392</v>
      </c>
      <c r="AD29" s="15">
        <v>3</v>
      </c>
      <c r="AE29" s="15">
        <v>3.314833333333334</v>
      </c>
    </row>
    <row r="30" spans="2:31" x14ac:dyDescent="0.2">
      <c r="B30" s="15">
        <v>5</v>
      </c>
      <c r="C30" s="15">
        <v>3.568833920354364</v>
      </c>
      <c r="D30" s="15">
        <v>5</v>
      </c>
      <c r="E30" s="15">
        <v>3.39</v>
      </c>
      <c r="F30" s="15">
        <v>5</v>
      </c>
      <c r="G30" s="15">
        <v>3.087444718383582</v>
      </c>
      <c r="H30" s="15">
        <v>5</v>
      </c>
      <c r="I30" s="15">
        <v>3.199948</v>
      </c>
      <c r="J30" s="15">
        <v>5</v>
      </c>
      <c r="K30" s="15">
        <v>3.568833920354364</v>
      </c>
      <c r="L30" s="15">
        <v>5</v>
      </c>
      <c r="M30" s="15">
        <v>3.607255948611237</v>
      </c>
      <c r="N30" s="15">
        <v>5</v>
      </c>
      <c r="O30" s="15">
        <v>4.0237708333420272</v>
      </c>
      <c r="P30" s="15">
        <v>5</v>
      </c>
      <c r="Q30" s="15">
        <v>4.1474147376500063</v>
      </c>
      <c r="R30" s="15">
        <v>5</v>
      </c>
      <c r="S30" s="15">
        <v>3.7701992243756521</v>
      </c>
      <c r="T30" s="15">
        <v>5</v>
      </c>
      <c r="U30" s="15">
        <v>4.6062821662851299</v>
      </c>
      <c r="V30" s="15">
        <v>2</v>
      </c>
      <c r="W30" s="15">
        <v>3.031776905059814</v>
      </c>
      <c r="X30" s="15">
        <v>5</v>
      </c>
      <c r="Y30" s="15">
        <v>4.5579464922719692</v>
      </c>
      <c r="Z30" s="15">
        <v>5</v>
      </c>
      <c r="AA30" s="15">
        <v>4.0456762313842773</v>
      </c>
      <c r="AB30" s="15">
        <v>5</v>
      </c>
      <c r="AC30" s="15">
        <v>4.5020476190476204</v>
      </c>
      <c r="AD30" s="15">
        <v>5</v>
      </c>
      <c r="AE30" s="15">
        <v>4.1947619047619051</v>
      </c>
    </row>
    <row r="31" spans="2:31" x14ac:dyDescent="0.2">
      <c r="B31" s="15">
        <v>5</v>
      </c>
      <c r="C31" s="15">
        <v>4.0778941584764699</v>
      </c>
      <c r="D31" s="15">
        <v>5</v>
      </c>
      <c r="E31" s="15">
        <v>4.0599999999999996</v>
      </c>
      <c r="F31" s="15">
        <v>5</v>
      </c>
      <c r="G31" s="15">
        <v>4.4753637605820469</v>
      </c>
      <c r="H31" s="15">
        <v>5</v>
      </c>
      <c r="I31" s="15">
        <v>4.2574854000000002</v>
      </c>
      <c r="J31" s="15">
        <v>5</v>
      </c>
      <c r="K31" s="15">
        <v>4.0778941584764699</v>
      </c>
      <c r="L31" s="15">
        <v>5</v>
      </c>
      <c r="M31" s="15">
        <v>4.3705148205928239</v>
      </c>
      <c r="N31" s="15">
        <v>5</v>
      </c>
      <c r="O31" s="15">
        <v>4.0841787947445987</v>
      </c>
      <c r="P31" s="15">
        <v>5</v>
      </c>
      <c r="Q31" s="15">
        <v>4.326416427819237</v>
      </c>
      <c r="R31" s="15">
        <v>5</v>
      </c>
      <c r="S31" s="15">
        <v>4.3632369867613257</v>
      </c>
      <c r="T31" s="15">
        <v>5</v>
      </c>
      <c r="U31" s="15">
        <v>4.386280320048928</v>
      </c>
      <c r="V31" s="15">
        <v>2</v>
      </c>
      <c r="W31" s="15">
        <v>3.654053688049316</v>
      </c>
      <c r="X31" s="15">
        <v>5</v>
      </c>
      <c r="Y31" s="15">
        <v>4.1323136650161576</v>
      </c>
      <c r="Z31" s="15">
        <v>5</v>
      </c>
      <c r="AA31" s="15">
        <v>3.7898917198181148</v>
      </c>
      <c r="AB31" s="15">
        <v>5</v>
      </c>
      <c r="AC31" s="15">
        <v>4.5740833333333324</v>
      </c>
      <c r="AD31" s="15">
        <v>5</v>
      </c>
      <c r="AE31" s="15">
        <v>4.3835833333333332</v>
      </c>
    </row>
    <row r="32" spans="2:31" x14ac:dyDescent="0.2">
      <c r="B32" s="15">
        <v>4</v>
      </c>
      <c r="C32" s="15">
        <v>3.4977240296715699</v>
      </c>
      <c r="D32" s="15">
        <v>4</v>
      </c>
      <c r="E32" s="15">
        <v>3.59</v>
      </c>
      <c r="F32" s="15">
        <v>4</v>
      </c>
      <c r="G32" s="15">
        <v>3.6605803212715071</v>
      </c>
      <c r="H32" s="15">
        <v>4</v>
      </c>
      <c r="I32" s="15">
        <v>3.39893</v>
      </c>
      <c r="J32" s="15">
        <v>4</v>
      </c>
      <c r="K32" s="15">
        <v>3.4977240296715699</v>
      </c>
      <c r="L32" s="15">
        <v>4</v>
      </c>
      <c r="M32" s="15">
        <v>4.1486227721313886</v>
      </c>
      <c r="N32" s="15">
        <v>4</v>
      </c>
      <c r="O32" s="15">
        <v>3.7478084850306992</v>
      </c>
      <c r="P32" s="15">
        <v>4</v>
      </c>
      <c r="Q32" s="15">
        <v>3.282616003415439</v>
      </c>
      <c r="R32" s="15">
        <v>4</v>
      </c>
      <c r="S32" s="15">
        <v>3.123766246250482</v>
      </c>
      <c r="T32" s="15">
        <v>4</v>
      </c>
      <c r="U32" s="15">
        <v>4.1052011712536753</v>
      </c>
      <c r="V32" s="15">
        <v>5</v>
      </c>
      <c r="W32" s="15">
        <v>4.5055522918701172</v>
      </c>
      <c r="X32" s="15">
        <v>4</v>
      </c>
      <c r="Y32" s="15">
        <v>4.0080060427357118</v>
      </c>
      <c r="Z32" s="15">
        <v>4</v>
      </c>
      <c r="AA32" s="15">
        <v>4.0340919494628906</v>
      </c>
      <c r="AB32" s="15">
        <v>4</v>
      </c>
      <c r="AC32" s="15">
        <v>3.4484166666666658</v>
      </c>
      <c r="AD32" s="15">
        <v>4</v>
      </c>
      <c r="AE32" s="15">
        <v>3.5392380952380949</v>
      </c>
    </row>
    <row r="33" spans="2:31" x14ac:dyDescent="0.2">
      <c r="B33" s="15">
        <v>4</v>
      </c>
      <c r="C33" s="15">
        <v>4.0963396811194217</v>
      </c>
      <c r="D33" s="15">
        <v>4</v>
      </c>
      <c r="E33" s="15">
        <v>4.53</v>
      </c>
      <c r="F33" s="15">
        <v>4</v>
      </c>
      <c r="G33" s="15">
        <v>4.4493127391200433</v>
      </c>
      <c r="H33" s="15">
        <v>4</v>
      </c>
      <c r="I33" s="15">
        <v>4.6705759999999996</v>
      </c>
      <c r="J33" s="15">
        <v>4</v>
      </c>
      <c r="K33" s="15">
        <v>4.0963396811194217</v>
      </c>
      <c r="L33" s="15">
        <v>4</v>
      </c>
      <c r="M33" s="15">
        <v>4.3198225757112274</v>
      </c>
      <c r="N33" s="15">
        <v>4</v>
      </c>
      <c r="O33" s="15">
        <v>4.1505087987090903</v>
      </c>
      <c r="P33" s="15">
        <v>4</v>
      </c>
      <c r="Q33" s="15">
        <v>4.7430501605538211</v>
      </c>
      <c r="R33" s="15">
        <v>4</v>
      </c>
      <c r="S33" s="15">
        <v>4.7017966752572686</v>
      </c>
      <c r="T33" s="15">
        <v>4</v>
      </c>
      <c r="U33" s="15">
        <v>4.2838486288866919</v>
      </c>
      <c r="V33" s="15">
        <v>4</v>
      </c>
      <c r="W33" s="15">
        <v>4.1304779052734384</v>
      </c>
      <c r="X33" s="15">
        <v>4</v>
      </c>
      <c r="Y33" s="15">
        <v>4.3355937444984836</v>
      </c>
      <c r="Z33" s="15">
        <v>4</v>
      </c>
      <c r="AA33" s="15">
        <v>4.191288948059082</v>
      </c>
      <c r="AB33" s="15">
        <v>4</v>
      </c>
      <c r="AC33" s="15">
        <v>4.5697619047619051</v>
      </c>
      <c r="AD33" s="15">
        <v>4</v>
      </c>
      <c r="AE33" s="15">
        <v>4.3373809523809506</v>
      </c>
    </row>
    <row r="34" spans="2:31" x14ac:dyDescent="0.2">
      <c r="B34" s="15">
        <v>3</v>
      </c>
      <c r="C34" s="15">
        <v>3.5061172753214569</v>
      </c>
      <c r="D34" s="15">
        <v>3</v>
      </c>
      <c r="E34" s="15">
        <v>3.81</v>
      </c>
      <c r="F34" s="15">
        <v>3</v>
      </c>
      <c r="G34" s="15">
        <v>3.7362207217259971</v>
      </c>
      <c r="H34" s="15">
        <v>3</v>
      </c>
      <c r="I34" s="15">
        <v>3.6410792000000001</v>
      </c>
      <c r="J34" s="15">
        <v>3</v>
      </c>
      <c r="K34" s="15">
        <v>3.5061172753214569</v>
      </c>
      <c r="L34" s="15">
        <v>3</v>
      </c>
      <c r="M34" s="15">
        <v>3.9421397379912659</v>
      </c>
      <c r="N34" s="15">
        <v>3</v>
      </c>
      <c r="O34" s="15">
        <v>3.747582460514213</v>
      </c>
      <c r="P34" s="15">
        <v>3</v>
      </c>
      <c r="Q34" s="15">
        <v>3.6218845794205441</v>
      </c>
      <c r="R34" s="15">
        <v>3</v>
      </c>
      <c r="S34" s="15">
        <v>3.5543258991302551</v>
      </c>
      <c r="T34" s="15">
        <v>3</v>
      </c>
      <c r="U34" s="15">
        <v>3.730248373443541</v>
      </c>
      <c r="V34" s="15">
        <v>5</v>
      </c>
      <c r="W34" s="15">
        <v>4.5033955574035636</v>
      </c>
      <c r="X34" s="15">
        <v>3</v>
      </c>
      <c r="Y34" s="15">
        <v>3.6109739676837118</v>
      </c>
      <c r="Z34" s="15">
        <v>3</v>
      </c>
      <c r="AA34" s="15">
        <v>3.6226422786712651</v>
      </c>
      <c r="AB34" s="15">
        <v>3</v>
      </c>
      <c r="AC34" s="15">
        <v>3.7047619047619049</v>
      </c>
      <c r="AD34" s="15">
        <v>3</v>
      </c>
      <c r="AE34" s="15">
        <v>3.4796309523809521</v>
      </c>
    </row>
    <row r="35" spans="2:31" x14ac:dyDescent="0.2">
      <c r="B35" s="15">
        <v>5</v>
      </c>
      <c r="C35" s="15">
        <v>4.2783448348553073</v>
      </c>
      <c r="D35" s="15">
        <v>5</v>
      </c>
      <c r="E35" s="15">
        <v>3.8</v>
      </c>
      <c r="F35" s="15">
        <v>5</v>
      </c>
      <c r="G35" s="15">
        <v>3.882033349152811</v>
      </c>
      <c r="H35" s="15">
        <v>5</v>
      </c>
      <c r="I35" s="15">
        <v>4.1586239999999997</v>
      </c>
      <c r="J35" s="15">
        <v>5</v>
      </c>
      <c r="K35" s="15">
        <v>4.2783448348553073</v>
      </c>
      <c r="L35" s="15">
        <v>5</v>
      </c>
      <c r="M35" s="15">
        <v>3.4732775273663878</v>
      </c>
      <c r="N35" s="15">
        <v>5</v>
      </c>
      <c r="O35" s="15">
        <v>3.790441887615851</v>
      </c>
      <c r="P35" s="15">
        <v>5</v>
      </c>
      <c r="Q35" s="15">
        <v>4.3671885537420119</v>
      </c>
      <c r="R35" s="15">
        <v>5</v>
      </c>
      <c r="S35" s="15">
        <v>4.2968075106083754</v>
      </c>
      <c r="T35" s="15">
        <v>5</v>
      </c>
      <c r="U35" s="15">
        <v>4.2018440562418027</v>
      </c>
      <c r="V35" s="15">
        <v>2</v>
      </c>
      <c r="W35" s="15">
        <v>4.1903948783874512</v>
      </c>
      <c r="X35" s="15">
        <v>5</v>
      </c>
      <c r="Y35" s="15">
        <v>4.1126907868713181</v>
      </c>
      <c r="Z35" s="15">
        <v>5</v>
      </c>
      <c r="AA35" s="15">
        <v>4.0686755180358887</v>
      </c>
      <c r="AB35" s="15">
        <v>5</v>
      </c>
      <c r="AC35" s="15">
        <v>4.5301666666666662</v>
      </c>
      <c r="AD35" s="15">
        <v>5</v>
      </c>
      <c r="AE35" s="15">
        <v>4.4561111111111096</v>
      </c>
    </row>
    <row r="36" spans="2:31" x14ac:dyDescent="0.2">
      <c r="B36" s="15">
        <v>2</v>
      </c>
      <c r="C36" s="15">
        <v>3.4259318263854772</v>
      </c>
      <c r="D36" s="15">
        <v>2</v>
      </c>
      <c r="E36" s="15">
        <v>2.4300000000000002</v>
      </c>
      <c r="F36" s="15">
        <v>2</v>
      </c>
      <c r="G36" s="15">
        <v>2.662858452537614</v>
      </c>
      <c r="H36" s="15">
        <v>2</v>
      </c>
      <c r="I36" s="15">
        <v>2.5881603000000002</v>
      </c>
      <c r="J36" s="15">
        <v>2</v>
      </c>
      <c r="K36" s="15">
        <v>3.4259318263854772</v>
      </c>
      <c r="L36" s="15">
        <v>2</v>
      </c>
      <c r="M36" s="15">
        <v>2.8082987551867218</v>
      </c>
      <c r="N36" s="15">
        <v>2</v>
      </c>
      <c r="O36" s="15">
        <v>3.1510736193345812</v>
      </c>
      <c r="P36" s="15">
        <v>2</v>
      </c>
      <c r="Q36" s="15">
        <v>2.5487064349081732</v>
      </c>
      <c r="R36" s="15">
        <v>2</v>
      </c>
      <c r="S36" s="15">
        <v>2.2235839769885239</v>
      </c>
      <c r="T36" s="15">
        <v>2</v>
      </c>
      <c r="U36" s="15">
        <v>3.1954194481794911</v>
      </c>
      <c r="V36" s="15">
        <v>4</v>
      </c>
      <c r="W36" s="15">
        <v>3.9483907222747798</v>
      </c>
      <c r="X36" s="15">
        <v>2</v>
      </c>
      <c r="Y36" s="15">
        <v>2.9817189619764708</v>
      </c>
      <c r="Z36" s="15">
        <v>2</v>
      </c>
      <c r="AA36" s="15">
        <v>3.3146710395812988</v>
      </c>
      <c r="AB36" s="15">
        <v>2</v>
      </c>
      <c r="AC36" s="15">
        <v>1.927305555555556</v>
      </c>
      <c r="AD36" s="15">
        <v>2</v>
      </c>
      <c r="AE36" s="15">
        <v>1.831988095238096</v>
      </c>
    </row>
    <row r="37" spans="2:31" x14ac:dyDescent="0.2">
      <c r="B37" s="15">
        <v>4</v>
      </c>
      <c r="C37" s="15">
        <v>3.781651007094009</v>
      </c>
      <c r="D37" s="15">
        <v>4</v>
      </c>
      <c r="E37" s="15">
        <v>3.69</v>
      </c>
      <c r="F37" s="15">
        <v>4</v>
      </c>
      <c r="G37" s="15">
        <v>3.810288839418305</v>
      </c>
      <c r="H37" s="15">
        <v>4</v>
      </c>
      <c r="I37" s="15">
        <v>3.7982762000000001</v>
      </c>
      <c r="J37" s="15">
        <v>4</v>
      </c>
      <c r="K37" s="15">
        <v>3.7816510070940099</v>
      </c>
      <c r="L37" s="15">
        <v>4</v>
      </c>
      <c r="M37" s="15">
        <v>3.859941844364442</v>
      </c>
      <c r="N37" s="15">
        <v>4</v>
      </c>
      <c r="O37" s="15">
        <v>3.8501387227872148</v>
      </c>
      <c r="P37" s="15">
        <v>4</v>
      </c>
      <c r="Q37" s="15">
        <v>4.6640101772258706</v>
      </c>
      <c r="R37" s="15">
        <v>4</v>
      </c>
      <c r="S37" s="15">
        <v>4.787096792029903</v>
      </c>
      <c r="T37" s="15">
        <v>4</v>
      </c>
      <c r="U37" s="15">
        <v>3.9675440742962458</v>
      </c>
      <c r="V37" s="15">
        <v>2</v>
      </c>
      <c r="W37" s="15">
        <v>2.7242929935455318</v>
      </c>
      <c r="X37" s="15">
        <v>4</v>
      </c>
      <c r="Y37" s="15">
        <v>3.9402678097751158</v>
      </c>
      <c r="Z37" s="15">
        <v>4</v>
      </c>
      <c r="AA37" s="15">
        <v>3.3653347492218022</v>
      </c>
      <c r="AB37" s="15">
        <v>4</v>
      </c>
      <c r="AC37" s="15">
        <v>4.4802142857142853</v>
      </c>
      <c r="AD37" s="15">
        <v>4</v>
      </c>
      <c r="AE37" s="15">
        <v>4.4791666666666661</v>
      </c>
    </row>
    <row r="38" spans="2:31" x14ac:dyDescent="0.2">
      <c r="B38" s="15">
        <v>4</v>
      </c>
      <c r="C38" s="15">
        <v>3.8446666554672162</v>
      </c>
      <c r="D38" s="15">
        <v>4</v>
      </c>
      <c r="E38" s="15">
        <v>4.04</v>
      </c>
      <c r="F38" s="15">
        <v>4</v>
      </c>
      <c r="G38" s="15">
        <v>3.8883306511157989</v>
      </c>
      <c r="H38" s="15">
        <v>4</v>
      </c>
      <c r="I38" s="15">
        <v>4.0406360000000001</v>
      </c>
      <c r="J38" s="15">
        <v>4</v>
      </c>
      <c r="K38" s="15">
        <v>3.8446666554672162</v>
      </c>
      <c r="L38" s="15">
        <v>4</v>
      </c>
      <c r="M38" s="15">
        <v>3.9747958821441252</v>
      </c>
      <c r="N38" s="15">
        <v>4</v>
      </c>
      <c r="O38" s="15">
        <v>3.6701729329236019</v>
      </c>
      <c r="P38" s="15">
        <v>4</v>
      </c>
      <c r="Q38" s="15">
        <v>3.3532603264572378</v>
      </c>
      <c r="R38" s="15">
        <v>4</v>
      </c>
      <c r="S38" s="15">
        <v>3.226313055310535</v>
      </c>
      <c r="T38" s="15">
        <v>4</v>
      </c>
      <c r="U38" s="15">
        <v>3.9993634583520872</v>
      </c>
      <c r="V38" s="15">
        <v>4</v>
      </c>
      <c r="W38" s="15">
        <v>3.822966575622559</v>
      </c>
      <c r="X38" s="15">
        <v>4</v>
      </c>
      <c r="Y38" s="15">
        <v>3.7911082192932972</v>
      </c>
      <c r="Z38" s="15">
        <v>4</v>
      </c>
      <c r="AA38" s="15">
        <v>3.645530223846436</v>
      </c>
      <c r="AB38" s="15">
        <v>4</v>
      </c>
      <c r="AC38" s="15">
        <v>3.3006825396825401</v>
      </c>
      <c r="AD38" s="15">
        <v>4</v>
      </c>
      <c r="AE38" s="15">
        <v>3.234166666666666</v>
      </c>
    </row>
    <row r="39" spans="2:31" x14ac:dyDescent="0.2">
      <c r="B39" s="15">
        <v>2</v>
      </c>
      <c r="C39" s="15">
        <v>2.3939972514587411</v>
      </c>
      <c r="D39" s="15">
        <v>2</v>
      </c>
      <c r="E39" s="15">
        <v>1.59</v>
      </c>
      <c r="F39" s="15">
        <v>2</v>
      </c>
      <c r="G39" s="15">
        <v>1.5498805670751949</v>
      </c>
      <c r="H39" s="15">
        <v>2</v>
      </c>
      <c r="I39" s="15">
        <v>1.6375170999999999</v>
      </c>
      <c r="J39" s="15">
        <v>2</v>
      </c>
      <c r="K39" s="15">
        <v>2.3939972514587411</v>
      </c>
      <c r="L39" s="15">
        <v>2</v>
      </c>
      <c r="M39" s="15">
        <v>1.8084033613445381</v>
      </c>
      <c r="N39" s="15">
        <v>2</v>
      </c>
      <c r="O39" s="15">
        <v>3.849583020008422</v>
      </c>
      <c r="P39" s="15">
        <v>2</v>
      </c>
      <c r="Q39" s="15">
        <v>3.2890988771976719</v>
      </c>
      <c r="R39" s="15">
        <v>2</v>
      </c>
      <c r="S39" s="15">
        <v>3.602632203663223</v>
      </c>
      <c r="T39" s="15">
        <v>2</v>
      </c>
      <c r="U39" s="15">
        <v>3.8571859659868499</v>
      </c>
      <c r="V39" s="15">
        <v>5</v>
      </c>
      <c r="W39" s="15">
        <v>3.0871443748474121</v>
      </c>
      <c r="X39" s="15">
        <v>2</v>
      </c>
      <c r="Y39" s="15">
        <v>2.259228368070656</v>
      </c>
      <c r="Z39" s="15">
        <v>2</v>
      </c>
      <c r="AA39" s="15">
        <v>2.488595724105835</v>
      </c>
      <c r="AB39" s="15">
        <v>2</v>
      </c>
      <c r="AC39" s="15">
        <v>2.0804880952380951</v>
      </c>
      <c r="AD39" s="15">
        <v>2</v>
      </c>
      <c r="AE39" s="15">
        <v>2.901619047619048</v>
      </c>
    </row>
    <row r="40" spans="2:31" x14ac:dyDescent="0.2">
      <c r="B40" s="15">
        <v>4</v>
      </c>
      <c r="C40" s="15">
        <v>3.6554484640877001</v>
      </c>
      <c r="D40" s="15">
        <v>4</v>
      </c>
      <c r="E40" s="15">
        <v>3.85</v>
      </c>
      <c r="F40" s="15">
        <v>4</v>
      </c>
      <c r="G40" s="15">
        <v>3.7899600488514298</v>
      </c>
      <c r="H40" s="15">
        <v>4</v>
      </c>
      <c r="I40" s="15">
        <v>3.7378811999999999</v>
      </c>
      <c r="J40" s="15">
        <v>4</v>
      </c>
      <c r="K40" s="15">
        <v>3.6554484640877001</v>
      </c>
      <c r="L40" s="15">
        <v>4</v>
      </c>
      <c r="M40" s="15">
        <v>3.607255948611237</v>
      </c>
      <c r="N40" s="15">
        <v>4</v>
      </c>
      <c r="O40" s="15">
        <v>3.8660113784677761</v>
      </c>
      <c r="P40" s="15">
        <v>4</v>
      </c>
      <c r="Q40" s="15">
        <v>3.7875135386615209</v>
      </c>
      <c r="R40" s="15">
        <v>4</v>
      </c>
      <c r="S40" s="15">
        <v>3.9020228040809322</v>
      </c>
      <c r="T40" s="15">
        <v>4</v>
      </c>
      <c r="U40" s="15">
        <v>4.040242632939945</v>
      </c>
      <c r="V40" s="15">
        <v>5</v>
      </c>
      <c r="W40" s="15">
        <v>3.936105489730835</v>
      </c>
      <c r="X40" s="15">
        <v>4</v>
      </c>
      <c r="Y40" s="15">
        <v>3.980119570402425</v>
      </c>
      <c r="Z40" s="15">
        <v>4</v>
      </c>
      <c r="AA40" s="15">
        <v>4.028834342956543</v>
      </c>
      <c r="AB40" s="15">
        <v>4</v>
      </c>
      <c r="AC40" s="15">
        <v>4.0791904761904769</v>
      </c>
      <c r="AD40" s="15">
        <v>4</v>
      </c>
      <c r="AE40" s="15">
        <v>4.3385793650793651</v>
      </c>
    </row>
    <row r="41" spans="2:31" x14ac:dyDescent="0.2">
      <c r="B41" s="15">
        <v>5</v>
      </c>
      <c r="C41" s="15">
        <v>4.0036706733052174</v>
      </c>
      <c r="D41" s="15">
        <v>5</v>
      </c>
      <c r="E41" s="15">
        <v>3.55</v>
      </c>
      <c r="F41" s="15">
        <v>5</v>
      </c>
      <c r="G41" s="15">
        <v>3.721793998825806</v>
      </c>
      <c r="H41" s="15">
        <v>5</v>
      </c>
      <c r="I41" s="15">
        <v>3.8854966000000002</v>
      </c>
      <c r="J41" s="15">
        <v>5</v>
      </c>
      <c r="K41" s="15">
        <v>4.0036706733052174</v>
      </c>
      <c r="L41" s="15">
        <v>5</v>
      </c>
      <c r="M41" s="15">
        <v>3.7917898193760262</v>
      </c>
      <c r="N41" s="15">
        <v>5</v>
      </c>
      <c r="O41" s="15">
        <v>4.0887798062434122</v>
      </c>
      <c r="P41" s="15">
        <v>5</v>
      </c>
      <c r="Q41" s="15">
        <v>4.3447160990090783</v>
      </c>
      <c r="R41" s="15">
        <v>5</v>
      </c>
      <c r="S41" s="15">
        <v>4.4691900213361464</v>
      </c>
      <c r="T41" s="15">
        <v>5</v>
      </c>
      <c r="U41" s="15">
        <v>4.3080938906984274</v>
      </c>
      <c r="V41" s="15">
        <v>5</v>
      </c>
      <c r="W41" s="15">
        <v>4.0615534782409668</v>
      </c>
      <c r="X41" s="15">
        <v>5</v>
      </c>
      <c r="Y41" s="15">
        <v>4.3944369884314476</v>
      </c>
      <c r="Z41" s="15">
        <v>5</v>
      </c>
      <c r="AA41" s="15">
        <v>3.9385116100311279</v>
      </c>
      <c r="AB41" s="15">
        <v>5</v>
      </c>
      <c r="AC41" s="15">
        <v>4.0023849206349196</v>
      </c>
      <c r="AD41" s="15">
        <v>5</v>
      </c>
      <c r="AE41" s="15">
        <v>4.3029999999999999</v>
      </c>
    </row>
    <row r="42" spans="2:31" x14ac:dyDescent="0.2">
      <c r="B42" s="15">
        <v>3</v>
      </c>
      <c r="C42" s="15">
        <v>3.2899287807675779</v>
      </c>
      <c r="D42" s="15">
        <v>3</v>
      </c>
      <c r="E42" s="15">
        <v>3.22</v>
      </c>
      <c r="F42" s="15">
        <v>3</v>
      </c>
      <c r="G42" s="15">
        <v>2.9521091674700108</v>
      </c>
      <c r="H42" s="15">
        <v>3</v>
      </c>
      <c r="I42" s="15">
        <v>2.8467896000000001</v>
      </c>
      <c r="J42" s="15">
        <v>3</v>
      </c>
      <c r="K42" s="15">
        <v>3.2899287807675779</v>
      </c>
      <c r="L42" s="15">
        <v>3</v>
      </c>
      <c r="M42" s="15">
        <v>3.457399103139013</v>
      </c>
      <c r="N42" s="15">
        <v>3</v>
      </c>
      <c r="O42" s="15">
        <v>3.6271632073215891</v>
      </c>
      <c r="P42" s="15">
        <v>3</v>
      </c>
      <c r="Q42" s="15">
        <v>4.092206164288843</v>
      </c>
      <c r="R42" s="15">
        <v>3</v>
      </c>
      <c r="S42" s="15">
        <v>4.0214372384934931</v>
      </c>
      <c r="T42" s="15">
        <v>3</v>
      </c>
      <c r="U42" s="15">
        <v>4.1566921431999937</v>
      </c>
      <c r="V42" s="15">
        <v>2</v>
      </c>
      <c r="W42" s="15">
        <v>2.5413913726806641</v>
      </c>
      <c r="X42" s="15">
        <v>3</v>
      </c>
      <c r="Y42" s="15">
        <v>4.3276689805573696</v>
      </c>
      <c r="Z42" s="15">
        <v>3</v>
      </c>
      <c r="AA42" s="15">
        <v>4.0541095733642578</v>
      </c>
      <c r="AB42" s="15">
        <v>3</v>
      </c>
      <c r="AC42" s="15">
        <v>4.0699166666666668</v>
      </c>
      <c r="AD42" s="15">
        <v>3</v>
      </c>
      <c r="AE42" s="15">
        <v>4.2192500000000006</v>
      </c>
    </row>
    <row r="43" spans="2:31" x14ac:dyDescent="0.2">
      <c r="B43" s="15">
        <v>4</v>
      </c>
      <c r="C43" s="15">
        <v>3.7509675213199531</v>
      </c>
      <c r="D43" s="15">
        <v>4</v>
      </c>
      <c r="E43" s="15">
        <v>4.49</v>
      </c>
      <c r="F43" s="15">
        <v>4</v>
      </c>
      <c r="G43" s="15">
        <v>4.309775286072278</v>
      </c>
      <c r="H43" s="15">
        <v>4</v>
      </c>
      <c r="I43" s="15">
        <v>4.2981299999999996</v>
      </c>
      <c r="J43" s="15">
        <v>4</v>
      </c>
      <c r="K43" s="15">
        <v>3.7509675213199531</v>
      </c>
      <c r="L43" s="15">
        <v>4</v>
      </c>
      <c r="M43" s="15">
        <v>3.831386441976254</v>
      </c>
      <c r="N43" s="15">
        <v>4</v>
      </c>
      <c r="O43" s="15">
        <v>4.0521862710370877</v>
      </c>
      <c r="P43" s="15">
        <v>4</v>
      </c>
      <c r="Q43" s="15">
        <v>4.7767085353900276</v>
      </c>
      <c r="R43" s="15">
        <v>4</v>
      </c>
      <c r="S43" s="15">
        <v>4.7970170860562806</v>
      </c>
      <c r="T43" s="15">
        <v>4</v>
      </c>
      <c r="U43" s="15">
        <v>4.1012908134496113</v>
      </c>
      <c r="V43" s="15">
        <v>2</v>
      </c>
      <c r="W43" s="15">
        <v>2.706330537796021</v>
      </c>
      <c r="X43" s="15">
        <v>4</v>
      </c>
      <c r="Y43" s="15">
        <v>4.1826208652413852</v>
      </c>
      <c r="Z43" s="15">
        <v>4</v>
      </c>
      <c r="AA43" s="15">
        <v>4.0138096809387207</v>
      </c>
      <c r="AB43" s="15">
        <v>4</v>
      </c>
      <c r="AC43" s="15">
        <v>4.5223333333333331</v>
      </c>
      <c r="AD43" s="15">
        <v>4</v>
      </c>
      <c r="AE43" s="15">
        <v>4.6824166666666658</v>
      </c>
    </row>
    <row r="44" spans="2:31" x14ac:dyDescent="0.2">
      <c r="B44" s="15">
        <v>5</v>
      </c>
      <c r="C44" s="15">
        <v>3.9803574936759309</v>
      </c>
      <c r="D44" s="15">
        <v>5</v>
      </c>
      <c r="E44" s="15">
        <v>4.5999999999999996</v>
      </c>
      <c r="F44" s="15">
        <v>5</v>
      </c>
      <c r="G44" s="15">
        <v>4.5968529148777817</v>
      </c>
      <c r="H44" s="15">
        <v>5</v>
      </c>
      <c r="I44" s="15">
        <v>4.7886579999999999</v>
      </c>
      <c r="J44" s="15">
        <v>5</v>
      </c>
      <c r="K44" s="15">
        <v>3.9803574936759309</v>
      </c>
      <c r="L44" s="15">
        <v>5</v>
      </c>
      <c r="M44" s="15">
        <v>4.3465189873417716</v>
      </c>
      <c r="N44" s="15">
        <v>5</v>
      </c>
      <c r="O44" s="15">
        <v>4.3568326808359688</v>
      </c>
      <c r="P44" s="15">
        <v>5</v>
      </c>
      <c r="Q44" s="15">
        <v>5.0602808557528096</v>
      </c>
      <c r="R44" s="15">
        <v>5</v>
      </c>
      <c r="S44" s="15">
        <v>5.0826151654102283</v>
      </c>
      <c r="T44" s="15">
        <v>5</v>
      </c>
      <c r="U44" s="15">
        <v>4.3250253047232574</v>
      </c>
      <c r="V44" s="15">
        <v>5</v>
      </c>
      <c r="W44" s="15">
        <v>4.4818110466003418</v>
      </c>
      <c r="X44" s="15">
        <v>5</v>
      </c>
      <c r="Y44" s="15">
        <v>4.6626423117292761</v>
      </c>
      <c r="Z44" s="15">
        <v>5</v>
      </c>
      <c r="AA44" s="15">
        <v>4.5985188484191886</v>
      </c>
      <c r="AB44" s="15">
        <v>5</v>
      </c>
      <c r="AC44" s="15">
        <v>4.8234090909090908</v>
      </c>
      <c r="AD44" s="15">
        <v>5</v>
      </c>
      <c r="AE44" s="15">
        <v>4.7910833333333329</v>
      </c>
    </row>
    <row r="45" spans="2:31" x14ac:dyDescent="0.2">
      <c r="B45" s="15">
        <v>3</v>
      </c>
      <c r="C45" s="15">
        <v>3.7686405139396459</v>
      </c>
      <c r="D45" s="15">
        <v>3</v>
      </c>
      <c r="E45" s="15">
        <v>3.48</v>
      </c>
      <c r="F45" s="15">
        <v>3</v>
      </c>
      <c r="G45" s="15">
        <v>3.7648443913094929</v>
      </c>
      <c r="H45" s="15">
        <v>3</v>
      </c>
      <c r="I45" s="15">
        <v>3.4427303999999999</v>
      </c>
      <c r="J45" s="15">
        <v>3</v>
      </c>
      <c r="K45" s="15">
        <v>3.7686405139396459</v>
      </c>
      <c r="L45" s="15">
        <v>3</v>
      </c>
      <c r="M45" s="15">
        <v>3.7990622906898861</v>
      </c>
      <c r="N45" s="15">
        <v>3</v>
      </c>
      <c r="O45" s="15">
        <v>3.9401716425106632</v>
      </c>
      <c r="P45" s="15">
        <v>3</v>
      </c>
      <c r="Q45" s="15">
        <v>3.8156944635368419</v>
      </c>
      <c r="R45" s="15">
        <v>3</v>
      </c>
      <c r="S45" s="15">
        <v>3.7692850194270311</v>
      </c>
      <c r="T45" s="15">
        <v>3</v>
      </c>
      <c r="U45" s="15">
        <v>3.9436420713185312</v>
      </c>
      <c r="V45" s="15">
        <v>1</v>
      </c>
      <c r="W45" s="15">
        <v>3.3418397903442378</v>
      </c>
      <c r="X45" s="15">
        <v>3</v>
      </c>
      <c r="Y45" s="15">
        <v>3.963431786815351</v>
      </c>
      <c r="Z45" s="15">
        <v>3</v>
      </c>
      <c r="AA45" s="15">
        <v>3.8404195308685298</v>
      </c>
      <c r="AB45" s="15">
        <v>3</v>
      </c>
      <c r="AC45" s="15">
        <v>3.956261904761905</v>
      </c>
      <c r="AD45" s="15">
        <v>3</v>
      </c>
      <c r="AE45" s="15">
        <v>4.2336428571428568</v>
      </c>
    </row>
    <row r="46" spans="2:31" x14ac:dyDescent="0.2">
      <c r="B46" s="15">
        <v>2</v>
      </c>
      <c r="C46" s="15">
        <v>3.2507061284422978</v>
      </c>
      <c r="D46" s="15">
        <v>2</v>
      </c>
      <c r="E46" s="15">
        <v>2.38</v>
      </c>
      <c r="F46" s="15">
        <v>2</v>
      </c>
      <c r="G46" s="15">
        <v>2.235891242837079</v>
      </c>
      <c r="H46" s="15">
        <v>2</v>
      </c>
      <c r="I46" s="15">
        <v>2.3377992999999999</v>
      </c>
      <c r="J46" s="15">
        <v>2</v>
      </c>
      <c r="K46" s="15">
        <v>3.2507061284422978</v>
      </c>
      <c r="L46" s="15">
        <v>2</v>
      </c>
      <c r="M46" s="15">
        <v>2.476744186046512</v>
      </c>
      <c r="N46" s="15">
        <v>2</v>
      </c>
      <c r="O46" s="15">
        <v>2.4075621965221079</v>
      </c>
      <c r="P46" s="15">
        <v>2</v>
      </c>
      <c r="Q46" s="15">
        <v>2.2374601016842872</v>
      </c>
      <c r="R46" s="15">
        <v>2</v>
      </c>
      <c r="S46" s="15">
        <v>1.982391997738292</v>
      </c>
      <c r="T46" s="15">
        <v>2</v>
      </c>
      <c r="U46" s="15">
        <v>2.4906352857832492</v>
      </c>
      <c r="V46" s="15">
        <v>3</v>
      </c>
      <c r="W46" s="15">
        <v>3.797928094863892</v>
      </c>
      <c r="X46" s="15">
        <v>2</v>
      </c>
      <c r="Y46" s="15">
        <v>1.792879087969901</v>
      </c>
      <c r="Z46" s="15">
        <v>2</v>
      </c>
      <c r="AA46" s="15">
        <v>1.7287412881851201</v>
      </c>
      <c r="AB46" s="15">
        <v>2</v>
      </c>
      <c r="AC46" s="15">
        <v>1.886654761904762</v>
      </c>
      <c r="AD46" s="15">
        <v>2</v>
      </c>
      <c r="AE46" s="15">
        <v>1.785809523809524</v>
      </c>
    </row>
    <row r="47" spans="2:31" x14ac:dyDescent="0.2">
      <c r="B47" s="15">
        <v>1</v>
      </c>
      <c r="C47" s="15">
        <v>3.7087608710433089</v>
      </c>
      <c r="D47" s="15">
        <v>1</v>
      </c>
      <c r="E47" s="15">
        <v>3.85</v>
      </c>
      <c r="F47" s="15">
        <v>1</v>
      </c>
      <c r="G47" s="15">
        <v>3.663752930176253</v>
      </c>
      <c r="H47" s="15">
        <v>1</v>
      </c>
      <c r="I47" s="15">
        <v>3.7195770000000001</v>
      </c>
      <c r="J47" s="15">
        <v>1</v>
      </c>
      <c r="K47" s="15">
        <v>3.708760871043308</v>
      </c>
      <c r="L47" s="15">
        <v>1</v>
      </c>
      <c r="M47" s="15">
        <v>3.831386441976254</v>
      </c>
      <c r="N47" s="15">
        <v>1</v>
      </c>
      <c r="O47" s="15">
        <v>3.6649891880396188</v>
      </c>
      <c r="P47" s="15">
        <v>1</v>
      </c>
      <c r="Q47" s="15">
        <v>3.0044040409246371</v>
      </c>
      <c r="R47" s="15">
        <v>1</v>
      </c>
      <c r="S47" s="15">
        <v>2.8086419220103909</v>
      </c>
      <c r="T47" s="15">
        <v>1</v>
      </c>
      <c r="U47" s="15">
        <v>3.6055132266980618</v>
      </c>
      <c r="V47" s="15">
        <v>2</v>
      </c>
      <c r="W47" s="15">
        <v>2.5310268402099609</v>
      </c>
      <c r="X47" s="15">
        <v>1</v>
      </c>
      <c r="Y47" s="15">
        <v>3.7993218104810849</v>
      </c>
      <c r="Z47" s="15">
        <v>1</v>
      </c>
      <c r="AA47" s="15">
        <v>3.51402735710144</v>
      </c>
      <c r="AB47" s="15">
        <v>1</v>
      </c>
      <c r="AC47" s="15">
        <v>3.044349206349207</v>
      </c>
      <c r="AD47" s="15">
        <v>1</v>
      </c>
      <c r="AE47" s="15">
        <v>2.645428571428571</v>
      </c>
    </row>
    <row r="48" spans="2:31" x14ac:dyDescent="0.2">
      <c r="B48" s="15">
        <v>4</v>
      </c>
      <c r="C48" s="15">
        <v>4.0433756171142896</v>
      </c>
      <c r="D48" s="15">
        <v>4</v>
      </c>
      <c r="E48" s="15">
        <v>4.1500000000000004</v>
      </c>
      <c r="F48" s="15">
        <v>4</v>
      </c>
      <c r="G48" s="15">
        <v>4.4157182516397846</v>
      </c>
      <c r="H48" s="15">
        <v>4</v>
      </c>
      <c r="I48" s="15">
        <v>4.3725233000000001</v>
      </c>
      <c r="J48" s="15">
        <v>4</v>
      </c>
      <c r="K48" s="15">
        <v>4.0433756171142896</v>
      </c>
      <c r="L48" s="15">
        <v>4</v>
      </c>
      <c r="M48" s="15">
        <v>4.3198225757112274</v>
      </c>
      <c r="N48" s="15">
        <v>4</v>
      </c>
      <c r="O48" s="15">
        <v>3.9228386477909551</v>
      </c>
      <c r="P48" s="15">
        <v>4</v>
      </c>
      <c r="Q48" s="15">
        <v>4.5680332933101848</v>
      </c>
      <c r="R48" s="15">
        <v>4</v>
      </c>
      <c r="S48" s="15">
        <v>4.5020874207645143</v>
      </c>
      <c r="T48" s="15">
        <v>4</v>
      </c>
      <c r="U48" s="15">
        <v>4.1410543881809039</v>
      </c>
      <c r="V48" s="15">
        <v>2</v>
      </c>
      <c r="W48" s="15">
        <v>2.2427480220794682</v>
      </c>
      <c r="X48" s="15">
        <v>4</v>
      </c>
      <c r="Y48" s="15">
        <v>4.0584781841215074</v>
      </c>
      <c r="Z48" s="15">
        <v>4</v>
      </c>
      <c r="AA48" s="15">
        <v>4.0622444152832031</v>
      </c>
      <c r="AB48" s="15">
        <v>4</v>
      </c>
      <c r="AC48" s="15">
        <v>4.7316666666666656</v>
      </c>
      <c r="AD48" s="15">
        <v>4</v>
      </c>
      <c r="AE48" s="15">
        <v>4.4666547619047634</v>
      </c>
    </row>
    <row r="49" spans="2:31" x14ac:dyDescent="0.2">
      <c r="B49" s="15">
        <v>3</v>
      </c>
      <c r="C49" s="15">
        <v>3.6157218040920021</v>
      </c>
      <c r="D49" s="15">
        <v>3</v>
      </c>
      <c r="E49" s="15">
        <v>3.52</v>
      </c>
      <c r="F49" s="15">
        <v>3</v>
      </c>
      <c r="G49" s="15">
        <v>3.409460256424218</v>
      </c>
      <c r="H49" s="15">
        <v>3</v>
      </c>
      <c r="I49" s="15">
        <v>3.5673870000000001</v>
      </c>
      <c r="J49" s="15">
        <v>3</v>
      </c>
      <c r="K49" s="15">
        <v>3.6157218040920021</v>
      </c>
      <c r="L49" s="15">
        <v>3</v>
      </c>
      <c r="M49" s="15">
        <v>3.7283003633427532</v>
      </c>
      <c r="N49" s="15">
        <v>3</v>
      </c>
      <c r="O49" s="15">
        <v>3.716739411006325</v>
      </c>
      <c r="P49" s="15">
        <v>3</v>
      </c>
      <c r="Q49" s="15">
        <v>3.3787451392010279</v>
      </c>
      <c r="R49" s="15">
        <v>3</v>
      </c>
      <c r="S49" s="15">
        <v>3.243775320314962</v>
      </c>
      <c r="T49" s="15">
        <v>3</v>
      </c>
      <c r="U49" s="15">
        <v>3.2965350239162858</v>
      </c>
      <c r="V49" s="15">
        <v>4</v>
      </c>
      <c r="W49" s="15">
        <v>3.5300569534301758</v>
      </c>
      <c r="X49" s="15">
        <v>3</v>
      </c>
      <c r="Y49" s="15">
        <v>3.7838344245994691</v>
      </c>
      <c r="Z49" s="15">
        <v>3</v>
      </c>
      <c r="AA49" s="15">
        <v>3.3274738788604741</v>
      </c>
      <c r="AB49" s="15">
        <v>3</v>
      </c>
      <c r="AC49" s="15">
        <v>3.4939642857142861</v>
      </c>
      <c r="AD49" s="15">
        <v>3</v>
      </c>
      <c r="AE49" s="15">
        <v>3.049555555555556</v>
      </c>
    </row>
    <row r="50" spans="2:31" x14ac:dyDescent="0.2">
      <c r="B50" s="15">
        <v>4</v>
      </c>
      <c r="C50" s="15">
        <v>3.4881626681707321</v>
      </c>
      <c r="D50" s="15">
        <v>4</v>
      </c>
      <c r="E50" s="15">
        <v>3.81</v>
      </c>
      <c r="F50" s="15">
        <v>4</v>
      </c>
      <c r="G50" s="15">
        <v>3.3865874609684541</v>
      </c>
      <c r="H50" s="15">
        <v>4</v>
      </c>
      <c r="I50" s="15">
        <v>3.2467012</v>
      </c>
      <c r="J50" s="15">
        <v>4</v>
      </c>
      <c r="K50" s="15">
        <v>3.4881626681707321</v>
      </c>
      <c r="L50" s="15">
        <v>4</v>
      </c>
      <c r="M50" s="15">
        <v>3.5958944281524921</v>
      </c>
      <c r="N50" s="15">
        <v>4</v>
      </c>
      <c r="O50" s="15">
        <v>3.4803793526780442</v>
      </c>
      <c r="P50" s="15">
        <v>4</v>
      </c>
      <c r="Q50" s="15">
        <v>4.0662401491219367</v>
      </c>
      <c r="R50" s="15">
        <v>4</v>
      </c>
      <c r="S50" s="15">
        <v>4.018917129924894</v>
      </c>
      <c r="T50" s="15">
        <v>4</v>
      </c>
      <c r="U50" s="15">
        <v>3.5362106956973531</v>
      </c>
      <c r="V50" s="15">
        <v>3</v>
      </c>
      <c r="W50" s="15">
        <v>3.5740232467651372</v>
      </c>
      <c r="X50" s="15">
        <v>4</v>
      </c>
      <c r="Y50" s="15">
        <v>3.711248984307804</v>
      </c>
      <c r="Z50" s="15">
        <v>4</v>
      </c>
      <c r="AA50" s="15">
        <v>3.4207761287689209</v>
      </c>
      <c r="AB50" s="15">
        <v>4</v>
      </c>
      <c r="AC50" s="15">
        <v>3.8479444444444448</v>
      </c>
      <c r="AD50" s="15">
        <v>4</v>
      </c>
      <c r="AE50" s="15">
        <v>3.9029047619047619</v>
      </c>
    </row>
    <row r="51" spans="2:31" x14ac:dyDescent="0.2">
      <c r="B51" s="15">
        <v>4</v>
      </c>
      <c r="C51" s="15">
        <v>3.8384512906360659</v>
      </c>
      <c r="D51" s="15">
        <v>4</v>
      </c>
      <c r="E51" s="15">
        <v>3.92</v>
      </c>
      <c r="F51" s="15">
        <v>4</v>
      </c>
      <c r="G51" s="15">
        <v>3.9245336372347319</v>
      </c>
      <c r="H51" s="15">
        <v>4</v>
      </c>
      <c r="I51" s="15">
        <v>3.8728821</v>
      </c>
      <c r="J51" s="15">
        <v>4</v>
      </c>
      <c r="K51" s="15">
        <v>3.8384512906360659</v>
      </c>
      <c r="L51" s="15">
        <v>4</v>
      </c>
      <c r="M51" s="15">
        <v>3.5714285714285721</v>
      </c>
      <c r="N51" s="15">
        <v>4</v>
      </c>
      <c r="O51" s="15">
        <v>3.2931439807823311</v>
      </c>
      <c r="P51" s="15">
        <v>4</v>
      </c>
      <c r="Q51" s="15">
        <v>3.1751487409317551</v>
      </c>
      <c r="R51" s="15">
        <v>4</v>
      </c>
      <c r="S51" s="15">
        <v>2.9439016325249008</v>
      </c>
      <c r="T51" s="15">
        <v>4</v>
      </c>
      <c r="U51" s="15">
        <v>3.46602834236033</v>
      </c>
      <c r="V51" s="15">
        <v>1</v>
      </c>
      <c r="W51" s="15">
        <v>2.390100479125977</v>
      </c>
      <c r="X51" s="15">
        <v>4</v>
      </c>
      <c r="Y51" s="15">
        <v>3.226865164052771</v>
      </c>
      <c r="Z51" s="15">
        <v>4</v>
      </c>
      <c r="AA51" s="15">
        <v>3.034113883972168</v>
      </c>
      <c r="AB51" s="15">
        <v>4</v>
      </c>
      <c r="AC51" s="15">
        <v>3.6733571428571432</v>
      </c>
      <c r="AD51" s="15">
        <v>4</v>
      </c>
      <c r="AE51" s="15">
        <v>3.3001071428571418</v>
      </c>
    </row>
    <row r="52" spans="2:31" x14ac:dyDescent="0.2">
      <c r="B52" s="15">
        <v>4</v>
      </c>
      <c r="C52" s="15">
        <v>3.8323946223761349</v>
      </c>
      <c r="D52" s="15">
        <v>4</v>
      </c>
      <c r="E52" s="15">
        <v>4.34</v>
      </c>
      <c r="F52" s="15">
        <v>4</v>
      </c>
      <c r="G52" s="15">
        <v>4.3043842464467659</v>
      </c>
      <c r="H52" s="15">
        <v>4</v>
      </c>
      <c r="I52" s="15">
        <v>4.3730900000000004</v>
      </c>
      <c r="J52" s="15">
        <v>4</v>
      </c>
      <c r="K52" s="15">
        <v>3.8323946223761349</v>
      </c>
      <c r="L52" s="15">
        <v>4</v>
      </c>
      <c r="M52" s="15">
        <v>4.1937967914438499</v>
      </c>
      <c r="N52" s="15">
        <v>4</v>
      </c>
      <c r="O52" s="15">
        <v>3.920480513400014</v>
      </c>
      <c r="P52" s="15">
        <v>4</v>
      </c>
      <c r="Q52" s="15">
        <v>4.3722198110900026</v>
      </c>
      <c r="R52" s="15">
        <v>4</v>
      </c>
      <c r="S52" s="15">
        <v>4.7602836057624556</v>
      </c>
      <c r="T52" s="15">
        <v>4</v>
      </c>
      <c r="U52" s="15">
        <v>3.9572745848756292</v>
      </c>
      <c r="V52" s="15">
        <v>4</v>
      </c>
      <c r="W52" s="15">
        <v>3.308601856231689</v>
      </c>
      <c r="X52" s="15">
        <v>4</v>
      </c>
      <c r="Y52" s="15">
        <v>3.9548001331386282</v>
      </c>
      <c r="Z52" s="15">
        <v>4</v>
      </c>
      <c r="AA52" s="15">
        <v>3.6367442607879639</v>
      </c>
      <c r="AB52" s="15">
        <v>4</v>
      </c>
      <c r="AC52" s="15">
        <v>4.2770000000000001</v>
      </c>
      <c r="AD52" s="15">
        <v>4</v>
      </c>
      <c r="AE52" s="15">
        <v>4.1711111111111112</v>
      </c>
    </row>
    <row r="53" spans="2:31" x14ac:dyDescent="0.2">
      <c r="B53" s="15">
        <v>3</v>
      </c>
      <c r="C53" s="15">
        <v>4.0062486227416887</v>
      </c>
      <c r="D53" s="15">
        <v>3</v>
      </c>
      <c r="E53" s="15">
        <v>4.57</v>
      </c>
      <c r="F53" s="15">
        <v>3</v>
      </c>
      <c r="G53" s="15">
        <v>4.4056164620266944</v>
      </c>
      <c r="H53" s="15">
        <v>3</v>
      </c>
      <c r="I53" s="15">
        <v>4.5514964999999998</v>
      </c>
      <c r="J53" s="15">
        <v>3</v>
      </c>
      <c r="K53" s="15">
        <v>4.0062486227416887</v>
      </c>
      <c r="L53" s="15">
        <v>3</v>
      </c>
      <c r="M53" s="15">
        <v>4.1486227721313886</v>
      </c>
      <c r="N53" s="15">
        <v>3</v>
      </c>
      <c r="O53" s="15">
        <v>4.0978701649849807</v>
      </c>
      <c r="P53" s="15">
        <v>3</v>
      </c>
      <c r="Q53" s="15">
        <v>4.6684704930560024</v>
      </c>
      <c r="R53" s="15">
        <v>3</v>
      </c>
      <c r="S53" s="15">
        <v>4.4292157519953532</v>
      </c>
      <c r="T53" s="15">
        <v>3</v>
      </c>
      <c r="U53" s="15">
        <v>4.5292549144637944</v>
      </c>
      <c r="V53" s="15">
        <v>1</v>
      </c>
      <c r="W53" s="15">
        <v>3.398097038269043</v>
      </c>
      <c r="X53" s="15">
        <v>3</v>
      </c>
      <c r="Y53" s="15">
        <v>4.3456789305051009</v>
      </c>
      <c r="Z53" s="15">
        <v>3</v>
      </c>
      <c r="AA53" s="15">
        <v>4.6490035057067871</v>
      </c>
      <c r="AB53" s="15">
        <v>3</v>
      </c>
      <c r="AC53" s="15">
        <v>4.8537857142857144</v>
      </c>
      <c r="AD53" s="15">
        <v>3</v>
      </c>
      <c r="AE53" s="15">
        <v>4.6023571428571417</v>
      </c>
    </row>
    <row r="54" spans="2:31" x14ac:dyDescent="0.2">
      <c r="B54" s="15">
        <v>2</v>
      </c>
      <c r="C54" s="15">
        <v>3.6739416006845298</v>
      </c>
      <c r="D54" s="15">
        <v>2</v>
      </c>
      <c r="E54" s="15">
        <v>2.54</v>
      </c>
      <c r="F54" s="15">
        <v>2</v>
      </c>
      <c r="G54" s="15">
        <v>2.8544025092944798</v>
      </c>
      <c r="H54" s="15">
        <v>2</v>
      </c>
      <c r="I54" s="15">
        <v>2.6994848</v>
      </c>
      <c r="J54" s="15">
        <v>2</v>
      </c>
      <c r="K54" s="15">
        <v>3.6739416006845298</v>
      </c>
      <c r="L54" s="15">
        <v>2</v>
      </c>
      <c r="M54" s="15">
        <v>2.8082987551867218</v>
      </c>
      <c r="N54" s="15">
        <v>2</v>
      </c>
      <c r="O54" s="15">
        <v>3.8811207044784961</v>
      </c>
      <c r="P54" s="15">
        <v>2</v>
      </c>
      <c r="Q54" s="15">
        <v>3.237877094808074</v>
      </c>
      <c r="R54" s="15">
        <v>2</v>
      </c>
      <c r="S54" s="15">
        <v>3.4055130056000751</v>
      </c>
      <c r="T54" s="15">
        <v>2</v>
      </c>
      <c r="U54" s="15">
        <v>3.8557868681900538</v>
      </c>
      <c r="V54" s="15">
        <v>4</v>
      </c>
      <c r="W54" s="15">
        <v>3.9079031944274898</v>
      </c>
      <c r="X54" s="15">
        <v>2</v>
      </c>
      <c r="Y54" s="15">
        <v>4.0579462858924602</v>
      </c>
      <c r="Z54" s="15">
        <v>2</v>
      </c>
      <c r="AA54" s="15">
        <v>4.133204460144043</v>
      </c>
      <c r="AB54" s="15">
        <v>2</v>
      </c>
      <c r="AC54" s="15">
        <v>3.2366666666666659</v>
      </c>
      <c r="AD54" s="15">
        <v>2</v>
      </c>
      <c r="AE54" s="15">
        <v>3.384666666666666</v>
      </c>
    </row>
    <row r="55" spans="2:31" x14ac:dyDescent="0.2">
      <c r="B55" s="15">
        <v>3</v>
      </c>
      <c r="C55" s="15">
        <v>3.6772622447179701</v>
      </c>
      <c r="D55" s="15">
        <v>3</v>
      </c>
      <c r="E55" s="15">
        <v>3.71</v>
      </c>
      <c r="F55" s="15">
        <v>3</v>
      </c>
      <c r="G55" s="15">
        <v>3.66506285170215</v>
      </c>
      <c r="H55" s="15">
        <v>3</v>
      </c>
      <c r="I55" s="15">
        <v>3.4135027</v>
      </c>
      <c r="J55" s="15">
        <v>3</v>
      </c>
      <c r="K55" s="15">
        <v>3.6772622447179701</v>
      </c>
      <c r="L55" s="15">
        <v>3</v>
      </c>
      <c r="M55" s="15">
        <v>3.8227938549481961</v>
      </c>
      <c r="N55" s="15">
        <v>3</v>
      </c>
      <c r="O55" s="15">
        <v>3.2188396710607279</v>
      </c>
      <c r="P55" s="15">
        <v>3</v>
      </c>
      <c r="Q55" s="15">
        <v>3.549996459645997</v>
      </c>
      <c r="R55" s="15">
        <v>3</v>
      </c>
      <c r="S55" s="15">
        <v>3.9488223749598022</v>
      </c>
      <c r="T55" s="15">
        <v>3</v>
      </c>
      <c r="U55" s="15">
        <v>3.6090031010018371</v>
      </c>
      <c r="V55" s="15">
        <v>1</v>
      </c>
      <c r="W55" s="15">
        <v>3.4425349235534668</v>
      </c>
      <c r="X55" s="15">
        <v>3</v>
      </c>
      <c r="Y55" s="15">
        <v>3.3640464215744461</v>
      </c>
      <c r="Z55" s="15">
        <v>3</v>
      </c>
      <c r="AA55" s="15">
        <v>3.601806640625</v>
      </c>
      <c r="AB55" s="15">
        <v>3</v>
      </c>
      <c r="AC55" s="15">
        <v>3.4315238095238101</v>
      </c>
      <c r="AD55" s="15">
        <v>3</v>
      </c>
      <c r="AE55" s="15">
        <v>3.5672063492063502</v>
      </c>
    </row>
    <row r="56" spans="2:31" x14ac:dyDescent="0.2">
      <c r="B56" s="15">
        <v>4</v>
      </c>
      <c r="C56" s="15">
        <v>3.962242828627399</v>
      </c>
      <c r="D56" s="15">
        <v>4</v>
      </c>
      <c r="E56" s="15">
        <v>4.12</v>
      </c>
      <c r="F56" s="15">
        <v>4</v>
      </c>
      <c r="G56" s="15">
        <v>4.0360035792425641</v>
      </c>
      <c r="H56" s="15">
        <v>4</v>
      </c>
      <c r="I56" s="15">
        <v>3.9842233999999999</v>
      </c>
      <c r="J56" s="15">
        <v>4</v>
      </c>
      <c r="K56" s="15">
        <v>3.962242828627399</v>
      </c>
      <c r="L56" s="15">
        <v>4</v>
      </c>
      <c r="M56" s="15">
        <v>3.5958944281524921</v>
      </c>
      <c r="N56" s="15">
        <v>4</v>
      </c>
      <c r="O56" s="15">
        <v>4.2807150724600049</v>
      </c>
      <c r="P56" s="15">
        <v>4</v>
      </c>
      <c r="Q56" s="15">
        <v>4.537144853935076</v>
      </c>
      <c r="R56" s="15">
        <v>4</v>
      </c>
      <c r="S56" s="15">
        <v>4.6442500133937266</v>
      </c>
      <c r="T56" s="15">
        <v>4</v>
      </c>
      <c r="U56" s="15">
        <v>3.9895667345784571</v>
      </c>
      <c r="V56" s="15">
        <v>2</v>
      </c>
      <c r="W56" s="15">
        <v>1.660836935043335</v>
      </c>
      <c r="X56" s="15">
        <v>4</v>
      </c>
      <c r="Y56" s="15">
        <v>3.9937784816483912</v>
      </c>
      <c r="Z56" s="15">
        <v>4</v>
      </c>
      <c r="AA56" s="15">
        <v>4.1159982681274414</v>
      </c>
      <c r="AB56" s="15">
        <v>4</v>
      </c>
      <c r="AC56" s="15">
        <v>4.41</v>
      </c>
      <c r="AD56" s="15">
        <v>4</v>
      </c>
      <c r="AE56" s="15">
        <v>4.5201666666666664</v>
      </c>
    </row>
    <row r="57" spans="2:31" x14ac:dyDescent="0.2">
      <c r="B57" s="15">
        <v>3</v>
      </c>
      <c r="C57" s="15">
        <v>3.2408093499201431</v>
      </c>
      <c r="D57" s="15">
        <v>3</v>
      </c>
      <c r="E57" s="15">
        <v>2.78</v>
      </c>
      <c r="F57" s="15">
        <v>3</v>
      </c>
      <c r="G57" s="15">
        <v>2.5241673531780071</v>
      </c>
      <c r="H57" s="15">
        <v>3</v>
      </c>
      <c r="I57" s="15">
        <v>2.6987505000000001</v>
      </c>
      <c r="J57" s="15">
        <v>3</v>
      </c>
      <c r="K57" s="15">
        <v>3.2408093499201431</v>
      </c>
      <c r="L57" s="15">
        <v>3</v>
      </c>
      <c r="M57" s="15">
        <v>2.8082987551867218</v>
      </c>
      <c r="N57" s="15">
        <v>3</v>
      </c>
      <c r="O57" s="15">
        <v>2.71778355481421</v>
      </c>
      <c r="P57" s="15">
        <v>3</v>
      </c>
      <c r="Q57" s="15">
        <v>2.207734509973486</v>
      </c>
      <c r="R57" s="15">
        <v>3</v>
      </c>
      <c r="S57" s="15">
        <v>2.5755569763519981</v>
      </c>
      <c r="T57" s="15">
        <v>3</v>
      </c>
      <c r="U57" s="15">
        <v>3.2530886515351929</v>
      </c>
      <c r="V57" s="15">
        <v>2</v>
      </c>
      <c r="W57" s="15">
        <v>3.4914977550506592</v>
      </c>
      <c r="X57" s="15">
        <v>3</v>
      </c>
      <c r="Y57" s="15">
        <v>3.0207387789548279</v>
      </c>
      <c r="Z57" s="15">
        <v>3</v>
      </c>
      <c r="AA57" s="15">
        <v>2.6034712791442871</v>
      </c>
      <c r="AB57" s="15">
        <v>3</v>
      </c>
      <c r="AC57" s="15">
        <v>2.5435238095238102</v>
      </c>
      <c r="AD57" s="15">
        <v>3</v>
      </c>
      <c r="AE57" s="15">
        <v>3.149119047619048</v>
      </c>
    </row>
    <row r="58" spans="2:31" x14ac:dyDescent="0.2">
      <c r="B58" s="15">
        <v>4</v>
      </c>
      <c r="C58" s="15">
        <v>3.5157050921737292</v>
      </c>
      <c r="D58" s="15">
        <v>4</v>
      </c>
      <c r="E58" s="15">
        <v>4.32</v>
      </c>
      <c r="F58" s="15">
        <v>4</v>
      </c>
      <c r="G58" s="15">
        <v>4.2795016402906088</v>
      </c>
      <c r="H58" s="15">
        <v>4</v>
      </c>
      <c r="I58" s="15">
        <v>4.1591433999999996</v>
      </c>
      <c r="J58" s="15">
        <v>4</v>
      </c>
      <c r="K58" s="15">
        <v>3.5157050921737292</v>
      </c>
      <c r="L58" s="15">
        <v>4</v>
      </c>
      <c r="M58" s="15">
        <v>4.3643724696356276</v>
      </c>
      <c r="N58" s="15">
        <v>4</v>
      </c>
      <c r="O58" s="15">
        <v>3.4805561207379219</v>
      </c>
      <c r="P58" s="15">
        <v>4</v>
      </c>
      <c r="Q58" s="15">
        <v>3.590975410419837</v>
      </c>
      <c r="R58" s="15">
        <v>4</v>
      </c>
      <c r="S58" s="15">
        <v>3.5525546540313</v>
      </c>
      <c r="T58" s="15">
        <v>4</v>
      </c>
      <c r="U58" s="15">
        <v>3.9466000802733419</v>
      </c>
      <c r="V58" s="15">
        <v>3</v>
      </c>
      <c r="W58" s="15">
        <v>3.7742176055908199</v>
      </c>
      <c r="X58" s="15">
        <v>4</v>
      </c>
      <c r="Y58" s="15">
        <v>4.005797409571402</v>
      </c>
      <c r="Z58" s="15">
        <v>4</v>
      </c>
      <c r="AA58" s="15">
        <v>4.0700511932373047</v>
      </c>
      <c r="AB58" s="15">
        <v>4</v>
      </c>
      <c r="AC58" s="15">
        <v>4.3930833333333341</v>
      </c>
      <c r="AD58" s="15">
        <v>4</v>
      </c>
      <c r="AE58" s="15">
        <v>3.6772738095238089</v>
      </c>
    </row>
    <row r="59" spans="2:31" x14ac:dyDescent="0.2">
      <c r="B59" s="15">
        <v>2</v>
      </c>
      <c r="C59" s="15">
        <v>3.784080531488959</v>
      </c>
      <c r="D59" s="15">
        <v>2</v>
      </c>
      <c r="E59" s="15">
        <v>3.75</v>
      </c>
      <c r="F59" s="15">
        <v>2</v>
      </c>
      <c r="G59" s="15">
        <v>3.8625454651432118</v>
      </c>
      <c r="H59" s="15">
        <v>2</v>
      </c>
      <c r="I59" s="15">
        <v>3.9228784999999999</v>
      </c>
      <c r="J59" s="15">
        <v>2</v>
      </c>
      <c r="K59" s="15">
        <v>3.784080531488959</v>
      </c>
      <c r="L59" s="15">
        <v>2</v>
      </c>
      <c r="M59" s="15">
        <v>3.859941844364442</v>
      </c>
      <c r="N59" s="15">
        <v>2</v>
      </c>
      <c r="O59" s="15">
        <v>3.026522765487663</v>
      </c>
      <c r="P59" s="15">
        <v>2</v>
      </c>
      <c r="Q59" s="15">
        <v>2.9338561510840582</v>
      </c>
      <c r="R59" s="15">
        <v>2</v>
      </c>
      <c r="S59" s="15">
        <v>3.1410797225860252</v>
      </c>
      <c r="T59" s="15">
        <v>2</v>
      </c>
      <c r="U59" s="15">
        <v>3.0450217174760992</v>
      </c>
      <c r="V59" s="15">
        <v>4</v>
      </c>
      <c r="W59" s="15">
        <v>3.7408807277679439</v>
      </c>
      <c r="X59" s="15">
        <v>2</v>
      </c>
      <c r="Y59" s="15">
        <v>3.3355235802248382</v>
      </c>
      <c r="Z59" s="15">
        <v>2</v>
      </c>
      <c r="AA59" s="15">
        <v>2.481709241867065</v>
      </c>
      <c r="AB59" s="15">
        <v>2</v>
      </c>
      <c r="AC59" s="15">
        <v>2.9834404761904749</v>
      </c>
      <c r="AD59" s="15">
        <v>2</v>
      </c>
      <c r="AE59" s="15">
        <v>3.0876190476190479</v>
      </c>
    </row>
    <row r="60" spans="2:31" x14ac:dyDescent="0.2">
      <c r="B60" s="15">
        <v>3</v>
      </c>
      <c r="C60" s="15">
        <v>3.7842829328866849</v>
      </c>
      <c r="D60" s="15">
        <v>3</v>
      </c>
      <c r="E60" s="15">
        <v>3.67</v>
      </c>
      <c r="F60" s="15">
        <v>3</v>
      </c>
      <c r="G60" s="15">
        <v>3.7665159633523149</v>
      </c>
      <c r="H60" s="15">
        <v>3</v>
      </c>
      <c r="I60" s="15">
        <v>3.8315589999999999</v>
      </c>
      <c r="J60" s="15">
        <v>3</v>
      </c>
      <c r="K60" s="15">
        <v>3.7842829328866849</v>
      </c>
      <c r="L60" s="15">
        <v>3</v>
      </c>
      <c r="M60" s="15">
        <v>3.766025641025641</v>
      </c>
      <c r="N60" s="15">
        <v>3</v>
      </c>
      <c r="O60" s="15">
        <v>3.6614141687850541</v>
      </c>
      <c r="P60" s="15">
        <v>3</v>
      </c>
      <c r="Q60" s="15">
        <v>4.451223495985376</v>
      </c>
      <c r="R60" s="15">
        <v>3</v>
      </c>
      <c r="S60" s="15">
        <v>4.5733200743795503</v>
      </c>
      <c r="T60" s="15">
        <v>3</v>
      </c>
      <c r="U60" s="15">
        <v>3.9513802262087219</v>
      </c>
      <c r="V60" s="15">
        <v>5</v>
      </c>
      <c r="W60" s="15">
        <v>5.0989522933959961</v>
      </c>
      <c r="X60" s="15">
        <v>3</v>
      </c>
      <c r="Y60" s="15">
        <v>4.0551064996045696</v>
      </c>
      <c r="Z60" s="15">
        <v>3</v>
      </c>
      <c r="AA60" s="15">
        <v>3.1469161510467529</v>
      </c>
      <c r="AB60" s="15">
        <v>3</v>
      </c>
      <c r="AC60" s="15">
        <v>3.9560396825396831</v>
      </c>
      <c r="AD60" s="15">
        <v>3</v>
      </c>
      <c r="AE60" s="15">
        <v>4.4604285714285714</v>
      </c>
    </row>
    <row r="61" spans="2:31" x14ac:dyDescent="0.2">
      <c r="B61" s="15">
        <v>5</v>
      </c>
      <c r="C61" s="15">
        <v>3.8095944996529121</v>
      </c>
      <c r="D61" s="15">
        <v>5</v>
      </c>
      <c r="E61" s="15">
        <v>3.86</v>
      </c>
      <c r="F61" s="15">
        <v>5</v>
      </c>
      <c r="G61" s="15">
        <v>3.874165653647716</v>
      </c>
      <c r="H61" s="15">
        <v>5</v>
      </c>
      <c r="I61" s="15">
        <v>3.9835246</v>
      </c>
      <c r="J61" s="15">
        <v>5</v>
      </c>
      <c r="K61" s="15">
        <v>3.8095944996529121</v>
      </c>
      <c r="L61" s="15">
        <v>5</v>
      </c>
      <c r="M61" s="15">
        <v>4.0128452151573537</v>
      </c>
      <c r="N61" s="15">
        <v>5</v>
      </c>
      <c r="O61" s="15">
        <v>3.9401533166056191</v>
      </c>
      <c r="P61" s="15">
        <v>5</v>
      </c>
      <c r="Q61" s="15">
        <v>4.2758219492078036</v>
      </c>
      <c r="R61" s="15">
        <v>5</v>
      </c>
      <c r="S61" s="15">
        <v>4.0969893168892737</v>
      </c>
      <c r="T61" s="15">
        <v>5</v>
      </c>
      <c r="U61" s="15">
        <v>3.7777999874387351</v>
      </c>
      <c r="V61" s="15">
        <v>4</v>
      </c>
      <c r="W61" s="15">
        <v>4.149867057800293</v>
      </c>
      <c r="X61" s="15">
        <v>5</v>
      </c>
      <c r="Y61" s="15">
        <v>4.0317319263185976</v>
      </c>
      <c r="Z61" s="15">
        <v>5</v>
      </c>
      <c r="AA61" s="15">
        <v>4.0960102081298828</v>
      </c>
      <c r="AB61" s="15">
        <v>5</v>
      </c>
      <c r="AC61" s="15">
        <v>4.4071666666666669</v>
      </c>
      <c r="AD61" s="15">
        <v>5</v>
      </c>
      <c r="AE61" s="15">
        <v>4.3245357142857141</v>
      </c>
    </row>
    <row r="62" spans="2:31" x14ac:dyDescent="0.2">
      <c r="B62" s="15">
        <v>3</v>
      </c>
      <c r="C62" s="15">
        <v>3.673207020433034</v>
      </c>
      <c r="D62" s="15">
        <v>3</v>
      </c>
      <c r="E62" s="15">
        <v>4</v>
      </c>
      <c r="F62" s="15">
        <v>3</v>
      </c>
      <c r="G62" s="15">
        <v>3.7963331480323501</v>
      </c>
      <c r="H62" s="15">
        <v>3</v>
      </c>
      <c r="I62" s="15">
        <v>3.9401538</v>
      </c>
      <c r="J62" s="15">
        <v>3</v>
      </c>
      <c r="K62" s="15">
        <v>3.673207020433034</v>
      </c>
      <c r="L62" s="15">
        <v>3</v>
      </c>
      <c r="M62" s="15">
        <v>4.1691297208538591</v>
      </c>
      <c r="N62" s="15">
        <v>3</v>
      </c>
      <c r="O62" s="15">
        <v>3.589139610082634</v>
      </c>
      <c r="P62" s="15">
        <v>3</v>
      </c>
      <c r="Q62" s="15">
        <v>3.347579413978234</v>
      </c>
      <c r="R62" s="15">
        <v>3</v>
      </c>
      <c r="S62" s="15">
        <v>3.181589690873714</v>
      </c>
      <c r="T62" s="15">
        <v>3</v>
      </c>
      <c r="U62" s="15">
        <v>3.985439735492466</v>
      </c>
      <c r="V62" s="15">
        <v>3</v>
      </c>
      <c r="W62" s="15">
        <v>3.5867269039154048</v>
      </c>
      <c r="X62" s="15">
        <v>3</v>
      </c>
      <c r="Y62" s="15">
        <v>3.437741135582308</v>
      </c>
      <c r="Z62" s="15">
        <v>3</v>
      </c>
      <c r="AA62" s="15">
        <v>3.7462034225463872</v>
      </c>
      <c r="AB62" s="15">
        <v>3</v>
      </c>
      <c r="AC62" s="15">
        <v>3.5926428571428568</v>
      </c>
      <c r="AD62" s="15">
        <v>3</v>
      </c>
      <c r="AE62" s="15">
        <v>3.246511904761904</v>
      </c>
    </row>
    <row r="63" spans="2:31" x14ac:dyDescent="0.2">
      <c r="B63" s="15">
        <v>4</v>
      </c>
      <c r="C63" s="15">
        <v>3.611950981644819</v>
      </c>
      <c r="D63" s="15">
        <v>4</v>
      </c>
      <c r="E63" s="15">
        <v>3.49</v>
      </c>
      <c r="F63" s="15">
        <v>4</v>
      </c>
      <c r="G63" s="15">
        <v>3.6238208601377822</v>
      </c>
      <c r="H63" s="15">
        <v>4</v>
      </c>
      <c r="I63" s="15">
        <v>3.5787930000000001</v>
      </c>
      <c r="J63" s="15">
        <v>4</v>
      </c>
      <c r="K63" s="15">
        <v>3.611950981644819</v>
      </c>
      <c r="L63" s="15">
        <v>4</v>
      </c>
      <c r="M63" s="15">
        <v>3.6448673277941568</v>
      </c>
      <c r="N63" s="15">
        <v>4</v>
      </c>
      <c r="O63" s="15">
        <v>3.6582163127747358</v>
      </c>
      <c r="P63" s="15">
        <v>4</v>
      </c>
      <c r="Q63" s="15">
        <v>3.6525151040618038</v>
      </c>
      <c r="R63" s="15">
        <v>4</v>
      </c>
      <c r="S63" s="15">
        <v>3.6708731209602981</v>
      </c>
      <c r="T63" s="15">
        <v>4</v>
      </c>
      <c r="U63" s="15">
        <v>4.0843718211451154</v>
      </c>
      <c r="V63" s="15">
        <v>4</v>
      </c>
      <c r="W63" s="15">
        <v>4.2612504959106454</v>
      </c>
      <c r="X63" s="15">
        <v>4</v>
      </c>
      <c r="Y63" s="15">
        <v>3.4763742731142728</v>
      </c>
      <c r="Z63" s="15">
        <v>4</v>
      </c>
      <c r="AA63" s="15">
        <v>3.2324106693267818</v>
      </c>
      <c r="AB63" s="15">
        <v>4</v>
      </c>
      <c r="AC63" s="15">
        <v>3.8114999999999992</v>
      </c>
      <c r="AD63" s="15">
        <v>4</v>
      </c>
      <c r="AE63" s="15">
        <v>3.3523928571428572</v>
      </c>
    </row>
    <row r="64" spans="2:31" x14ac:dyDescent="0.2">
      <c r="B64" s="15">
        <v>3</v>
      </c>
      <c r="C64" s="15">
        <v>3.8232923432168122</v>
      </c>
      <c r="D64" s="15">
        <v>3</v>
      </c>
      <c r="E64" s="15">
        <v>3.89</v>
      </c>
      <c r="F64" s="15">
        <v>3</v>
      </c>
      <c r="G64" s="15">
        <v>3.7265534453456168</v>
      </c>
      <c r="H64" s="15">
        <v>3</v>
      </c>
      <c r="I64" s="15">
        <v>3.8005295000000001</v>
      </c>
      <c r="J64" s="15">
        <v>3</v>
      </c>
      <c r="K64" s="15">
        <v>3.8232923432168122</v>
      </c>
      <c r="L64" s="15">
        <v>3</v>
      </c>
      <c r="M64" s="15">
        <v>3.7917898193760262</v>
      </c>
      <c r="N64" s="15">
        <v>3</v>
      </c>
      <c r="O64" s="15">
        <v>3.700221345451649</v>
      </c>
      <c r="P64" s="15">
        <v>3</v>
      </c>
      <c r="Q64" s="15">
        <v>3.3295648393227579</v>
      </c>
      <c r="R64" s="15">
        <v>3</v>
      </c>
      <c r="S64" s="15">
        <v>3.2291710369491899</v>
      </c>
      <c r="T64" s="15">
        <v>3</v>
      </c>
      <c r="U64" s="15">
        <v>3.921324338739145</v>
      </c>
      <c r="V64" s="15">
        <v>5</v>
      </c>
      <c r="W64" s="15">
        <v>4.2096309661865234</v>
      </c>
      <c r="X64" s="15">
        <v>3</v>
      </c>
      <c r="Y64" s="15">
        <v>3.6380370377851161</v>
      </c>
      <c r="Z64" s="15">
        <v>3</v>
      </c>
      <c r="AA64" s="15">
        <v>3.4499130249023442</v>
      </c>
      <c r="AB64" s="15">
        <v>3</v>
      </c>
      <c r="AC64" s="15">
        <v>3.5926904761904761</v>
      </c>
      <c r="AD64" s="15">
        <v>3</v>
      </c>
      <c r="AE64" s="15">
        <v>3.020126623376624</v>
      </c>
    </row>
    <row r="65" spans="2:31" x14ac:dyDescent="0.2">
      <c r="B65" s="15">
        <v>5</v>
      </c>
      <c r="C65" s="15">
        <v>3.5997692004037352</v>
      </c>
      <c r="D65" s="15">
        <v>5</v>
      </c>
      <c r="E65" s="15">
        <v>4.0999999999999996</v>
      </c>
      <c r="F65" s="15">
        <v>5</v>
      </c>
      <c r="G65" s="15">
        <v>3.6892645241068158</v>
      </c>
      <c r="H65" s="15">
        <v>5</v>
      </c>
      <c r="I65" s="15">
        <v>3.6122339000000001</v>
      </c>
      <c r="J65" s="15">
        <v>5</v>
      </c>
      <c r="K65" s="15">
        <v>3.5997692004037352</v>
      </c>
      <c r="L65" s="15">
        <v>5</v>
      </c>
      <c r="M65" s="15">
        <v>4.0128452151573537</v>
      </c>
      <c r="N65" s="15">
        <v>5</v>
      </c>
      <c r="O65" s="15">
        <v>3.695464326646285</v>
      </c>
      <c r="P65" s="15">
        <v>5</v>
      </c>
      <c r="Q65" s="15">
        <v>4.1596819408355081</v>
      </c>
      <c r="R65" s="15">
        <v>5</v>
      </c>
      <c r="S65" s="15">
        <v>4.4048606834360102</v>
      </c>
      <c r="T65" s="15">
        <v>5</v>
      </c>
      <c r="U65" s="15">
        <v>3.6153004381098759</v>
      </c>
      <c r="V65" s="15">
        <v>5</v>
      </c>
      <c r="W65" s="15">
        <v>4.4599146842956543</v>
      </c>
      <c r="X65" s="15">
        <v>5</v>
      </c>
      <c r="Y65" s="15">
        <v>3.6368917316199281</v>
      </c>
      <c r="Z65" s="15">
        <v>5</v>
      </c>
      <c r="AA65" s="15">
        <v>3.6522941589355469</v>
      </c>
      <c r="AB65" s="15">
        <v>5</v>
      </c>
      <c r="AC65" s="15">
        <v>4.2149166666666664</v>
      </c>
      <c r="AD65" s="15">
        <v>5</v>
      </c>
      <c r="AE65" s="15">
        <v>4.2513333333333341</v>
      </c>
    </row>
    <row r="66" spans="2:31" x14ac:dyDescent="0.2">
      <c r="B66" s="15">
        <v>4</v>
      </c>
      <c r="C66" s="15">
        <v>3.26817478353987</v>
      </c>
      <c r="D66" s="15">
        <v>4</v>
      </c>
      <c r="E66" s="15">
        <v>3.68</v>
      </c>
      <c r="F66" s="15">
        <v>4</v>
      </c>
      <c r="G66" s="15">
        <v>3.6009019432647111</v>
      </c>
      <c r="H66" s="15">
        <v>4</v>
      </c>
      <c r="I66" s="15">
        <v>3.5127117999999999</v>
      </c>
      <c r="J66" s="15">
        <v>4</v>
      </c>
      <c r="K66" s="15">
        <v>3.26817478353987</v>
      </c>
      <c r="L66" s="15">
        <v>4</v>
      </c>
      <c r="M66" s="15">
        <v>3.7990622906898861</v>
      </c>
      <c r="N66" s="15">
        <v>4</v>
      </c>
      <c r="O66" s="15">
        <v>3.0252913604285521</v>
      </c>
      <c r="P66" s="15">
        <v>4</v>
      </c>
      <c r="Q66" s="15">
        <v>2.6323447899225831</v>
      </c>
      <c r="R66" s="15">
        <v>4</v>
      </c>
      <c r="S66" s="15">
        <v>2.5764645660744381</v>
      </c>
      <c r="T66" s="15">
        <v>4</v>
      </c>
      <c r="U66" s="15">
        <v>3.5058968714700809</v>
      </c>
      <c r="V66" s="15">
        <v>4</v>
      </c>
      <c r="W66" s="15">
        <v>3.035863876342773</v>
      </c>
      <c r="X66" s="15">
        <v>4</v>
      </c>
      <c r="Y66" s="15">
        <v>2.333507474280216</v>
      </c>
      <c r="Z66" s="15">
        <v>4</v>
      </c>
      <c r="AA66" s="15">
        <v>3.1825859546661381</v>
      </c>
      <c r="AB66" s="15">
        <v>4</v>
      </c>
      <c r="AC66" s="15">
        <v>2.8778690476190469</v>
      </c>
      <c r="AD66" s="15">
        <v>4</v>
      </c>
      <c r="AE66" s="15">
        <v>2.415908008658008</v>
      </c>
    </row>
    <row r="67" spans="2:31" x14ac:dyDescent="0.2">
      <c r="B67" s="15">
        <v>4</v>
      </c>
      <c r="C67" s="15">
        <v>3.6444289026222818</v>
      </c>
      <c r="D67" s="15">
        <v>4</v>
      </c>
      <c r="E67" s="15">
        <v>3.77</v>
      </c>
      <c r="F67" s="15">
        <v>4</v>
      </c>
      <c r="G67" s="15">
        <v>3.451480559200252</v>
      </c>
      <c r="H67" s="15">
        <v>4</v>
      </c>
      <c r="I67" s="15">
        <v>3.4629514000000001</v>
      </c>
      <c r="J67" s="15">
        <v>4</v>
      </c>
      <c r="K67" s="15">
        <v>3.6444289026222818</v>
      </c>
      <c r="L67" s="15">
        <v>4</v>
      </c>
      <c r="M67" s="15">
        <v>3.3870395028850422</v>
      </c>
      <c r="N67" s="15">
        <v>4</v>
      </c>
      <c r="O67" s="15">
        <v>3.8271342724055399</v>
      </c>
      <c r="P67" s="15">
        <v>4</v>
      </c>
      <c r="Q67" s="15">
        <v>3.6587918338930061</v>
      </c>
      <c r="R67" s="15">
        <v>4</v>
      </c>
      <c r="S67" s="15">
        <v>3.7767422713742889</v>
      </c>
      <c r="T67" s="15">
        <v>4</v>
      </c>
      <c r="U67" s="15">
        <v>3.7341010030766411</v>
      </c>
      <c r="V67" s="15">
        <v>5</v>
      </c>
      <c r="W67" s="15">
        <v>4.2868528366088867</v>
      </c>
      <c r="X67" s="15">
        <v>4</v>
      </c>
      <c r="Y67" s="15">
        <v>3.8891294953893141</v>
      </c>
      <c r="Z67" s="15">
        <v>4</v>
      </c>
      <c r="AA67" s="15">
        <v>3.5631520748138432</v>
      </c>
      <c r="AB67" s="15">
        <v>4</v>
      </c>
      <c r="AC67" s="15">
        <v>3.83604761904762</v>
      </c>
      <c r="AD67" s="15">
        <v>4</v>
      </c>
      <c r="AE67" s="15">
        <v>3.7226547619047619</v>
      </c>
    </row>
    <row r="68" spans="2:31" x14ac:dyDescent="0.2">
      <c r="B68" s="15">
        <v>3</v>
      </c>
      <c r="C68" s="15">
        <v>3.647538893051733</v>
      </c>
      <c r="D68" s="15">
        <v>3</v>
      </c>
      <c r="E68" s="15">
        <v>3.59</v>
      </c>
      <c r="F68" s="15">
        <v>3</v>
      </c>
      <c r="G68" s="15">
        <v>3.7017039625557611</v>
      </c>
      <c r="H68" s="15">
        <v>3</v>
      </c>
      <c r="I68" s="15">
        <v>3.6614616</v>
      </c>
      <c r="J68" s="15">
        <v>3</v>
      </c>
      <c r="K68" s="15">
        <v>3.647538893051733</v>
      </c>
      <c r="L68" s="15">
        <v>3</v>
      </c>
      <c r="M68" s="15">
        <v>4.0956156716417906</v>
      </c>
      <c r="N68" s="15">
        <v>3</v>
      </c>
      <c r="O68" s="15">
        <v>3.3591188372298939</v>
      </c>
      <c r="P68" s="15">
        <v>3</v>
      </c>
      <c r="Q68" s="15">
        <v>2.9394262281916781</v>
      </c>
      <c r="R68" s="15">
        <v>3</v>
      </c>
      <c r="S68" s="15">
        <v>3.230985324272464</v>
      </c>
      <c r="T68" s="15">
        <v>3</v>
      </c>
      <c r="U68" s="15">
        <v>3.1705573541911432</v>
      </c>
      <c r="V68" s="15">
        <v>4</v>
      </c>
      <c r="W68" s="15">
        <v>3.8334827423095699</v>
      </c>
      <c r="X68" s="15">
        <v>3</v>
      </c>
      <c r="Y68" s="15">
        <v>3.5696462233418131</v>
      </c>
      <c r="Z68" s="15">
        <v>3</v>
      </c>
      <c r="AA68" s="15">
        <v>3.2246427536010742</v>
      </c>
      <c r="AB68" s="15">
        <v>3</v>
      </c>
      <c r="AC68" s="15">
        <v>3.2359365079365068</v>
      </c>
      <c r="AD68" s="15">
        <v>3</v>
      </c>
      <c r="AE68" s="15">
        <v>3.2758452380952381</v>
      </c>
    </row>
    <row r="69" spans="2:31" x14ac:dyDescent="0.2">
      <c r="B69" s="15">
        <v>4</v>
      </c>
      <c r="C69" s="15">
        <v>3.6040626815897112</v>
      </c>
      <c r="D69" s="15">
        <v>4</v>
      </c>
      <c r="E69" s="15">
        <v>3.5</v>
      </c>
      <c r="F69" s="15">
        <v>4</v>
      </c>
      <c r="G69" s="15">
        <v>3.6868463192442422</v>
      </c>
      <c r="H69" s="15">
        <v>4</v>
      </c>
      <c r="I69" s="15">
        <v>3.6699345000000001</v>
      </c>
      <c r="J69" s="15">
        <v>4</v>
      </c>
      <c r="K69" s="15">
        <v>3.6040626815897112</v>
      </c>
      <c r="L69" s="15">
        <v>4</v>
      </c>
      <c r="M69" s="15">
        <v>3.831386441976254</v>
      </c>
      <c r="N69" s="15">
        <v>4</v>
      </c>
      <c r="O69" s="15">
        <v>3.363046994095845</v>
      </c>
      <c r="P69" s="15">
        <v>4</v>
      </c>
      <c r="Q69" s="15">
        <v>3.660085188245576</v>
      </c>
      <c r="R69" s="15">
        <v>4</v>
      </c>
      <c r="S69" s="15">
        <v>3.5104804002117831</v>
      </c>
      <c r="T69" s="15">
        <v>4</v>
      </c>
      <c r="U69" s="15">
        <v>3.2239917328388499</v>
      </c>
      <c r="V69" s="15">
        <v>3</v>
      </c>
      <c r="W69" s="15">
        <v>3.1090693473815918</v>
      </c>
      <c r="X69" s="15">
        <v>4</v>
      </c>
      <c r="Y69" s="15">
        <v>3.1784999644121248</v>
      </c>
      <c r="Z69" s="15">
        <v>4</v>
      </c>
      <c r="AA69" s="15">
        <v>3.106141328811646</v>
      </c>
      <c r="AB69" s="15">
        <v>4</v>
      </c>
      <c r="AC69" s="15">
        <v>3.3877063492063488</v>
      </c>
      <c r="AD69" s="15">
        <v>4</v>
      </c>
      <c r="AE69" s="15">
        <v>3.4042857142857139</v>
      </c>
    </row>
    <row r="70" spans="2:31" x14ac:dyDescent="0.2">
      <c r="B70" s="15">
        <v>2</v>
      </c>
      <c r="C70" s="15">
        <v>3.705086681678897</v>
      </c>
      <c r="D70" s="15">
        <v>2</v>
      </c>
      <c r="E70" s="15">
        <v>3.97</v>
      </c>
      <c r="F70" s="15">
        <v>2</v>
      </c>
      <c r="G70" s="15">
        <v>4.0070483064026527</v>
      </c>
      <c r="H70" s="15">
        <v>2</v>
      </c>
      <c r="I70" s="15">
        <v>3.8153975</v>
      </c>
      <c r="J70" s="15">
        <v>2</v>
      </c>
      <c r="K70" s="15">
        <v>3.705086681678897</v>
      </c>
      <c r="L70" s="15">
        <v>2</v>
      </c>
      <c r="M70" s="15">
        <v>4.1486227721313886</v>
      </c>
      <c r="N70" s="15">
        <v>2</v>
      </c>
      <c r="O70" s="15">
        <v>3.238722650754533</v>
      </c>
      <c r="P70" s="15">
        <v>2</v>
      </c>
      <c r="Q70" s="15">
        <v>3.248170637280718</v>
      </c>
      <c r="R70" s="15">
        <v>2</v>
      </c>
      <c r="S70" s="15">
        <v>3.035707975419931</v>
      </c>
      <c r="T70" s="15">
        <v>2</v>
      </c>
      <c r="U70" s="15">
        <v>3.4254848854952669</v>
      </c>
      <c r="V70" s="15">
        <v>4</v>
      </c>
      <c r="W70" s="15">
        <v>4.2061047554016113</v>
      </c>
      <c r="X70" s="15">
        <v>2</v>
      </c>
      <c r="Y70" s="15">
        <v>2.9316645564994732</v>
      </c>
      <c r="Z70" s="15">
        <v>2</v>
      </c>
      <c r="AA70" s="15">
        <v>3.0523700714111328</v>
      </c>
      <c r="AB70" s="15">
        <v>2</v>
      </c>
      <c r="AC70" s="15">
        <v>3.3978333333333341</v>
      </c>
      <c r="AD70" s="15">
        <v>2</v>
      </c>
      <c r="AE70" s="15">
        <v>3.0288974358974361</v>
      </c>
    </row>
    <row r="71" spans="2:31" x14ac:dyDescent="0.2">
      <c r="B71" s="15">
        <v>1</v>
      </c>
      <c r="C71" s="15">
        <v>3.7386740597120851</v>
      </c>
      <c r="D71" s="15">
        <v>1</v>
      </c>
      <c r="E71" s="15">
        <v>3.75</v>
      </c>
      <c r="F71" s="15">
        <v>1</v>
      </c>
      <c r="G71" s="15">
        <v>3.787731997420468</v>
      </c>
      <c r="H71" s="15">
        <v>1</v>
      </c>
      <c r="I71" s="15">
        <v>3.7657935999999999</v>
      </c>
      <c r="J71" s="15">
        <v>1</v>
      </c>
      <c r="K71" s="15">
        <v>3.7386740597120851</v>
      </c>
      <c r="L71" s="15">
        <v>1</v>
      </c>
      <c r="M71" s="15">
        <v>3.430769230769231</v>
      </c>
      <c r="N71" s="15">
        <v>1</v>
      </c>
      <c r="O71" s="15">
        <v>3.73813509543734</v>
      </c>
      <c r="P71" s="15">
        <v>1</v>
      </c>
      <c r="Q71" s="15">
        <v>3.9064890973433841</v>
      </c>
      <c r="R71" s="15">
        <v>1</v>
      </c>
      <c r="S71" s="15">
        <v>3.492618987042905</v>
      </c>
      <c r="T71" s="15">
        <v>1</v>
      </c>
      <c r="U71" s="15">
        <v>3.2367953985964291</v>
      </c>
      <c r="V71" s="15">
        <v>4</v>
      </c>
      <c r="W71" s="15">
        <v>2.3458960056304932</v>
      </c>
      <c r="X71" s="15">
        <v>1</v>
      </c>
      <c r="Y71" s="15">
        <v>3.228686568626169</v>
      </c>
      <c r="Z71" s="15">
        <v>1</v>
      </c>
      <c r="AA71" s="15">
        <v>2.9470164775848389</v>
      </c>
      <c r="AB71" s="15">
        <v>1</v>
      </c>
      <c r="AC71" s="15">
        <v>4.1118333333333332</v>
      </c>
      <c r="AD71" s="15">
        <v>1</v>
      </c>
      <c r="AE71" s="15">
        <v>3.0194999999999999</v>
      </c>
    </row>
    <row r="72" spans="2:31" x14ac:dyDescent="0.2">
      <c r="B72" s="15">
        <v>5</v>
      </c>
      <c r="C72" s="15">
        <v>4.0806697758726669</v>
      </c>
      <c r="D72" s="15">
        <v>5</v>
      </c>
      <c r="E72" s="15">
        <v>4.2300000000000004</v>
      </c>
      <c r="F72" s="15">
        <v>5</v>
      </c>
      <c r="G72" s="15">
        <v>4.5048043413660466</v>
      </c>
      <c r="H72" s="15">
        <v>5</v>
      </c>
      <c r="I72" s="15">
        <v>4.5243250000000002</v>
      </c>
      <c r="J72" s="15">
        <v>5</v>
      </c>
      <c r="K72" s="15">
        <v>4.0806697758726669</v>
      </c>
      <c r="L72" s="15">
        <v>5</v>
      </c>
      <c r="M72" s="15">
        <v>4.1192660550458724</v>
      </c>
      <c r="N72" s="15">
        <v>5</v>
      </c>
      <c r="O72" s="15">
        <v>2.742934234074176</v>
      </c>
      <c r="P72" s="15">
        <v>5</v>
      </c>
      <c r="Q72" s="15">
        <v>3.162426531694428</v>
      </c>
      <c r="R72" s="15">
        <v>5</v>
      </c>
      <c r="S72" s="15">
        <v>2.8835888530719771</v>
      </c>
      <c r="T72" s="15">
        <v>5</v>
      </c>
      <c r="U72" s="15">
        <v>3.0542727946336741</v>
      </c>
      <c r="V72" s="15">
        <v>4</v>
      </c>
      <c r="W72" s="15">
        <v>4.398432731628418</v>
      </c>
      <c r="X72" s="15">
        <v>5</v>
      </c>
      <c r="Y72" s="15">
        <v>2.534594059296059</v>
      </c>
      <c r="Z72" s="15">
        <v>5</v>
      </c>
      <c r="AA72" s="15">
        <v>2.5629310607910161</v>
      </c>
      <c r="AB72" s="15">
        <v>5</v>
      </c>
      <c r="AC72" s="15">
        <v>3.3091428571428572</v>
      </c>
      <c r="AD72" s="15">
        <v>5</v>
      </c>
      <c r="AE72" s="15">
        <v>3.0574834054834059</v>
      </c>
    </row>
    <row r="73" spans="2:31" x14ac:dyDescent="0.2">
      <c r="B73" s="15">
        <v>4</v>
      </c>
      <c r="C73" s="15">
        <v>3.5378477040802658</v>
      </c>
      <c r="D73" s="15">
        <v>4</v>
      </c>
      <c r="E73" s="15">
        <v>4.03</v>
      </c>
      <c r="F73" s="15">
        <v>4</v>
      </c>
      <c r="G73" s="15">
        <v>3.734473756986342</v>
      </c>
      <c r="H73" s="15">
        <v>4</v>
      </c>
      <c r="I73" s="15">
        <v>3.5680013000000002</v>
      </c>
      <c r="J73" s="15">
        <v>4</v>
      </c>
      <c r="K73" s="15">
        <v>3.5378477040802658</v>
      </c>
      <c r="L73" s="15">
        <v>4</v>
      </c>
      <c r="M73" s="15">
        <v>3.681549220010758</v>
      </c>
      <c r="N73" s="15">
        <v>4</v>
      </c>
      <c r="O73" s="15">
        <v>3.8270215192659571</v>
      </c>
      <c r="P73" s="15">
        <v>4</v>
      </c>
      <c r="Q73" s="15">
        <v>3.3926106093530639</v>
      </c>
      <c r="R73" s="15">
        <v>4</v>
      </c>
      <c r="S73" s="15">
        <v>3.4072835392316239</v>
      </c>
      <c r="T73" s="15">
        <v>4</v>
      </c>
      <c r="U73" s="15">
        <v>3.7307913191418041</v>
      </c>
      <c r="V73" s="15">
        <v>5</v>
      </c>
      <c r="W73" s="15">
        <v>4.1928367614746094</v>
      </c>
      <c r="X73" s="15">
        <v>4</v>
      </c>
      <c r="Y73" s="15">
        <v>3.7796785275673921</v>
      </c>
      <c r="Z73" s="15">
        <v>4</v>
      </c>
      <c r="AA73" s="15">
        <v>4.0563840866088867</v>
      </c>
      <c r="AB73" s="15">
        <v>4</v>
      </c>
      <c r="AC73" s="15">
        <v>3.6806904761904762</v>
      </c>
      <c r="AD73" s="15">
        <v>4</v>
      </c>
      <c r="AE73" s="15">
        <v>3.3179329004329001</v>
      </c>
    </row>
    <row r="74" spans="2:31" x14ac:dyDescent="0.2">
      <c r="B74" s="15">
        <v>5</v>
      </c>
      <c r="C74" s="15">
        <v>3.6285330524639852</v>
      </c>
      <c r="D74" s="15">
        <v>5</v>
      </c>
      <c r="E74" s="15">
        <v>3.38</v>
      </c>
      <c r="F74" s="15">
        <v>5</v>
      </c>
      <c r="G74" s="15">
        <v>2.3601619856569682</v>
      </c>
      <c r="H74" s="15">
        <v>5</v>
      </c>
      <c r="I74" s="15">
        <v>3.3094098999999999</v>
      </c>
      <c r="J74" s="15">
        <v>5</v>
      </c>
      <c r="K74" s="15">
        <v>3.6285330524639852</v>
      </c>
      <c r="L74" s="15">
        <v>5</v>
      </c>
      <c r="M74" s="15">
        <v>2.7190426638917788</v>
      </c>
      <c r="N74" s="15">
        <v>5</v>
      </c>
      <c r="O74" s="15">
        <v>3.3486903175928342</v>
      </c>
      <c r="P74" s="15">
        <v>5</v>
      </c>
      <c r="Q74" s="15">
        <v>3.2209553381112159</v>
      </c>
      <c r="R74" s="15">
        <v>5</v>
      </c>
      <c r="S74" s="15">
        <v>3.222074159146485</v>
      </c>
      <c r="T74" s="15">
        <v>5</v>
      </c>
      <c r="U74" s="15">
        <v>3.9412001847721938</v>
      </c>
      <c r="V74" s="15">
        <v>2</v>
      </c>
      <c r="W74" s="15">
        <v>2.188386201858521</v>
      </c>
      <c r="X74" s="15">
        <v>5</v>
      </c>
      <c r="Y74" s="15">
        <v>3.280810922574271</v>
      </c>
      <c r="Z74" s="15">
        <v>5</v>
      </c>
      <c r="AA74" s="15">
        <v>2.1508076190948491</v>
      </c>
      <c r="AB74" s="15">
        <v>5</v>
      </c>
      <c r="AC74" s="15">
        <v>3.101234848484848</v>
      </c>
      <c r="AD74" s="15">
        <v>5</v>
      </c>
      <c r="AE74" s="15">
        <v>4.1486666666666663</v>
      </c>
    </row>
    <row r="75" spans="2:31" x14ac:dyDescent="0.2">
      <c r="B75" s="15">
        <v>3</v>
      </c>
      <c r="C75" s="15">
        <v>3.5876536738649212</v>
      </c>
      <c r="D75" s="15">
        <v>3</v>
      </c>
      <c r="E75" s="15">
        <v>3.74</v>
      </c>
      <c r="F75" s="15">
        <v>3</v>
      </c>
      <c r="G75" s="15">
        <v>3.3380326015611361</v>
      </c>
      <c r="H75" s="15">
        <v>3</v>
      </c>
      <c r="I75" s="15">
        <v>3.4471280000000002</v>
      </c>
      <c r="J75" s="15">
        <v>3</v>
      </c>
      <c r="K75" s="15">
        <v>3.5876536738649212</v>
      </c>
      <c r="L75" s="15">
        <v>3</v>
      </c>
      <c r="M75" s="15">
        <v>3.4800233304170312</v>
      </c>
      <c r="N75" s="15">
        <v>3</v>
      </c>
      <c r="O75" s="15">
        <v>3.2846778185184449</v>
      </c>
      <c r="P75" s="15">
        <v>3</v>
      </c>
      <c r="Q75" s="15">
        <v>2.779877615770566</v>
      </c>
      <c r="R75" s="15">
        <v>3</v>
      </c>
      <c r="S75" s="15">
        <v>2.737974424844424</v>
      </c>
      <c r="T75" s="15">
        <v>3</v>
      </c>
      <c r="U75" s="15">
        <v>3.2524875131904998</v>
      </c>
      <c r="V75" s="15">
        <v>4</v>
      </c>
      <c r="W75" s="15">
        <v>3.203099250793457</v>
      </c>
      <c r="X75" s="15">
        <v>3</v>
      </c>
      <c r="Y75" s="15">
        <v>3.3594626154063971</v>
      </c>
      <c r="Z75" s="15">
        <v>3</v>
      </c>
      <c r="AA75" s="15">
        <v>3.4568600654602051</v>
      </c>
      <c r="AB75" s="15">
        <v>3</v>
      </c>
      <c r="AC75" s="15">
        <v>2.88352380952381</v>
      </c>
      <c r="AD75" s="15">
        <v>3</v>
      </c>
      <c r="AE75" s="15">
        <v>2.6420714285714291</v>
      </c>
    </row>
    <row r="76" spans="2:31" x14ac:dyDescent="0.2">
      <c r="B76" s="15">
        <v>3</v>
      </c>
      <c r="C76" s="15">
        <v>3.833279282920325</v>
      </c>
      <c r="D76" s="15">
        <v>3</v>
      </c>
      <c r="E76" s="15">
        <v>3.97</v>
      </c>
      <c r="F76" s="15">
        <v>3</v>
      </c>
      <c r="G76" s="15">
        <v>4.2032018034024254</v>
      </c>
      <c r="H76" s="15">
        <v>3</v>
      </c>
      <c r="I76" s="15">
        <v>3.9542272000000001</v>
      </c>
      <c r="J76" s="15">
        <v>3</v>
      </c>
      <c r="K76" s="15">
        <v>3.833279282920325</v>
      </c>
      <c r="L76" s="15">
        <v>3</v>
      </c>
      <c r="M76" s="15">
        <v>4.4168314035583167</v>
      </c>
      <c r="N76" s="15">
        <v>3</v>
      </c>
      <c r="O76" s="15">
        <v>3.7742049049786059</v>
      </c>
      <c r="P76" s="15">
        <v>3</v>
      </c>
      <c r="Q76" s="15">
        <v>3.5464786222910911</v>
      </c>
      <c r="R76" s="15">
        <v>3</v>
      </c>
      <c r="S76" s="15">
        <v>3.5243307168024329</v>
      </c>
      <c r="T76" s="15">
        <v>3</v>
      </c>
      <c r="U76" s="15">
        <v>4.2523039284448414</v>
      </c>
      <c r="V76" s="15">
        <v>4</v>
      </c>
      <c r="W76" s="15">
        <v>3.7010128498077388</v>
      </c>
      <c r="X76" s="15">
        <v>3</v>
      </c>
      <c r="Y76" s="15">
        <v>3.6845289465768358</v>
      </c>
      <c r="Z76" s="15">
        <v>3</v>
      </c>
      <c r="AA76" s="15">
        <v>4.1323075294494629</v>
      </c>
      <c r="AB76" s="15">
        <v>3</v>
      </c>
      <c r="AC76" s="15">
        <v>3.7703333333333329</v>
      </c>
      <c r="AD76" s="15">
        <v>3</v>
      </c>
      <c r="AE76" s="15">
        <v>3.6982499999999998</v>
      </c>
    </row>
    <row r="77" spans="2:31" x14ac:dyDescent="0.2">
      <c r="B77" s="15">
        <v>3</v>
      </c>
      <c r="C77" s="15">
        <v>3.5776607371407372</v>
      </c>
      <c r="D77" s="15">
        <v>3</v>
      </c>
      <c r="E77" s="15">
        <v>4.2300000000000004</v>
      </c>
      <c r="F77" s="15">
        <v>3</v>
      </c>
      <c r="G77" s="15">
        <v>3.8301500300040758</v>
      </c>
      <c r="H77" s="15">
        <v>3</v>
      </c>
      <c r="I77" s="15">
        <v>3.8192615999999999</v>
      </c>
      <c r="J77" s="15">
        <v>3</v>
      </c>
      <c r="K77" s="15">
        <v>3.5776607371407372</v>
      </c>
      <c r="L77" s="15">
        <v>3</v>
      </c>
      <c r="M77" s="15">
        <v>4.0155208964264082</v>
      </c>
      <c r="N77" s="15">
        <v>3</v>
      </c>
      <c r="O77" s="15">
        <v>3.8975142328432799</v>
      </c>
      <c r="P77" s="15">
        <v>3</v>
      </c>
      <c r="Q77" s="15">
        <v>4.1538309525303934</v>
      </c>
      <c r="R77" s="15">
        <v>3</v>
      </c>
      <c r="S77" s="15">
        <v>4.076625196768167</v>
      </c>
      <c r="T77" s="15">
        <v>3</v>
      </c>
      <c r="U77" s="15">
        <v>3.772951747684878</v>
      </c>
      <c r="V77" s="15">
        <v>5</v>
      </c>
      <c r="W77" s="15">
        <v>4.0393376350402832</v>
      </c>
      <c r="X77" s="15">
        <v>3</v>
      </c>
      <c r="Y77" s="15">
        <v>3.8858511005664318</v>
      </c>
      <c r="Z77" s="15">
        <v>3</v>
      </c>
      <c r="AA77" s="15">
        <v>3.423625230789185</v>
      </c>
      <c r="AB77" s="15">
        <v>3</v>
      </c>
      <c r="AC77" s="15">
        <v>4.0232500000000009</v>
      </c>
      <c r="AD77" s="15">
        <v>3</v>
      </c>
      <c r="AE77" s="15">
        <v>3.7778769841269839</v>
      </c>
    </row>
    <row r="78" spans="2:31" x14ac:dyDescent="0.2">
      <c r="B78" s="15">
        <v>3</v>
      </c>
      <c r="C78" s="15">
        <v>3.5807568306327071</v>
      </c>
      <c r="D78" s="15">
        <v>3</v>
      </c>
      <c r="E78" s="15">
        <v>3.74</v>
      </c>
      <c r="F78" s="15">
        <v>3</v>
      </c>
      <c r="G78" s="15">
        <v>3.5442206873733282</v>
      </c>
      <c r="H78" s="15">
        <v>3</v>
      </c>
      <c r="I78" s="15">
        <v>3.6285436</v>
      </c>
      <c r="J78" s="15">
        <v>3</v>
      </c>
      <c r="K78" s="15">
        <v>3.5807568306327071</v>
      </c>
      <c r="L78" s="15">
        <v>3</v>
      </c>
      <c r="M78" s="15">
        <v>3.859941844364442</v>
      </c>
      <c r="N78" s="15">
        <v>3</v>
      </c>
      <c r="O78" s="15">
        <v>3.2183632765929939</v>
      </c>
      <c r="P78" s="15">
        <v>3</v>
      </c>
      <c r="Q78" s="15">
        <v>3.0175173035500888</v>
      </c>
      <c r="R78" s="15">
        <v>3</v>
      </c>
      <c r="S78" s="15">
        <v>2.8988750682005771</v>
      </c>
      <c r="T78" s="15">
        <v>3</v>
      </c>
      <c r="U78" s="15">
        <v>3.3982161650659481</v>
      </c>
      <c r="V78" s="15">
        <v>1</v>
      </c>
      <c r="W78" s="15">
        <v>1.430080890655518</v>
      </c>
      <c r="X78" s="15">
        <v>3</v>
      </c>
      <c r="Y78" s="15">
        <v>2.8820400955033478</v>
      </c>
      <c r="Z78" s="15">
        <v>3</v>
      </c>
      <c r="AA78" s="15">
        <v>2.8273477554321289</v>
      </c>
      <c r="AB78" s="15">
        <v>3</v>
      </c>
      <c r="AC78" s="15">
        <v>3.1200714285714279</v>
      </c>
      <c r="AD78" s="15">
        <v>3</v>
      </c>
      <c r="AE78" s="15">
        <v>2.816666666666666</v>
      </c>
    </row>
    <row r="79" spans="2:31" x14ac:dyDescent="0.2">
      <c r="B79" s="15">
        <v>5</v>
      </c>
      <c r="C79" s="15">
        <v>3.5749671055546002</v>
      </c>
      <c r="D79" s="15">
        <v>5</v>
      </c>
      <c r="E79" s="15">
        <v>3.56</v>
      </c>
      <c r="F79" s="15">
        <v>5</v>
      </c>
      <c r="G79" s="15">
        <v>3.1341126884393899</v>
      </c>
      <c r="H79" s="15">
        <v>5</v>
      </c>
      <c r="I79" s="15">
        <v>3.1427947999999999</v>
      </c>
      <c r="J79" s="15">
        <v>5</v>
      </c>
      <c r="K79" s="15">
        <v>3.5749671055545988</v>
      </c>
      <c r="L79" s="15">
        <v>5</v>
      </c>
      <c r="M79" s="15">
        <v>3.3430637386181039</v>
      </c>
      <c r="N79" s="15">
        <v>5</v>
      </c>
      <c r="O79" s="15">
        <v>4.2717514474622336</v>
      </c>
      <c r="P79" s="15">
        <v>5</v>
      </c>
      <c r="Q79" s="15">
        <v>4.1314329598074888</v>
      </c>
      <c r="R79" s="15">
        <v>5</v>
      </c>
      <c r="S79" s="15">
        <v>4.3567622005607047</v>
      </c>
      <c r="T79" s="15">
        <v>5</v>
      </c>
      <c r="U79" s="15">
        <v>4.1577225360109171</v>
      </c>
      <c r="V79" s="15">
        <v>4</v>
      </c>
      <c r="W79" s="15">
        <v>2.038565874099731</v>
      </c>
      <c r="X79" s="15">
        <v>5</v>
      </c>
      <c r="Y79" s="15">
        <v>4.5673902578228951</v>
      </c>
      <c r="Z79" s="15">
        <v>5</v>
      </c>
      <c r="AA79" s="15">
        <v>4.487419605255127</v>
      </c>
      <c r="AB79" s="15">
        <v>5</v>
      </c>
      <c r="AC79" s="15">
        <v>4.2562380952380936</v>
      </c>
      <c r="AD79" s="15">
        <v>5</v>
      </c>
      <c r="AE79" s="15">
        <v>4.5040952380952382</v>
      </c>
    </row>
    <row r="80" spans="2:31" x14ac:dyDescent="0.2">
      <c r="B80" s="15">
        <v>4</v>
      </c>
      <c r="C80" s="15">
        <v>2.8274058237201238</v>
      </c>
      <c r="D80" s="15">
        <v>4</v>
      </c>
      <c r="E80" s="15">
        <v>2.98</v>
      </c>
      <c r="F80" s="15">
        <v>4</v>
      </c>
      <c r="G80" s="15">
        <v>3.0225307182996981</v>
      </c>
      <c r="H80" s="15">
        <v>4</v>
      </c>
      <c r="I80" s="15">
        <v>2.9472925999999999</v>
      </c>
      <c r="J80" s="15">
        <v>4</v>
      </c>
      <c r="K80" s="15">
        <v>2.8274058237201238</v>
      </c>
      <c r="L80" s="15">
        <v>4</v>
      </c>
      <c r="M80" s="15">
        <v>3.2188940092165899</v>
      </c>
      <c r="N80" s="15">
        <v>4</v>
      </c>
      <c r="O80" s="15">
        <v>3.462592142030628</v>
      </c>
      <c r="P80" s="15">
        <v>4</v>
      </c>
      <c r="Q80" s="15">
        <v>3.1125079977026808</v>
      </c>
      <c r="R80" s="15">
        <v>4</v>
      </c>
      <c r="S80" s="15">
        <v>3.4040242017893712</v>
      </c>
      <c r="T80" s="15">
        <v>4</v>
      </c>
      <c r="U80" s="15">
        <v>3.4270623988422408</v>
      </c>
      <c r="V80" s="15">
        <v>1</v>
      </c>
      <c r="W80" s="15">
        <v>1.9681316614151001</v>
      </c>
      <c r="X80" s="15">
        <v>4</v>
      </c>
      <c r="Y80" s="15">
        <v>3.6460358633870089</v>
      </c>
      <c r="Z80" s="15">
        <v>4</v>
      </c>
      <c r="AA80" s="15">
        <v>2.9389209747314449</v>
      </c>
      <c r="AB80" s="15">
        <v>4</v>
      </c>
      <c r="AC80" s="15">
        <v>2.5365793650793651</v>
      </c>
      <c r="AD80" s="15">
        <v>4</v>
      </c>
      <c r="AE80" s="15">
        <v>3.1676666666666669</v>
      </c>
    </row>
    <row r="81" spans="2:31" x14ac:dyDescent="0.2">
      <c r="B81" s="15">
        <v>3</v>
      </c>
      <c r="C81" s="15">
        <v>3.8070082129060929</v>
      </c>
      <c r="D81" s="15">
        <v>3</v>
      </c>
      <c r="E81" s="15">
        <v>4.1100000000000003</v>
      </c>
      <c r="F81" s="15">
        <v>3</v>
      </c>
      <c r="G81" s="15">
        <v>4.0513812248312844</v>
      </c>
      <c r="H81" s="15">
        <v>3</v>
      </c>
      <c r="I81" s="15">
        <v>4.0521096999999999</v>
      </c>
      <c r="J81" s="15">
        <v>3</v>
      </c>
      <c r="K81" s="15">
        <v>3.8070082129060929</v>
      </c>
      <c r="L81" s="15">
        <v>3</v>
      </c>
      <c r="M81" s="15">
        <v>4.0155208964264082</v>
      </c>
      <c r="N81" s="15">
        <v>3</v>
      </c>
      <c r="O81" s="15">
        <v>3.33134465903139</v>
      </c>
      <c r="P81" s="15">
        <v>3</v>
      </c>
      <c r="Q81" s="15">
        <v>3.2764392316894382</v>
      </c>
      <c r="R81" s="15">
        <v>3</v>
      </c>
      <c r="S81" s="15">
        <v>3.7127927877036369</v>
      </c>
      <c r="T81" s="15">
        <v>3</v>
      </c>
      <c r="U81" s="15">
        <v>3.699871440874698</v>
      </c>
      <c r="V81" s="15">
        <v>3</v>
      </c>
      <c r="W81" s="15">
        <v>3.1879909038543701</v>
      </c>
      <c r="X81" s="15">
        <v>3</v>
      </c>
      <c r="Y81" s="15">
        <v>3.563610792573682</v>
      </c>
      <c r="Z81" s="15">
        <v>3</v>
      </c>
      <c r="AA81" s="15">
        <v>3.0869758129119869</v>
      </c>
      <c r="AB81" s="15">
        <v>3</v>
      </c>
      <c r="AC81" s="15">
        <v>3.5315580808080802</v>
      </c>
      <c r="AD81" s="15">
        <v>3</v>
      </c>
      <c r="AE81" s="15">
        <v>3.4336904761904758</v>
      </c>
    </row>
    <row r="82" spans="2:31" x14ac:dyDescent="0.2">
      <c r="B82" s="15">
        <v>5</v>
      </c>
      <c r="C82" s="15">
        <v>3.9844211484316392</v>
      </c>
      <c r="D82" s="15">
        <v>5</v>
      </c>
      <c r="E82" s="15">
        <v>4.2300000000000004</v>
      </c>
      <c r="F82" s="15">
        <v>5</v>
      </c>
      <c r="G82" s="15">
        <v>4.4904512726923906</v>
      </c>
      <c r="H82" s="15">
        <v>5</v>
      </c>
      <c r="I82" s="15">
        <v>4.4167484999999997</v>
      </c>
      <c r="J82" s="15">
        <v>5</v>
      </c>
      <c r="K82" s="15">
        <v>3.9844211484316392</v>
      </c>
      <c r="L82" s="15">
        <v>5</v>
      </c>
      <c r="M82" s="15">
        <v>4.1691297208538591</v>
      </c>
      <c r="N82" s="15">
        <v>5</v>
      </c>
      <c r="O82" s="15">
        <v>3.9825580581572559</v>
      </c>
      <c r="P82" s="15">
        <v>5</v>
      </c>
      <c r="Q82" s="15">
        <v>4.7754417353409133</v>
      </c>
      <c r="R82" s="15">
        <v>5</v>
      </c>
      <c r="S82" s="15">
        <v>4.8066903212042416</v>
      </c>
      <c r="T82" s="15">
        <v>5</v>
      </c>
      <c r="U82" s="15">
        <v>3.944527831780174</v>
      </c>
      <c r="V82" s="15">
        <v>2</v>
      </c>
      <c r="W82" s="15">
        <v>3.9103741645812988</v>
      </c>
      <c r="X82" s="15">
        <v>5</v>
      </c>
      <c r="Y82" s="15">
        <v>4.1627251781718506</v>
      </c>
      <c r="Z82" s="15">
        <v>5</v>
      </c>
      <c r="AA82" s="15">
        <v>4.3026256561279297</v>
      </c>
      <c r="AB82" s="15">
        <v>5</v>
      </c>
      <c r="AC82" s="15">
        <v>4.3820873015873012</v>
      </c>
      <c r="AD82" s="15">
        <v>5</v>
      </c>
      <c r="AE82" s="15">
        <v>4.4324404761904761</v>
      </c>
    </row>
    <row r="83" spans="2:31" x14ac:dyDescent="0.2">
      <c r="B83" s="15">
        <v>5</v>
      </c>
      <c r="C83" s="15">
        <v>3.6911505912604299</v>
      </c>
      <c r="D83" s="15">
        <v>5</v>
      </c>
      <c r="E83" s="15">
        <v>3.85</v>
      </c>
      <c r="F83" s="15">
        <v>5</v>
      </c>
      <c r="G83" s="15">
        <v>4.0926217145523038</v>
      </c>
      <c r="H83" s="15">
        <v>5</v>
      </c>
      <c r="I83" s="15">
        <v>3.908865</v>
      </c>
      <c r="J83" s="15">
        <v>5</v>
      </c>
      <c r="K83" s="15">
        <v>3.6911505912604299</v>
      </c>
      <c r="L83" s="15">
        <v>5</v>
      </c>
      <c r="M83" s="15">
        <v>4.1691297208538591</v>
      </c>
      <c r="N83" s="15">
        <v>5</v>
      </c>
      <c r="O83" s="15">
        <v>3.3674188585468858</v>
      </c>
      <c r="P83" s="15">
        <v>5</v>
      </c>
      <c r="Q83" s="15">
        <v>3.8125454407212711</v>
      </c>
      <c r="R83" s="15">
        <v>5</v>
      </c>
      <c r="S83" s="15">
        <v>3.7027941832817461</v>
      </c>
      <c r="T83" s="15">
        <v>5</v>
      </c>
      <c r="U83" s="15">
        <v>3.22023839405125</v>
      </c>
      <c r="V83" s="15">
        <v>5</v>
      </c>
      <c r="W83" s="15">
        <v>4.3194608688354492</v>
      </c>
      <c r="X83" s="15">
        <v>5</v>
      </c>
      <c r="Y83" s="15">
        <v>3.589546125258698</v>
      </c>
      <c r="Z83" s="15">
        <v>5</v>
      </c>
      <c r="AA83" s="15">
        <v>2.797646284103394</v>
      </c>
      <c r="AB83" s="15">
        <v>5</v>
      </c>
      <c r="AC83" s="15">
        <v>3.9334761904761901</v>
      </c>
      <c r="AD83" s="15">
        <v>5</v>
      </c>
      <c r="AE83" s="15">
        <v>3.8854999999999991</v>
      </c>
    </row>
    <row r="84" spans="2:31" x14ac:dyDescent="0.2">
      <c r="B84" s="15">
        <v>2</v>
      </c>
      <c r="C84" s="15">
        <v>3.6417256159493419</v>
      </c>
      <c r="D84" s="15">
        <v>2</v>
      </c>
      <c r="E84" s="15">
        <v>4.18</v>
      </c>
      <c r="F84" s="15">
        <v>2</v>
      </c>
      <c r="G84" s="15">
        <v>3.8943069415249809</v>
      </c>
      <c r="H84" s="15">
        <v>2</v>
      </c>
      <c r="I84" s="15">
        <v>3.8457490000000001</v>
      </c>
      <c r="J84" s="15">
        <v>2</v>
      </c>
      <c r="K84" s="15">
        <v>3.6417256159493419</v>
      </c>
      <c r="L84" s="15">
        <v>2</v>
      </c>
      <c r="M84" s="15">
        <v>3.9747958821441252</v>
      </c>
      <c r="N84" s="15">
        <v>2</v>
      </c>
      <c r="O84" s="15">
        <v>3.2816169899999901</v>
      </c>
      <c r="P84" s="15">
        <v>2</v>
      </c>
      <c r="Q84" s="15">
        <v>3.029393992008929</v>
      </c>
      <c r="R84" s="15">
        <v>2</v>
      </c>
      <c r="S84" s="15">
        <v>2.774333853123288</v>
      </c>
      <c r="T84" s="15">
        <v>2</v>
      </c>
      <c r="U84" s="15">
        <v>3.7518738477124338</v>
      </c>
      <c r="V84" s="15">
        <v>3</v>
      </c>
      <c r="W84" s="15">
        <v>3.3267726898193359</v>
      </c>
      <c r="X84" s="15">
        <v>2</v>
      </c>
      <c r="Y84" s="15">
        <v>3.2992957052267879</v>
      </c>
      <c r="Z84" s="15">
        <v>2</v>
      </c>
      <c r="AA84" s="15">
        <v>2.0307226181030269</v>
      </c>
      <c r="AB84" s="15">
        <v>2</v>
      </c>
      <c r="AC84" s="15">
        <v>2.5247702020202021</v>
      </c>
      <c r="AD84" s="15">
        <v>2</v>
      </c>
      <c r="AE84" s="15">
        <v>2.7941547619047622</v>
      </c>
    </row>
    <row r="85" spans="2:31" x14ac:dyDescent="0.2">
      <c r="B85" s="15">
        <v>4</v>
      </c>
      <c r="C85" s="15">
        <v>3.9300459853232388</v>
      </c>
      <c r="D85" s="15">
        <v>4</v>
      </c>
      <c r="E85" s="15">
        <v>4.05</v>
      </c>
      <c r="F85" s="15">
        <v>4</v>
      </c>
      <c r="G85" s="15">
        <v>4.181761356232907</v>
      </c>
      <c r="H85" s="15">
        <v>4</v>
      </c>
      <c r="I85" s="15">
        <v>4.2497787000000002</v>
      </c>
      <c r="J85" s="15">
        <v>4</v>
      </c>
      <c r="K85" s="15">
        <v>3.9300459853232388</v>
      </c>
      <c r="L85" s="15">
        <v>4</v>
      </c>
      <c r="M85" s="15">
        <v>3.859941844364442</v>
      </c>
      <c r="N85" s="15">
        <v>4</v>
      </c>
      <c r="O85" s="15">
        <v>3.861723768850795</v>
      </c>
      <c r="P85" s="15">
        <v>4</v>
      </c>
      <c r="Q85" s="15">
        <v>3.5031484411528711</v>
      </c>
      <c r="R85" s="15">
        <v>4</v>
      </c>
      <c r="S85" s="15">
        <v>3.4863162412326032</v>
      </c>
      <c r="T85" s="15">
        <v>4</v>
      </c>
      <c r="U85" s="15">
        <v>4.0637674333925968</v>
      </c>
      <c r="V85" s="15">
        <v>5</v>
      </c>
      <c r="W85" s="15">
        <v>3.460502147674561</v>
      </c>
      <c r="X85" s="15">
        <v>4</v>
      </c>
      <c r="Y85" s="15">
        <v>3.9304423435761651</v>
      </c>
      <c r="Z85" s="15">
        <v>4</v>
      </c>
      <c r="AA85" s="15">
        <v>3.751072883605957</v>
      </c>
      <c r="AB85" s="15">
        <v>4</v>
      </c>
      <c r="AC85" s="15">
        <v>3.7631984126984128</v>
      </c>
      <c r="AD85" s="15">
        <v>4</v>
      </c>
      <c r="AE85" s="15">
        <v>3.6558333333333342</v>
      </c>
    </row>
    <row r="86" spans="2:31" x14ac:dyDescent="0.2">
      <c r="B86" s="15">
        <v>5</v>
      </c>
      <c r="C86" s="15">
        <v>3.870267830754754</v>
      </c>
      <c r="D86" s="15">
        <v>5</v>
      </c>
      <c r="E86" s="15">
        <v>4.1399999999999997</v>
      </c>
      <c r="F86" s="15">
        <v>5</v>
      </c>
      <c r="G86" s="15">
        <v>4.5221041504715611</v>
      </c>
      <c r="H86" s="15">
        <v>5</v>
      </c>
      <c r="I86" s="15">
        <v>4.2480529999999996</v>
      </c>
      <c r="J86" s="15">
        <v>5</v>
      </c>
      <c r="K86" s="15">
        <v>3.870267830754754</v>
      </c>
      <c r="L86" s="15">
        <v>5</v>
      </c>
      <c r="M86" s="15">
        <v>4.3198225757112274</v>
      </c>
      <c r="N86" s="15">
        <v>5</v>
      </c>
      <c r="O86" s="15">
        <v>3.4305068727487118</v>
      </c>
      <c r="P86" s="15">
        <v>5</v>
      </c>
      <c r="Q86" s="15">
        <v>3.8467097353391129</v>
      </c>
      <c r="R86" s="15">
        <v>5</v>
      </c>
      <c r="S86" s="15">
        <v>3.8657087573795321</v>
      </c>
      <c r="T86" s="15">
        <v>5</v>
      </c>
      <c r="U86" s="15">
        <v>3.5578542376653952</v>
      </c>
      <c r="V86" s="15">
        <v>3</v>
      </c>
      <c r="W86" s="15">
        <v>2.7524673938751221</v>
      </c>
      <c r="X86" s="15">
        <v>5</v>
      </c>
      <c r="Y86" s="15">
        <v>3.6521683329805001</v>
      </c>
      <c r="Z86" s="15">
        <v>5</v>
      </c>
      <c r="AA86" s="15">
        <v>3.753021240234375</v>
      </c>
      <c r="AB86" s="15">
        <v>5</v>
      </c>
      <c r="AC86" s="15">
        <v>4.0707500000000003</v>
      </c>
      <c r="AD86" s="15">
        <v>5</v>
      </c>
      <c r="AE86" s="15">
        <v>3.8925119047619048</v>
      </c>
    </row>
    <row r="87" spans="2:31" x14ac:dyDescent="0.2">
      <c r="B87" s="15">
        <v>1</v>
      </c>
      <c r="C87" s="15">
        <v>2.416385571892647</v>
      </c>
      <c r="D87" s="15">
        <v>1</v>
      </c>
      <c r="E87" s="15">
        <v>1.95</v>
      </c>
      <c r="F87" s="15">
        <v>1</v>
      </c>
      <c r="G87" s="15">
        <v>1.795113314165192</v>
      </c>
      <c r="H87" s="15">
        <v>1</v>
      </c>
      <c r="I87" s="15">
        <v>1.6948719999999999</v>
      </c>
      <c r="J87" s="15">
        <v>1</v>
      </c>
      <c r="K87" s="15">
        <v>2.416385571892647</v>
      </c>
      <c r="L87" s="15">
        <v>1</v>
      </c>
      <c r="M87" s="15">
        <v>1.9325153374233131</v>
      </c>
      <c r="N87" s="15">
        <v>1</v>
      </c>
      <c r="O87" s="15">
        <v>3.7513546147028189</v>
      </c>
      <c r="P87" s="15">
        <v>1</v>
      </c>
      <c r="Q87" s="15">
        <v>2.349643975347421</v>
      </c>
      <c r="R87" s="15">
        <v>1</v>
      </c>
      <c r="S87" s="15">
        <v>2.9000765219700591</v>
      </c>
      <c r="T87" s="15">
        <v>1</v>
      </c>
      <c r="U87" s="15">
        <v>3.609400673665184</v>
      </c>
      <c r="V87" s="15">
        <v>5</v>
      </c>
      <c r="W87" s="15">
        <v>4.1738653182983398</v>
      </c>
      <c r="X87" s="15">
        <v>1</v>
      </c>
      <c r="Y87" s="15">
        <v>1.8842424682443351</v>
      </c>
      <c r="Z87" s="15">
        <v>1</v>
      </c>
      <c r="AA87" s="15">
        <v>2.0274116992950439</v>
      </c>
      <c r="AB87" s="15">
        <v>1</v>
      </c>
      <c r="AC87" s="15">
        <v>1.615142857142857</v>
      </c>
      <c r="AD87" s="15">
        <v>1</v>
      </c>
      <c r="AE87" s="15">
        <v>2.4852023809523809</v>
      </c>
    </row>
    <row r="88" spans="2:31" x14ac:dyDescent="0.2">
      <c r="B88" s="15">
        <v>3</v>
      </c>
      <c r="C88" s="15">
        <v>3.7375027273920489</v>
      </c>
      <c r="D88" s="15">
        <v>3</v>
      </c>
      <c r="E88" s="15">
        <v>3.44</v>
      </c>
      <c r="F88" s="15">
        <v>3</v>
      </c>
      <c r="G88" s="15">
        <v>3.3706312140142498</v>
      </c>
      <c r="H88" s="15">
        <v>3</v>
      </c>
      <c r="I88" s="15">
        <v>3.0971215000000001</v>
      </c>
      <c r="J88" s="15">
        <v>3</v>
      </c>
      <c r="K88" s="15">
        <v>3.7375027273920489</v>
      </c>
      <c r="L88" s="15">
        <v>3</v>
      </c>
      <c r="M88" s="15">
        <v>3.3870395028850422</v>
      </c>
      <c r="N88" s="15">
        <v>3</v>
      </c>
      <c r="O88" s="15">
        <v>3.7227764397182579</v>
      </c>
      <c r="P88" s="15">
        <v>3</v>
      </c>
      <c r="Q88" s="15">
        <v>3.482369855836478</v>
      </c>
      <c r="R88" s="15">
        <v>3</v>
      </c>
      <c r="S88" s="15">
        <v>3.7453200296653999</v>
      </c>
      <c r="T88" s="15">
        <v>3</v>
      </c>
      <c r="U88" s="15">
        <v>3.5423249049058758</v>
      </c>
      <c r="V88" s="15">
        <v>3</v>
      </c>
      <c r="W88" s="15">
        <v>3.681625127792358</v>
      </c>
      <c r="X88" s="15">
        <v>3</v>
      </c>
      <c r="Y88" s="15">
        <v>3.8019165141556441</v>
      </c>
      <c r="Z88" s="15">
        <v>3</v>
      </c>
      <c r="AA88" s="15">
        <v>3.694790363311768</v>
      </c>
      <c r="AB88" s="15">
        <v>3</v>
      </c>
      <c r="AC88" s="15">
        <v>3.4095238095238098</v>
      </c>
      <c r="AD88" s="15">
        <v>3</v>
      </c>
      <c r="AE88" s="15">
        <v>4.0663333333333336</v>
      </c>
    </row>
    <row r="89" spans="2:31" x14ac:dyDescent="0.2">
      <c r="B89" s="15">
        <v>3</v>
      </c>
      <c r="C89" s="15">
        <v>3.5457086955613248</v>
      </c>
      <c r="D89" s="15">
        <v>3</v>
      </c>
      <c r="E89" s="15">
        <v>3.85</v>
      </c>
      <c r="F89" s="15">
        <v>3</v>
      </c>
      <c r="G89" s="15">
        <v>3.485505665844264</v>
      </c>
      <c r="H89" s="15">
        <v>3</v>
      </c>
      <c r="I89" s="15">
        <v>3.6150090000000001</v>
      </c>
      <c r="J89" s="15">
        <v>3</v>
      </c>
      <c r="K89" s="15">
        <v>3.5457086955613248</v>
      </c>
      <c r="L89" s="15">
        <v>3</v>
      </c>
      <c r="M89" s="15">
        <v>3.607255948611237</v>
      </c>
      <c r="N89" s="15">
        <v>3</v>
      </c>
      <c r="O89" s="15">
        <v>3.2098893355226492</v>
      </c>
      <c r="P89" s="15">
        <v>3</v>
      </c>
      <c r="Q89" s="15">
        <v>3.1900029199194591</v>
      </c>
      <c r="R89" s="15">
        <v>3</v>
      </c>
      <c r="S89" s="15">
        <v>3.4688973542674111</v>
      </c>
      <c r="T89" s="15">
        <v>3</v>
      </c>
      <c r="U89" s="15">
        <v>3.0078646202486699</v>
      </c>
      <c r="V89" s="15">
        <v>2</v>
      </c>
      <c r="W89" s="15">
        <v>3.2938904762268071</v>
      </c>
      <c r="X89" s="15">
        <v>3</v>
      </c>
      <c r="Y89" s="15">
        <v>3.528306493576383</v>
      </c>
      <c r="Z89" s="15">
        <v>3</v>
      </c>
      <c r="AA89" s="15">
        <v>2.2005074024200439</v>
      </c>
      <c r="AB89" s="15">
        <v>3</v>
      </c>
      <c r="AC89" s="15">
        <v>3.0999523809523808</v>
      </c>
      <c r="AD89" s="15">
        <v>3</v>
      </c>
      <c r="AE89" s="15">
        <v>3.4780714285714289</v>
      </c>
    </row>
    <row r="90" spans="2:31" x14ac:dyDescent="0.2">
      <c r="B90" s="15">
        <v>3</v>
      </c>
      <c r="C90" s="15">
        <v>3.8026617184033782</v>
      </c>
      <c r="D90" s="15">
        <v>3</v>
      </c>
      <c r="E90" s="15">
        <v>3.81</v>
      </c>
      <c r="F90" s="15">
        <v>3</v>
      </c>
      <c r="G90" s="15">
        <v>3.98920165530948</v>
      </c>
      <c r="H90" s="15">
        <v>3</v>
      </c>
      <c r="I90" s="15">
        <v>4.0254107000000001</v>
      </c>
      <c r="J90" s="15">
        <v>3</v>
      </c>
      <c r="K90" s="15">
        <v>3.8026617184033782</v>
      </c>
      <c r="L90" s="15">
        <v>3</v>
      </c>
      <c r="M90" s="15">
        <v>3.859941844364442</v>
      </c>
      <c r="N90" s="15">
        <v>3</v>
      </c>
      <c r="O90" s="15">
        <v>3.342167578929049</v>
      </c>
      <c r="P90" s="15">
        <v>3</v>
      </c>
      <c r="Q90" s="15">
        <v>3.644359115419046</v>
      </c>
      <c r="R90" s="15">
        <v>3</v>
      </c>
      <c r="S90" s="15">
        <v>3.6727906520842848</v>
      </c>
      <c r="T90" s="15">
        <v>3</v>
      </c>
      <c r="U90" s="15">
        <v>4.0144591119464126</v>
      </c>
      <c r="V90" s="15">
        <v>4</v>
      </c>
      <c r="W90" s="15">
        <v>3.6679010391235352</v>
      </c>
      <c r="X90" s="15">
        <v>3</v>
      </c>
      <c r="Y90" s="15">
        <v>3.217940809336187</v>
      </c>
      <c r="Z90" s="15">
        <v>3</v>
      </c>
      <c r="AA90" s="15">
        <v>2.2120153903961182</v>
      </c>
      <c r="AB90" s="15">
        <v>3</v>
      </c>
      <c r="AC90" s="15">
        <v>4.149</v>
      </c>
      <c r="AD90" s="15">
        <v>3</v>
      </c>
      <c r="AE90" s="15">
        <v>4.1343452380952384</v>
      </c>
    </row>
    <row r="91" spans="2:31" x14ac:dyDescent="0.2">
      <c r="B91" s="15">
        <v>2</v>
      </c>
      <c r="C91" s="15">
        <v>3.4193014658879641</v>
      </c>
      <c r="D91" s="15">
        <v>2</v>
      </c>
      <c r="E91" s="15">
        <v>2.69</v>
      </c>
      <c r="F91" s="15">
        <v>2</v>
      </c>
      <c r="G91" s="15">
        <v>2.685595497682761</v>
      </c>
      <c r="H91" s="15">
        <v>2</v>
      </c>
      <c r="I91" s="15">
        <v>2.814943</v>
      </c>
      <c r="J91" s="15">
        <v>2</v>
      </c>
      <c r="K91" s="15">
        <v>3.4193014658879641</v>
      </c>
      <c r="L91" s="15">
        <v>2</v>
      </c>
      <c r="M91" s="15">
        <v>2.8340395480225991</v>
      </c>
      <c r="N91" s="15">
        <v>2</v>
      </c>
      <c r="O91" s="15">
        <v>2.1932285765853949</v>
      </c>
      <c r="P91" s="15">
        <v>2</v>
      </c>
      <c r="Q91" s="15">
        <v>2.338215687563054</v>
      </c>
      <c r="R91" s="15">
        <v>2</v>
      </c>
      <c r="S91" s="15">
        <v>2.4737172421598981</v>
      </c>
      <c r="T91" s="15">
        <v>2</v>
      </c>
      <c r="U91" s="15">
        <v>2.2611203351182949</v>
      </c>
      <c r="V91" s="15">
        <v>4</v>
      </c>
      <c r="W91" s="15">
        <v>4.4155869483947754</v>
      </c>
      <c r="X91" s="15">
        <v>2</v>
      </c>
      <c r="Y91" s="15">
        <v>2.114484906146564</v>
      </c>
      <c r="Z91" s="15">
        <v>2</v>
      </c>
      <c r="AA91" s="15">
        <v>2.0062787532806401</v>
      </c>
      <c r="AB91" s="15">
        <v>2</v>
      </c>
      <c r="AC91" s="15">
        <v>2.3248095238095239</v>
      </c>
      <c r="AD91" s="15">
        <v>2</v>
      </c>
      <c r="AE91" s="15">
        <v>2.0877777777777782</v>
      </c>
    </row>
    <row r="92" spans="2:31" x14ac:dyDescent="0.2">
      <c r="B92" s="15">
        <v>2</v>
      </c>
      <c r="C92" s="15">
        <v>3.6607199234862402</v>
      </c>
      <c r="D92" s="15">
        <v>2</v>
      </c>
      <c r="E92" s="15">
        <v>3.6</v>
      </c>
      <c r="F92" s="15">
        <v>2</v>
      </c>
      <c r="G92" s="15">
        <v>3.8005108165360042</v>
      </c>
      <c r="H92" s="15">
        <v>2</v>
      </c>
      <c r="I92" s="15">
        <v>3.8188970000000002</v>
      </c>
      <c r="J92" s="15">
        <v>2</v>
      </c>
      <c r="K92" s="15">
        <v>3.6607199234862402</v>
      </c>
      <c r="L92" s="15">
        <v>2</v>
      </c>
      <c r="M92" s="15">
        <v>3.859941844364442</v>
      </c>
      <c r="N92" s="15">
        <v>2</v>
      </c>
      <c r="O92" s="15">
        <v>2.9737706005323932</v>
      </c>
      <c r="P92" s="15">
        <v>2</v>
      </c>
      <c r="Q92" s="15">
        <v>3.6235601414209451</v>
      </c>
      <c r="R92" s="15">
        <v>2</v>
      </c>
      <c r="S92" s="15">
        <v>2.9404192736364738</v>
      </c>
      <c r="T92" s="15">
        <v>2</v>
      </c>
      <c r="U92" s="15">
        <v>3.8320652701339801</v>
      </c>
      <c r="V92" s="15">
        <v>3</v>
      </c>
      <c r="W92" s="15">
        <v>3.416678905487061</v>
      </c>
      <c r="X92" s="15">
        <v>2</v>
      </c>
      <c r="Y92" s="15">
        <v>3.3951484964297332</v>
      </c>
      <c r="Z92" s="15">
        <v>2</v>
      </c>
      <c r="AA92" s="15">
        <v>3.5065333843231201</v>
      </c>
      <c r="AB92" s="15">
        <v>2</v>
      </c>
      <c r="AC92" s="15">
        <v>3.4382380952380949</v>
      </c>
      <c r="AD92" s="15">
        <v>2</v>
      </c>
      <c r="AE92" s="15">
        <v>2.91122619047619</v>
      </c>
    </row>
    <row r="93" spans="2:31" x14ac:dyDescent="0.2">
      <c r="B93" s="15">
        <v>4</v>
      </c>
      <c r="C93" s="15">
        <v>3.824688763984335</v>
      </c>
      <c r="D93" s="15">
        <v>4</v>
      </c>
      <c r="E93" s="15">
        <v>3.53</v>
      </c>
      <c r="F93" s="15">
        <v>4</v>
      </c>
      <c r="G93" s="15">
        <v>3.756364506429442</v>
      </c>
      <c r="H93" s="15">
        <v>4</v>
      </c>
      <c r="I93" s="15">
        <v>3.6357936999999998</v>
      </c>
      <c r="J93" s="15">
        <v>4</v>
      </c>
      <c r="K93" s="15">
        <v>3.824688763984335</v>
      </c>
      <c r="L93" s="15">
        <v>4</v>
      </c>
      <c r="M93" s="15">
        <v>3.63018534863195</v>
      </c>
      <c r="N93" s="15">
        <v>4</v>
      </c>
      <c r="O93" s="15">
        <v>3.933214011772177</v>
      </c>
      <c r="P93" s="15">
        <v>4</v>
      </c>
      <c r="Q93" s="15">
        <v>4.4107633375380413</v>
      </c>
      <c r="R93" s="15">
        <v>4</v>
      </c>
      <c r="S93" s="15">
        <v>4.2579896055938544</v>
      </c>
      <c r="T93" s="15">
        <v>4</v>
      </c>
      <c r="U93" s="15">
        <v>3.5668694549323661</v>
      </c>
      <c r="V93" s="15">
        <v>4</v>
      </c>
      <c r="W93" s="15">
        <v>4.2126655578613281</v>
      </c>
      <c r="X93" s="15">
        <v>4</v>
      </c>
      <c r="Y93" s="15">
        <v>3.0040727988302152</v>
      </c>
      <c r="Z93" s="15">
        <v>4</v>
      </c>
      <c r="AA93" s="15">
        <v>3.1687748432159419</v>
      </c>
      <c r="AB93" s="15">
        <v>4</v>
      </c>
      <c r="AC93" s="15">
        <v>4.6586666666666661</v>
      </c>
      <c r="AD93" s="15">
        <v>4</v>
      </c>
      <c r="AE93" s="15">
        <v>4.204071428571428</v>
      </c>
    </row>
    <row r="94" spans="2:31" x14ac:dyDescent="0.2">
      <c r="B94" s="15">
        <v>4</v>
      </c>
      <c r="C94" s="15">
        <v>3.914757055066731</v>
      </c>
      <c r="D94" s="15">
        <v>4</v>
      </c>
      <c r="E94" s="15">
        <v>4.16</v>
      </c>
      <c r="F94" s="15">
        <v>4</v>
      </c>
      <c r="G94" s="15">
        <v>4.2528376325281831</v>
      </c>
      <c r="H94" s="15">
        <v>4</v>
      </c>
      <c r="I94" s="15">
        <v>4.2285560000000002</v>
      </c>
      <c r="J94" s="15">
        <v>4</v>
      </c>
      <c r="K94" s="15">
        <v>3.914757055066731</v>
      </c>
      <c r="L94" s="15">
        <v>4</v>
      </c>
      <c r="M94" s="15">
        <v>4.3465189873417716</v>
      </c>
      <c r="N94" s="15">
        <v>4</v>
      </c>
      <c r="O94" s="15">
        <v>3.9301215882001359</v>
      </c>
      <c r="P94" s="15">
        <v>4</v>
      </c>
      <c r="Q94" s="15">
        <v>4.180613556376497</v>
      </c>
      <c r="R94" s="15">
        <v>4</v>
      </c>
      <c r="S94" s="15">
        <v>4.430055148646793</v>
      </c>
      <c r="T94" s="15">
        <v>4</v>
      </c>
      <c r="U94" s="15">
        <v>4.0251544976721174</v>
      </c>
      <c r="V94" s="15">
        <v>5</v>
      </c>
      <c r="W94" s="15">
        <v>2.5375528335571289</v>
      </c>
      <c r="X94" s="15">
        <v>4</v>
      </c>
      <c r="Y94" s="15">
        <v>4.3148066251040076</v>
      </c>
      <c r="Z94" s="15">
        <v>4</v>
      </c>
      <c r="AA94" s="15">
        <v>4.179844856262207</v>
      </c>
      <c r="AB94" s="15">
        <v>4</v>
      </c>
      <c r="AC94" s="15">
        <v>4.1606666666666667</v>
      </c>
      <c r="AD94" s="15">
        <v>4</v>
      </c>
      <c r="AE94" s="15">
        <v>3.9644999999999988</v>
      </c>
    </row>
    <row r="95" spans="2:31" x14ac:dyDescent="0.2">
      <c r="B95" s="15">
        <v>5</v>
      </c>
      <c r="C95" s="15">
        <v>3.7627625770862032</v>
      </c>
      <c r="D95" s="15">
        <v>5</v>
      </c>
      <c r="E95" s="15">
        <v>4.5</v>
      </c>
      <c r="F95" s="15">
        <v>5</v>
      </c>
      <c r="G95" s="15">
        <v>4.4998431256274394</v>
      </c>
      <c r="H95" s="15">
        <v>5</v>
      </c>
      <c r="I95" s="15">
        <v>4.4594209999999999</v>
      </c>
      <c r="J95" s="15">
        <v>5</v>
      </c>
      <c r="K95" s="15">
        <v>3.7627625770862032</v>
      </c>
      <c r="L95" s="15">
        <v>5</v>
      </c>
      <c r="M95" s="15">
        <v>4.2791702679343127</v>
      </c>
      <c r="N95" s="15">
        <v>5</v>
      </c>
      <c r="O95" s="15">
        <v>3.779917452497493</v>
      </c>
      <c r="P95" s="15">
        <v>5</v>
      </c>
      <c r="Q95" s="15">
        <v>4.1179106724894368</v>
      </c>
      <c r="R95" s="15">
        <v>5</v>
      </c>
      <c r="S95" s="15">
        <v>4.3869527588980581</v>
      </c>
      <c r="T95" s="15">
        <v>5</v>
      </c>
      <c r="U95" s="15">
        <v>4.1813053681006718</v>
      </c>
      <c r="V95" s="15">
        <v>4</v>
      </c>
      <c r="W95" s="15">
        <v>4.0559415817260742</v>
      </c>
      <c r="X95" s="15">
        <v>5</v>
      </c>
      <c r="Y95" s="15">
        <v>3.721285801604135</v>
      </c>
      <c r="Z95" s="15">
        <v>5</v>
      </c>
      <c r="AA95" s="15">
        <v>3.8224563598632808</v>
      </c>
      <c r="AB95" s="15">
        <v>5</v>
      </c>
      <c r="AC95" s="15">
        <v>4.0439469696969699</v>
      </c>
      <c r="AD95" s="15">
        <v>5</v>
      </c>
      <c r="AE95" s="15">
        <v>4.0172619047619049</v>
      </c>
    </row>
    <row r="96" spans="2:31" x14ac:dyDescent="0.2">
      <c r="B96" s="15">
        <v>5</v>
      </c>
      <c r="C96" s="15">
        <v>3.6145520924049319</v>
      </c>
      <c r="D96" s="15">
        <v>5</v>
      </c>
      <c r="E96" s="15">
        <v>3.88</v>
      </c>
      <c r="F96" s="15">
        <v>5</v>
      </c>
      <c r="G96" s="15">
        <v>3.4829444746767009</v>
      </c>
      <c r="H96" s="15">
        <v>5</v>
      </c>
      <c r="I96" s="15">
        <v>3.5538516000000002</v>
      </c>
      <c r="J96" s="15">
        <v>5</v>
      </c>
      <c r="K96" s="15">
        <v>3.614552092404931</v>
      </c>
      <c r="L96" s="15">
        <v>5</v>
      </c>
      <c r="M96" s="15">
        <v>3.3430637386181039</v>
      </c>
      <c r="N96" s="15">
        <v>5</v>
      </c>
      <c r="O96" s="15">
        <v>3.619930183159437</v>
      </c>
      <c r="P96" s="15">
        <v>5</v>
      </c>
      <c r="Q96" s="15">
        <v>4.2149266265957932</v>
      </c>
      <c r="R96" s="15">
        <v>5</v>
      </c>
      <c r="S96" s="15">
        <v>4.3423741353687992</v>
      </c>
      <c r="T96" s="15">
        <v>5</v>
      </c>
      <c r="U96" s="15">
        <v>3.7257626554852989</v>
      </c>
      <c r="V96" s="15">
        <v>2</v>
      </c>
      <c r="W96" s="15">
        <v>2.8283884525299068</v>
      </c>
      <c r="X96" s="15">
        <v>5</v>
      </c>
      <c r="Y96" s="15">
        <v>3.877109110273711</v>
      </c>
      <c r="Z96" s="15">
        <v>5</v>
      </c>
      <c r="AA96" s="15">
        <v>3.6461176872253418</v>
      </c>
      <c r="AB96" s="15">
        <v>5</v>
      </c>
      <c r="AC96" s="15">
        <v>4.1744880952380949</v>
      </c>
      <c r="AD96" s="15">
        <v>5</v>
      </c>
      <c r="AE96" s="15">
        <v>4.446761904761904</v>
      </c>
    </row>
    <row r="97" spans="2:31" x14ac:dyDescent="0.2">
      <c r="B97" s="15">
        <v>5</v>
      </c>
      <c r="C97" s="15">
        <v>3.833701309777457</v>
      </c>
      <c r="D97" s="15">
        <v>5</v>
      </c>
      <c r="E97" s="15">
        <v>3.9</v>
      </c>
      <c r="F97" s="15">
        <v>5</v>
      </c>
      <c r="G97" s="15">
        <v>4.0716064355786337</v>
      </c>
      <c r="H97" s="15">
        <v>5</v>
      </c>
      <c r="I97" s="15">
        <v>4.0011644000000004</v>
      </c>
      <c r="J97" s="15">
        <v>5</v>
      </c>
      <c r="K97" s="15">
        <v>3.8337013097774579</v>
      </c>
      <c r="L97" s="15">
        <v>5</v>
      </c>
      <c r="M97" s="15">
        <v>3.859941844364442</v>
      </c>
      <c r="N97" s="15">
        <v>5</v>
      </c>
      <c r="O97" s="15">
        <v>4.0431233108942664</v>
      </c>
      <c r="P97" s="15">
        <v>5</v>
      </c>
      <c r="Q97" s="15">
        <v>3.9533304480941309</v>
      </c>
      <c r="R97" s="15">
        <v>5</v>
      </c>
      <c r="S97" s="15">
        <v>4.0106534821604978</v>
      </c>
      <c r="T97" s="15">
        <v>5</v>
      </c>
      <c r="U97" s="15">
        <v>4.4005507533158106</v>
      </c>
      <c r="V97" s="15">
        <v>4</v>
      </c>
      <c r="W97" s="15">
        <v>4.1764664649963379</v>
      </c>
      <c r="X97" s="15">
        <v>5</v>
      </c>
      <c r="Y97" s="15">
        <v>4.2081929053633989</v>
      </c>
      <c r="Z97" s="15">
        <v>5</v>
      </c>
      <c r="AA97" s="15">
        <v>4.1053152084350586</v>
      </c>
      <c r="AB97" s="15">
        <v>5</v>
      </c>
      <c r="AC97" s="15">
        <v>4.1814285714285706</v>
      </c>
      <c r="AD97" s="15">
        <v>5</v>
      </c>
      <c r="AE97" s="15">
        <v>4.4349285714285722</v>
      </c>
    </row>
    <row r="98" spans="2:31" x14ac:dyDescent="0.2">
      <c r="B98" s="15">
        <v>5</v>
      </c>
      <c r="C98" s="15">
        <v>3.8137250587856908</v>
      </c>
      <c r="D98" s="15">
        <v>5</v>
      </c>
      <c r="E98" s="15">
        <v>4.18</v>
      </c>
      <c r="F98" s="15">
        <v>5</v>
      </c>
      <c r="G98" s="15">
        <v>4.1318477498775161</v>
      </c>
      <c r="H98" s="15">
        <v>5</v>
      </c>
      <c r="I98" s="15">
        <v>4.2850260000000002</v>
      </c>
      <c r="J98" s="15">
        <v>5</v>
      </c>
      <c r="K98" s="15">
        <v>3.8137250587856908</v>
      </c>
      <c r="L98" s="15">
        <v>5</v>
      </c>
      <c r="M98" s="15">
        <v>3.7990622906898861</v>
      </c>
      <c r="N98" s="15">
        <v>5</v>
      </c>
      <c r="O98" s="15">
        <v>3.1473330642298691</v>
      </c>
      <c r="P98" s="15">
        <v>5</v>
      </c>
      <c r="Q98" s="15">
        <v>3.587429874048869</v>
      </c>
      <c r="R98" s="15">
        <v>5</v>
      </c>
      <c r="S98" s="15">
        <v>3.739211430347618</v>
      </c>
      <c r="T98" s="15">
        <v>5</v>
      </c>
      <c r="U98" s="15">
        <v>3.0807419306678159</v>
      </c>
      <c r="V98" s="15">
        <v>5</v>
      </c>
      <c r="W98" s="15">
        <v>4.692138671875</v>
      </c>
      <c r="X98" s="15">
        <v>5</v>
      </c>
      <c r="Y98" s="15">
        <v>2.8405122633519269</v>
      </c>
      <c r="Z98" s="15">
        <v>5</v>
      </c>
      <c r="AA98" s="15">
        <v>2.322170495986938</v>
      </c>
      <c r="AB98" s="15">
        <v>5</v>
      </c>
      <c r="AC98" s="15">
        <v>3.6795158730158728</v>
      </c>
      <c r="AD98" s="15">
        <v>5</v>
      </c>
      <c r="AE98" s="15">
        <v>3.7232500000000011</v>
      </c>
    </row>
    <row r="99" spans="2:31" x14ac:dyDescent="0.2">
      <c r="B99" s="15">
        <v>5</v>
      </c>
      <c r="C99" s="15">
        <v>3.9905175379587861</v>
      </c>
      <c r="D99" s="15">
        <v>5</v>
      </c>
      <c r="E99" s="15">
        <v>4.51</v>
      </c>
      <c r="F99" s="15">
        <v>5</v>
      </c>
      <c r="G99" s="15">
        <v>4.4187902207966268</v>
      </c>
      <c r="H99" s="15">
        <v>5</v>
      </c>
      <c r="I99" s="15">
        <v>4.5620494000000003</v>
      </c>
      <c r="J99" s="15">
        <v>5</v>
      </c>
      <c r="K99" s="15">
        <v>3.9905175379587861</v>
      </c>
      <c r="L99" s="15">
        <v>5</v>
      </c>
      <c r="M99" s="15">
        <v>4.1691297208538591</v>
      </c>
      <c r="N99" s="15">
        <v>5</v>
      </c>
      <c r="O99" s="15">
        <v>3.5312139063064998</v>
      </c>
      <c r="P99" s="15">
        <v>5</v>
      </c>
      <c r="Q99" s="15">
        <v>4.6230695077602766</v>
      </c>
      <c r="R99" s="15">
        <v>5</v>
      </c>
      <c r="S99" s="15">
        <v>4.6956292758951408</v>
      </c>
      <c r="T99" s="15">
        <v>5</v>
      </c>
      <c r="U99" s="15">
        <v>3.811911384826411</v>
      </c>
      <c r="V99" s="15">
        <v>5</v>
      </c>
      <c r="W99" s="15">
        <v>4.3985271453857422</v>
      </c>
      <c r="X99" s="15">
        <v>5</v>
      </c>
      <c r="Y99" s="15">
        <v>3.6441012307762048</v>
      </c>
      <c r="Z99" s="15">
        <v>5</v>
      </c>
      <c r="AA99" s="15">
        <v>3.3792388439178471</v>
      </c>
      <c r="AB99" s="15">
        <v>5</v>
      </c>
      <c r="AC99" s="15">
        <v>4.3308928571428584</v>
      </c>
      <c r="AD99" s="15">
        <v>5</v>
      </c>
      <c r="AE99" s="15">
        <v>4.5039999999999996</v>
      </c>
    </row>
    <row r="100" spans="2:31" x14ac:dyDescent="0.2">
      <c r="B100" s="15">
        <v>1</v>
      </c>
      <c r="C100" s="15">
        <v>4.1596041140397153</v>
      </c>
      <c r="D100" s="15">
        <v>1</v>
      </c>
      <c r="E100" s="15">
        <v>4.24</v>
      </c>
      <c r="F100" s="15">
        <v>1</v>
      </c>
      <c r="G100" s="15">
        <v>4.6212839821706186</v>
      </c>
      <c r="H100" s="15">
        <v>1</v>
      </c>
      <c r="I100" s="15">
        <v>4.4329356999999998</v>
      </c>
      <c r="J100" s="15">
        <v>1</v>
      </c>
      <c r="K100" s="15">
        <v>4.1596041140397153</v>
      </c>
      <c r="L100" s="15">
        <v>1</v>
      </c>
      <c r="M100" s="15">
        <v>4.4884074496389204</v>
      </c>
      <c r="N100" s="15">
        <v>1</v>
      </c>
      <c r="O100" s="15">
        <v>3.4268432055675229</v>
      </c>
      <c r="P100" s="15">
        <v>1</v>
      </c>
      <c r="Q100" s="15">
        <v>3.8032742725406061</v>
      </c>
      <c r="R100" s="15">
        <v>1</v>
      </c>
      <c r="S100" s="15">
        <v>3.3787540822260089</v>
      </c>
      <c r="T100" s="15">
        <v>1</v>
      </c>
      <c r="U100" s="15">
        <v>3.8806781863483839</v>
      </c>
      <c r="V100" s="15">
        <v>2</v>
      </c>
      <c r="W100" s="15">
        <v>2.1937458515167241</v>
      </c>
      <c r="X100" s="15">
        <v>1</v>
      </c>
      <c r="Y100" s="15">
        <v>3.3757801084012771</v>
      </c>
      <c r="Z100" s="15">
        <v>1</v>
      </c>
      <c r="AA100" s="15">
        <v>3.1484110355377202</v>
      </c>
      <c r="AB100" s="15">
        <v>1</v>
      </c>
      <c r="AC100" s="15">
        <v>4.1832500000000001</v>
      </c>
      <c r="AD100" s="15">
        <v>1</v>
      </c>
      <c r="AE100" s="15">
        <v>3.63</v>
      </c>
    </row>
    <row r="101" spans="2:31" x14ac:dyDescent="0.2">
      <c r="B101" s="15">
        <v>5</v>
      </c>
      <c r="C101" s="15">
        <v>3.9987467968018811</v>
      </c>
      <c r="D101" s="15">
        <v>5</v>
      </c>
      <c r="E101" s="15">
        <v>3.89</v>
      </c>
      <c r="F101" s="15">
        <v>5</v>
      </c>
      <c r="G101" s="15">
        <v>4.1364539022583973</v>
      </c>
      <c r="H101" s="15">
        <v>5</v>
      </c>
      <c r="I101" s="15">
        <v>4.0525646000000002</v>
      </c>
      <c r="J101" s="15">
        <v>5</v>
      </c>
      <c r="K101" s="15">
        <v>3.9987467968018819</v>
      </c>
      <c r="L101" s="15">
        <v>5</v>
      </c>
      <c r="M101" s="15">
        <v>4.1937967914438499</v>
      </c>
      <c r="N101" s="15">
        <v>5</v>
      </c>
      <c r="O101" s="15">
        <v>3.3021495062977642</v>
      </c>
      <c r="P101" s="15">
        <v>5</v>
      </c>
      <c r="Q101" s="15">
        <v>3.316789380914003</v>
      </c>
      <c r="R101" s="15">
        <v>5</v>
      </c>
      <c r="S101" s="15">
        <v>3.7820790175648389</v>
      </c>
      <c r="T101" s="15">
        <v>5</v>
      </c>
      <c r="U101" s="15">
        <v>3.7399555791501808</v>
      </c>
      <c r="V101" s="15">
        <v>3</v>
      </c>
      <c r="W101" s="15">
        <v>3.5804569721221919</v>
      </c>
      <c r="X101" s="15">
        <v>5</v>
      </c>
      <c r="Y101" s="15">
        <v>3.4343090681864519</v>
      </c>
      <c r="Z101" s="15">
        <v>5</v>
      </c>
      <c r="AA101" s="15">
        <v>3.1461751461029048</v>
      </c>
      <c r="AB101" s="15">
        <v>5</v>
      </c>
      <c r="AC101" s="15">
        <v>3.2730000000000001</v>
      </c>
      <c r="AD101" s="15">
        <v>5</v>
      </c>
      <c r="AE101" s="15">
        <v>3.4274047619047621</v>
      </c>
    </row>
    <row r="102" spans="2:31" x14ac:dyDescent="0.2">
      <c r="B102" s="15">
        <v>4</v>
      </c>
      <c r="C102" s="15">
        <v>3.7707249038044108</v>
      </c>
      <c r="D102" s="15">
        <v>4</v>
      </c>
      <c r="E102" s="15">
        <v>3.04</v>
      </c>
      <c r="F102" s="15">
        <v>4</v>
      </c>
      <c r="G102" s="15">
        <v>3.5610938826811829</v>
      </c>
      <c r="H102" s="15">
        <v>4</v>
      </c>
      <c r="I102" s="15">
        <v>3.3734383999999999</v>
      </c>
      <c r="J102" s="15">
        <v>4</v>
      </c>
      <c r="K102" s="15">
        <v>3.7707249038044108</v>
      </c>
      <c r="L102" s="15">
        <v>4</v>
      </c>
      <c r="M102" s="15">
        <v>3.6448673277941568</v>
      </c>
      <c r="N102" s="15">
        <v>4</v>
      </c>
      <c r="O102" s="15">
        <v>4.0773319649619193</v>
      </c>
      <c r="P102" s="15">
        <v>4</v>
      </c>
      <c r="Q102" s="15">
        <v>3.7645460830866879</v>
      </c>
      <c r="R102" s="15">
        <v>4</v>
      </c>
      <c r="S102" s="15">
        <v>3.7270525433967361</v>
      </c>
      <c r="T102" s="15">
        <v>4</v>
      </c>
      <c r="U102" s="15">
        <v>4.2197008543365548</v>
      </c>
      <c r="V102" s="15">
        <v>4</v>
      </c>
      <c r="W102" s="15">
        <v>3.2448949813842769</v>
      </c>
      <c r="X102" s="15">
        <v>4</v>
      </c>
      <c r="Y102" s="15">
        <v>4.1506317883457937</v>
      </c>
      <c r="Z102" s="15">
        <v>4</v>
      </c>
      <c r="AA102" s="15">
        <v>3.9443602561950679</v>
      </c>
      <c r="AB102" s="15">
        <v>4</v>
      </c>
      <c r="AC102" s="15">
        <v>3.6513214285714279</v>
      </c>
      <c r="AD102" s="15">
        <v>4</v>
      </c>
      <c r="AE102" s="15">
        <v>3.8692500000000001</v>
      </c>
    </row>
    <row r="103" spans="2:31" x14ac:dyDescent="0.2">
      <c r="B103" s="15">
        <v>5</v>
      </c>
      <c r="C103" s="15">
        <v>3.938616813190865</v>
      </c>
      <c r="D103" s="15">
        <v>5</v>
      </c>
      <c r="E103" s="15">
        <v>4.1900000000000004</v>
      </c>
      <c r="F103" s="15">
        <v>5</v>
      </c>
      <c r="G103" s="15">
        <v>4.3239401188681974</v>
      </c>
      <c r="H103" s="15">
        <v>5</v>
      </c>
      <c r="I103" s="15">
        <v>4.4361343</v>
      </c>
      <c r="J103" s="15">
        <v>5</v>
      </c>
      <c r="K103" s="15">
        <v>3.9386168131908659</v>
      </c>
      <c r="L103" s="15">
        <v>5</v>
      </c>
      <c r="M103" s="15">
        <v>4.4168314035583167</v>
      </c>
      <c r="N103" s="15">
        <v>5</v>
      </c>
      <c r="O103" s="15">
        <v>3.905439591141366</v>
      </c>
      <c r="P103" s="15">
        <v>5</v>
      </c>
      <c r="Q103" s="15">
        <v>4.1794038004137573</v>
      </c>
      <c r="R103" s="15">
        <v>5</v>
      </c>
      <c r="S103" s="15">
        <v>3.877230520705885</v>
      </c>
      <c r="T103" s="15">
        <v>5</v>
      </c>
      <c r="U103" s="15">
        <v>4.0009790808267054</v>
      </c>
      <c r="V103" s="15">
        <v>4</v>
      </c>
      <c r="W103" s="15">
        <v>3.965861558914185</v>
      </c>
      <c r="X103" s="15">
        <v>5</v>
      </c>
      <c r="Y103" s="15">
        <v>4.2969176675572971</v>
      </c>
      <c r="Z103" s="15">
        <v>5</v>
      </c>
      <c r="AA103" s="15">
        <v>4.104616641998291</v>
      </c>
      <c r="AB103" s="15">
        <v>5</v>
      </c>
      <c r="AC103" s="15">
        <v>4.4185714285714282</v>
      </c>
      <c r="AD103" s="15">
        <v>5</v>
      </c>
      <c r="AE103" s="15">
        <v>3.973642857142857</v>
      </c>
    </row>
    <row r="104" spans="2:31" x14ac:dyDescent="0.2">
      <c r="B104" s="15">
        <v>5</v>
      </c>
      <c r="C104" s="15">
        <v>3.715536685063181</v>
      </c>
      <c r="D104" s="15">
        <v>5</v>
      </c>
      <c r="E104" s="15">
        <v>4.37</v>
      </c>
      <c r="F104" s="15">
        <v>5</v>
      </c>
      <c r="G104" s="15">
        <v>4.274507236378672</v>
      </c>
      <c r="H104" s="15">
        <v>5</v>
      </c>
      <c r="I104" s="15">
        <v>4.2988353000000004</v>
      </c>
      <c r="J104" s="15">
        <v>5</v>
      </c>
      <c r="K104" s="15">
        <v>3.715536685063181</v>
      </c>
      <c r="L104" s="15">
        <v>5</v>
      </c>
      <c r="M104" s="15">
        <v>4.2636709069882706</v>
      </c>
      <c r="N104" s="15">
        <v>5</v>
      </c>
      <c r="O104" s="15">
        <v>3.4517035076627671</v>
      </c>
      <c r="P104" s="15">
        <v>5</v>
      </c>
      <c r="Q104" s="15">
        <v>4.1885229328740703</v>
      </c>
      <c r="R104" s="15">
        <v>5</v>
      </c>
      <c r="S104" s="15">
        <v>4.2543737634871999</v>
      </c>
      <c r="T104" s="15">
        <v>5</v>
      </c>
      <c r="U104" s="15">
        <v>3.8080212532593132</v>
      </c>
      <c r="V104" s="15">
        <v>2</v>
      </c>
      <c r="W104" s="15">
        <v>3.7199447154998779</v>
      </c>
      <c r="X104" s="15">
        <v>5</v>
      </c>
      <c r="Y104" s="15">
        <v>3.7340570196341138</v>
      </c>
      <c r="Z104" s="15">
        <v>5</v>
      </c>
      <c r="AA104" s="15">
        <v>3.607542991638184</v>
      </c>
      <c r="AB104" s="15">
        <v>5</v>
      </c>
      <c r="AC104" s="15">
        <v>4.2342142857142866</v>
      </c>
      <c r="AD104" s="15">
        <v>5</v>
      </c>
      <c r="AE104" s="15">
        <v>4.1483492063492058</v>
      </c>
    </row>
    <row r="105" spans="2:31" x14ac:dyDescent="0.2">
      <c r="B105" s="15">
        <v>3</v>
      </c>
      <c r="C105" s="15">
        <v>3.208023764513992</v>
      </c>
      <c r="D105" s="15">
        <v>3</v>
      </c>
      <c r="E105" s="15">
        <v>3.54</v>
      </c>
      <c r="F105" s="15">
        <v>3</v>
      </c>
      <c r="G105" s="15">
        <v>3.2962309454292771</v>
      </c>
      <c r="H105" s="15">
        <v>3</v>
      </c>
      <c r="I105" s="15">
        <v>3.2839323999999999</v>
      </c>
      <c r="J105" s="15">
        <v>3</v>
      </c>
      <c r="K105" s="15">
        <v>3.208023764513992</v>
      </c>
      <c r="L105" s="15">
        <v>3</v>
      </c>
      <c r="M105" s="15">
        <v>3.660569105691057</v>
      </c>
      <c r="N105" s="15">
        <v>3</v>
      </c>
      <c r="O105" s="15">
        <v>3.2471850678862699</v>
      </c>
      <c r="P105" s="15">
        <v>3</v>
      </c>
      <c r="Q105" s="15">
        <v>2.9979736321446251</v>
      </c>
      <c r="R105" s="15">
        <v>3</v>
      </c>
      <c r="S105" s="15">
        <v>2.864662363147402</v>
      </c>
      <c r="T105" s="15">
        <v>3</v>
      </c>
      <c r="U105" s="15">
        <v>3.518003163784257</v>
      </c>
      <c r="V105" s="15">
        <v>2</v>
      </c>
      <c r="W105" s="15">
        <v>3.66883397102356</v>
      </c>
      <c r="X105" s="15">
        <v>3</v>
      </c>
      <c r="Y105" s="15">
        <v>3.5091336331570622</v>
      </c>
      <c r="Z105" s="15">
        <v>3</v>
      </c>
      <c r="AA105" s="15">
        <v>3.1640150547027588</v>
      </c>
      <c r="AB105" s="15">
        <v>3</v>
      </c>
      <c r="AC105" s="15">
        <v>3.4193690476190479</v>
      </c>
      <c r="AD105" s="15">
        <v>3</v>
      </c>
      <c r="AE105" s="15">
        <v>2.5893888888888892</v>
      </c>
    </row>
    <row r="106" spans="2:31" x14ac:dyDescent="0.2">
      <c r="B106" s="15">
        <v>5</v>
      </c>
      <c r="C106" s="15">
        <v>3.6953738715286288</v>
      </c>
      <c r="D106" s="15">
        <v>5</v>
      </c>
      <c r="E106" s="15">
        <v>4.5199999999999996</v>
      </c>
      <c r="F106" s="15">
        <v>5</v>
      </c>
      <c r="G106" s="15">
        <v>3.9278694353325001</v>
      </c>
      <c r="H106" s="15">
        <v>5</v>
      </c>
      <c r="I106" s="15">
        <v>4.2179165000000003</v>
      </c>
      <c r="J106" s="15">
        <v>5</v>
      </c>
      <c r="K106" s="15">
        <v>3.6953738715286288</v>
      </c>
      <c r="L106" s="15">
        <v>5</v>
      </c>
      <c r="M106" s="15">
        <v>4.1486227721313886</v>
      </c>
      <c r="N106" s="15">
        <v>5</v>
      </c>
      <c r="O106" s="15">
        <v>4.0413416437813368</v>
      </c>
      <c r="P106" s="15">
        <v>5</v>
      </c>
      <c r="Q106" s="15">
        <v>4.1590440332460332</v>
      </c>
      <c r="R106" s="15">
        <v>5</v>
      </c>
      <c r="S106" s="15">
        <v>3.9247841550695468</v>
      </c>
      <c r="T106" s="15">
        <v>5</v>
      </c>
      <c r="U106" s="15">
        <v>4.0662763539067983</v>
      </c>
      <c r="V106" s="15">
        <v>4</v>
      </c>
      <c r="W106" s="15">
        <v>3.3428993225097661</v>
      </c>
      <c r="X106" s="15">
        <v>5</v>
      </c>
      <c r="Y106" s="15">
        <v>4.1494305302447474</v>
      </c>
      <c r="Z106" s="15">
        <v>5</v>
      </c>
      <c r="AA106" s="15">
        <v>4.2306928634643546</v>
      </c>
      <c r="AB106" s="15">
        <v>5</v>
      </c>
      <c r="AC106" s="15">
        <v>4.6176666666666666</v>
      </c>
      <c r="AD106" s="15">
        <v>5</v>
      </c>
      <c r="AE106" s="15">
        <v>4.130178571428571</v>
      </c>
    </row>
    <row r="107" spans="2:31" x14ac:dyDescent="0.2">
      <c r="B107" s="15">
        <v>4</v>
      </c>
      <c r="C107" s="15">
        <v>3.7955729462124732</v>
      </c>
      <c r="D107" s="15">
        <v>4</v>
      </c>
      <c r="E107" s="15">
        <v>4.08</v>
      </c>
      <c r="F107" s="15">
        <v>4</v>
      </c>
      <c r="G107" s="15">
        <v>4.0673688549045037</v>
      </c>
      <c r="H107" s="15">
        <v>4</v>
      </c>
      <c r="I107" s="15">
        <v>4.0628704999999998</v>
      </c>
      <c r="J107" s="15">
        <v>4</v>
      </c>
      <c r="K107" s="15">
        <v>3.7955729462124732</v>
      </c>
      <c r="L107" s="15">
        <v>4</v>
      </c>
      <c r="M107" s="15">
        <v>4.1375838926174504</v>
      </c>
      <c r="N107" s="15">
        <v>4</v>
      </c>
      <c r="O107" s="15">
        <v>4.5457355327181466</v>
      </c>
      <c r="P107" s="15">
        <v>4</v>
      </c>
      <c r="Q107" s="15">
        <v>4.0239674507682146</v>
      </c>
      <c r="R107" s="15">
        <v>4</v>
      </c>
      <c r="S107" s="15">
        <v>4.1757222202651816</v>
      </c>
      <c r="T107" s="15">
        <v>4</v>
      </c>
      <c r="U107" s="15">
        <v>3.9833176614947661</v>
      </c>
      <c r="V107" s="15">
        <v>3</v>
      </c>
      <c r="W107" s="15">
        <v>2.6894721984863281</v>
      </c>
      <c r="X107" s="15">
        <v>4</v>
      </c>
      <c r="Y107" s="15">
        <v>4.0778948784922768</v>
      </c>
      <c r="Z107" s="15">
        <v>4</v>
      </c>
      <c r="AA107" s="15">
        <v>4.5480852127075204</v>
      </c>
      <c r="AB107" s="15">
        <v>4</v>
      </c>
      <c r="AC107" s="15">
        <v>3.6147380952380952</v>
      </c>
      <c r="AD107" s="15">
        <v>4</v>
      </c>
      <c r="AE107" s="15">
        <v>4.1292777777777774</v>
      </c>
    </row>
    <row r="108" spans="2:31" x14ac:dyDescent="0.2">
      <c r="B108" s="15">
        <v>3</v>
      </c>
      <c r="C108" s="15">
        <v>3.6889258817601309</v>
      </c>
      <c r="D108" s="15">
        <v>3</v>
      </c>
      <c r="E108" s="15">
        <v>2.92</v>
      </c>
      <c r="F108" s="15">
        <v>3</v>
      </c>
      <c r="G108" s="15">
        <v>2.8998970675597762</v>
      </c>
      <c r="H108" s="15">
        <v>3</v>
      </c>
      <c r="I108" s="15">
        <v>2.8358620000000001</v>
      </c>
      <c r="J108" s="15">
        <v>3</v>
      </c>
      <c r="K108" s="15">
        <v>3.6889258817601309</v>
      </c>
      <c r="L108" s="15">
        <v>3</v>
      </c>
      <c r="M108" s="15">
        <v>2.9465776293823041</v>
      </c>
      <c r="N108" s="15">
        <v>3</v>
      </c>
      <c r="O108" s="15">
        <v>3.699208704105577</v>
      </c>
      <c r="P108" s="15">
        <v>3</v>
      </c>
      <c r="Q108" s="15">
        <v>3.6291025825046521</v>
      </c>
      <c r="R108" s="15">
        <v>3</v>
      </c>
      <c r="S108" s="15">
        <v>3.3266740347349222</v>
      </c>
      <c r="T108" s="15">
        <v>3</v>
      </c>
      <c r="U108" s="15">
        <v>3.8545759755180251</v>
      </c>
      <c r="V108" s="15">
        <v>1</v>
      </c>
      <c r="W108" s="15">
        <v>3.3564074039459229</v>
      </c>
      <c r="X108" s="15">
        <v>3</v>
      </c>
      <c r="Y108" s="15">
        <v>3.935462543680265</v>
      </c>
      <c r="Z108" s="15">
        <v>3</v>
      </c>
      <c r="AA108" s="15">
        <v>3.6551423072814941</v>
      </c>
      <c r="AB108" s="15">
        <v>3</v>
      </c>
      <c r="AC108" s="15">
        <v>3.7600238095238101</v>
      </c>
      <c r="AD108" s="15">
        <v>3</v>
      </c>
      <c r="AE108" s="15">
        <v>3.8607619047619051</v>
      </c>
    </row>
    <row r="109" spans="2:31" x14ac:dyDescent="0.2">
      <c r="B109" s="15">
        <v>4</v>
      </c>
      <c r="C109" s="15">
        <v>3.74356164560121</v>
      </c>
      <c r="D109" s="15">
        <v>4</v>
      </c>
      <c r="E109" s="15">
        <v>3.77</v>
      </c>
      <c r="F109" s="15">
        <v>4</v>
      </c>
      <c r="G109" s="15">
        <v>3.562678428603185</v>
      </c>
      <c r="H109" s="15">
        <v>4</v>
      </c>
      <c r="I109" s="15">
        <v>3.5220989999999999</v>
      </c>
      <c r="J109" s="15">
        <v>4</v>
      </c>
      <c r="K109" s="15">
        <v>3.74356164560121</v>
      </c>
      <c r="L109" s="15">
        <v>4</v>
      </c>
      <c r="M109" s="15">
        <v>3.681549220010758</v>
      </c>
      <c r="N109" s="15">
        <v>4</v>
      </c>
      <c r="O109" s="15">
        <v>3.2904498082574989</v>
      </c>
      <c r="P109" s="15">
        <v>4</v>
      </c>
      <c r="Q109" s="15">
        <v>3.124386447428686</v>
      </c>
      <c r="R109" s="15">
        <v>4</v>
      </c>
      <c r="S109" s="15">
        <v>3.4313259572411638</v>
      </c>
      <c r="T109" s="15">
        <v>4</v>
      </c>
      <c r="U109" s="15">
        <v>3.278937239453398</v>
      </c>
      <c r="V109" s="15">
        <v>2</v>
      </c>
      <c r="W109" s="15">
        <v>2.098220586776733</v>
      </c>
      <c r="X109" s="15">
        <v>4</v>
      </c>
      <c r="Y109" s="15">
        <v>3.2032904893938139</v>
      </c>
      <c r="Z109" s="15">
        <v>4</v>
      </c>
      <c r="AA109" s="15">
        <v>3.5013375282287602</v>
      </c>
      <c r="AB109" s="15">
        <v>4</v>
      </c>
      <c r="AC109" s="15">
        <v>3.5575952380952378</v>
      </c>
      <c r="AD109" s="15">
        <v>4</v>
      </c>
      <c r="AE109" s="15">
        <v>3.831765151515151</v>
      </c>
    </row>
    <row r="110" spans="2:31" x14ac:dyDescent="0.2">
      <c r="B110" s="15">
        <v>1</v>
      </c>
      <c r="C110" s="15">
        <v>3.4386761470569431</v>
      </c>
      <c r="D110" s="15">
        <v>1</v>
      </c>
      <c r="E110" s="15">
        <v>2.88</v>
      </c>
      <c r="F110" s="15">
        <v>1</v>
      </c>
      <c r="G110" s="15">
        <v>3.0304141472896839</v>
      </c>
      <c r="H110" s="15">
        <v>1</v>
      </c>
      <c r="I110" s="15">
        <v>2.8945536999999999</v>
      </c>
      <c r="J110" s="15">
        <v>1</v>
      </c>
      <c r="K110" s="15">
        <v>3.4386761470569431</v>
      </c>
      <c r="L110" s="15">
        <v>1</v>
      </c>
      <c r="M110" s="15">
        <v>2.589232303090728</v>
      </c>
      <c r="N110" s="15">
        <v>1</v>
      </c>
      <c r="O110" s="15">
        <v>4.0277947295647056</v>
      </c>
      <c r="P110" s="15">
        <v>1</v>
      </c>
      <c r="Q110" s="15">
        <v>4.0097149510776573</v>
      </c>
      <c r="R110" s="15">
        <v>1</v>
      </c>
      <c r="S110" s="15">
        <v>3.9583633571910699</v>
      </c>
      <c r="T110" s="15">
        <v>1</v>
      </c>
      <c r="U110" s="15">
        <v>3.7591176162799909</v>
      </c>
      <c r="V110" s="15">
        <v>4</v>
      </c>
      <c r="W110" s="15">
        <v>4.3716440200805664</v>
      </c>
      <c r="X110" s="15">
        <v>1</v>
      </c>
      <c r="Y110" s="15">
        <v>3.737266008319363</v>
      </c>
      <c r="Z110" s="15">
        <v>1</v>
      </c>
      <c r="AA110" s="15">
        <v>3.5704667568206792</v>
      </c>
      <c r="AB110" s="15">
        <v>1</v>
      </c>
      <c r="AC110" s="15">
        <v>3.6661071428571428</v>
      </c>
      <c r="AD110" s="15">
        <v>1</v>
      </c>
      <c r="AE110" s="15">
        <v>3.839666666666667</v>
      </c>
    </row>
    <row r="111" spans="2:31" x14ac:dyDescent="0.2">
      <c r="B111" s="15">
        <v>5</v>
      </c>
      <c r="C111" s="15">
        <v>3.9098734970751412</v>
      </c>
      <c r="D111" s="15">
        <v>5</v>
      </c>
      <c r="E111" s="15">
        <v>4.51</v>
      </c>
      <c r="F111" s="15">
        <v>5</v>
      </c>
      <c r="G111" s="15">
        <v>4.4960943827231032</v>
      </c>
      <c r="H111" s="15">
        <v>5</v>
      </c>
      <c r="I111" s="15">
        <v>4.5659637000000002</v>
      </c>
      <c r="J111" s="15">
        <v>5</v>
      </c>
      <c r="K111" s="15">
        <v>3.9098734970751412</v>
      </c>
      <c r="L111" s="15">
        <v>5</v>
      </c>
      <c r="M111" s="15">
        <v>4.2636709069882706</v>
      </c>
      <c r="N111" s="15">
        <v>5</v>
      </c>
      <c r="O111" s="15">
        <v>4.1200008556489793</v>
      </c>
      <c r="P111" s="15">
        <v>5</v>
      </c>
      <c r="Q111" s="15">
        <v>3.615813576403327</v>
      </c>
      <c r="R111" s="15">
        <v>5</v>
      </c>
      <c r="S111" s="15">
        <v>3.949904708268329</v>
      </c>
      <c r="T111" s="15">
        <v>5</v>
      </c>
      <c r="U111" s="15">
        <v>4.3070821631975322</v>
      </c>
      <c r="V111" s="15">
        <v>5</v>
      </c>
      <c r="W111" s="15">
        <v>4.1239690780639648</v>
      </c>
      <c r="X111" s="15">
        <v>5</v>
      </c>
      <c r="Y111" s="15">
        <v>4.4084919632689932</v>
      </c>
      <c r="Z111" s="15">
        <v>5</v>
      </c>
      <c r="AA111" s="15">
        <v>4.2849574089050293</v>
      </c>
      <c r="AB111" s="15">
        <v>5</v>
      </c>
      <c r="AC111" s="15">
        <v>4.1964999999999986</v>
      </c>
      <c r="AD111" s="15">
        <v>5</v>
      </c>
      <c r="AE111" s="15">
        <v>4.1183333333333341</v>
      </c>
    </row>
    <row r="112" spans="2:31" x14ac:dyDescent="0.2">
      <c r="B112" s="15">
        <v>3</v>
      </c>
      <c r="C112" s="15">
        <v>3.6444113565989942</v>
      </c>
      <c r="D112" s="15">
        <v>3</v>
      </c>
      <c r="E112" s="15">
        <v>3.93</v>
      </c>
      <c r="F112" s="15">
        <v>3</v>
      </c>
      <c r="G112" s="15">
        <v>3.7999154804355308</v>
      </c>
      <c r="H112" s="15">
        <v>3</v>
      </c>
      <c r="I112" s="15">
        <v>3.8275478000000001</v>
      </c>
      <c r="J112" s="15">
        <v>3</v>
      </c>
      <c r="K112" s="15">
        <v>3.6444113565989942</v>
      </c>
      <c r="L112" s="15">
        <v>3</v>
      </c>
      <c r="M112" s="15">
        <v>4.0155208964264082</v>
      </c>
      <c r="N112" s="15">
        <v>3</v>
      </c>
      <c r="O112" s="15">
        <v>3.2945533891113992</v>
      </c>
      <c r="P112" s="15">
        <v>3</v>
      </c>
      <c r="Q112" s="15">
        <v>3.1408571315769369</v>
      </c>
      <c r="R112" s="15">
        <v>3</v>
      </c>
      <c r="S112" s="15">
        <v>2.744693828813602</v>
      </c>
      <c r="T112" s="15">
        <v>3</v>
      </c>
      <c r="U112" s="15">
        <v>3.656327647448375</v>
      </c>
      <c r="V112" s="15">
        <v>5</v>
      </c>
      <c r="W112" s="15">
        <v>4.2701220512390137</v>
      </c>
      <c r="X112" s="15">
        <v>3</v>
      </c>
      <c r="Y112" s="15">
        <v>3.2948507335981692</v>
      </c>
      <c r="Z112" s="15">
        <v>3</v>
      </c>
      <c r="AA112" s="15">
        <v>2.8307323455810551</v>
      </c>
      <c r="AB112" s="15">
        <v>3</v>
      </c>
      <c r="AC112" s="15">
        <v>3.2071388888888879</v>
      </c>
      <c r="AD112" s="15">
        <v>3</v>
      </c>
      <c r="AE112" s="15">
        <v>2.878916666666667</v>
      </c>
    </row>
    <row r="113" spans="2:31" x14ac:dyDescent="0.2">
      <c r="B113" s="15">
        <v>5</v>
      </c>
      <c r="C113" s="15">
        <v>3.6727353754108232</v>
      </c>
      <c r="D113" s="15">
        <v>5</v>
      </c>
      <c r="E113" s="15">
        <v>4.5</v>
      </c>
      <c r="F113" s="15">
        <v>5</v>
      </c>
      <c r="G113" s="15">
        <v>4.2205671411788472</v>
      </c>
      <c r="H113" s="15">
        <v>5</v>
      </c>
      <c r="I113" s="15">
        <v>4.1289600000000002</v>
      </c>
      <c r="J113" s="15">
        <v>5</v>
      </c>
      <c r="K113" s="15">
        <v>3.6727353754108232</v>
      </c>
      <c r="L113" s="15">
        <v>5</v>
      </c>
      <c r="M113" s="15">
        <v>3.831386441976254</v>
      </c>
      <c r="N113" s="15">
        <v>5</v>
      </c>
      <c r="O113" s="15">
        <v>4.1498602906552806</v>
      </c>
      <c r="P113" s="15">
        <v>5</v>
      </c>
      <c r="Q113" s="15">
        <v>3.9187298280809979</v>
      </c>
      <c r="R113" s="15">
        <v>5</v>
      </c>
      <c r="S113" s="15">
        <v>4.229875252876675</v>
      </c>
      <c r="T113" s="15">
        <v>5</v>
      </c>
      <c r="U113" s="15">
        <v>4.1943531264948062</v>
      </c>
      <c r="V113" s="15">
        <v>3</v>
      </c>
      <c r="W113" s="15">
        <v>3.9006888866424561</v>
      </c>
      <c r="X113" s="15">
        <v>5</v>
      </c>
      <c r="Y113" s="15">
        <v>4.0068765934316728</v>
      </c>
      <c r="Z113" s="15">
        <v>5</v>
      </c>
      <c r="AA113" s="15">
        <v>3.84595775604248</v>
      </c>
      <c r="AB113" s="15">
        <v>5</v>
      </c>
      <c r="AC113" s="15">
        <v>4.2266666666666666</v>
      </c>
      <c r="AD113" s="15">
        <v>5</v>
      </c>
      <c r="AE113" s="15">
        <v>4.2075357142857142</v>
      </c>
    </row>
    <row r="114" spans="2:31" x14ac:dyDescent="0.2">
      <c r="B114" s="15">
        <v>3</v>
      </c>
      <c r="C114" s="15">
        <v>3.8241632786145878</v>
      </c>
      <c r="D114" s="15">
        <v>3</v>
      </c>
      <c r="E114" s="15">
        <v>4.0199999999999996</v>
      </c>
      <c r="F114" s="15">
        <v>3</v>
      </c>
      <c r="G114" s="15">
        <v>4.0290556817031504</v>
      </c>
      <c r="H114" s="15">
        <v>3</v>
      </c>
      <c r="I114" s="15">
        <v>4.0733104000000004</v>
      </c>
      <c r="J114" s="15">
        <v>3</v>
      </c>
      <c r="K114" s="15">
        <v>3.8241632786145878</v>
      </c>
      <c r="L114" s="15">
        <v>3</v>
      </c>
      <c r="M114" s="15">
        <v>3.859941844364442</v>
      </c>
      <c r="N114" s="15">
        <v>3</v>
      </c>
      <c r="O114" s="15">
        <v>4.390668084286145</v>
      </c>
      <c r="P114" s="15">
        <v>3</v>
      </c>
      <c r="Q114" s="15">
        <v>4.0340627163935157</v>
      </c>
      <c r="R114" s="15">
        <v>3</v>
      </c>
      <c r="S114" s="15">
        <v>3.8419045260051758</v>
      </c>
      <c r="T114" s="15">
        <v>3</v>
      </c>
      <c r="U114" s="15">
        <v>4.1825774281742989</v>
      </c>
      <c r="V114" s="15">
        <v>1</v>
      </c>
      <c r="W114" s="15">
        <v>2.534781932830811</v>
      </c>
      <c r="X114" s="15">
        <v>3</v>
      </c>
      <c r="Y114" s="15">
        <v>3.9730205119102862</v>
      </c>
      <c r="Z114" s="15">
        <v>3</v>
      </c>
      <c r="AA114" s="15">
        <v>3.9482989311218262</v>
      </c>
      <c r="AB114" s="15">
        <v>3</v>
      </c>
      <c r="AC114" s="15">
        <v>3.7516666666666669</v>
      </c>
      <c r="AD114" s="15">
        <v>3</v>
      </c>
      <c r="AE114" s="15">
        <v>3.725535353535355</v>
      </c>
    </row>
    <row r="115" spans="2:31" x14ac:dyDescent="0.2">
      <c r="B115" s="15">
        <v>5</v>
      </c>
      <c r="C115" s="15">
        <v>4.1058217628965714</v>
      </c>
      <c r="D115" s="15">
        <v>5</v>
      </c>
      <c r="E115" s="15">
        <v>4.72</v>
      </c>
      <c r="F115" s="15">
        <v>5</v>
      </c>
      <c r="G115" s="15">
        <v>4.6157368583025784</v>
      </c>
      <c r="H115" s="15">
        <v>5</v>
      </c>
      <c r="I115" s="15">
        <v>5.2151036</v>
      </c>
      <c r="J115" s="15">
        <v>5</v>
      </c>
      <c r="K115" s="15">
        <v>4.1058217628965714</v>
      </c>
      <c r="L115" s="15">
        <v>5</v>
      </c>
      <c r="M115" s="15">
        <v>4.6301633045148893</v>
      </c>
      <c r="N115" s="15">
        <v>5</v>
      </c>
      <c r="O115" s="15">
        <v>3.5034920273001831</v>
      </c>
      <c r="P115" s="15">
        <v>5</v>
      </c>
      <c r="Q115" s="15">
        <v>3.8283647359700841</v>
      </c>
      <c r="R115" s="15">
        <v>5</v>
      </c>
      <c r="S115" s="15">
        <v>4.4733295151181984</v>
      </c>
      <c r="T115" s="15">
        <v>5</v>
      </c>
      <c r="U115" s="15">
        <v>3.6601071462252799</v>
      </c>
      <c r="V115" s="15">
        <v>5</v>
      </c>
      <c r="W115" s="15">
        <v>4.8243889808654794</v>
      </c>
      <c r="X115" s="15">
        <v>5</v>
      </c>
      <c r="Y115" s="15">
        <v>3.7243253793987559</v>
      </c>
      <c r="Z115" s="15">
        <v>5</v>
      </c>
      <c r="AA115" s="15">
        <v>3.3942208290100102</v>
      </c>
      <c r="AB115" s="15">
        <v>5</v>
      </c>
      <c r="AC115" s="15">
        <v>4.3083095238095233</v>
      </c>
      <c r="AD115" s="15">
        <v>5</v>
      </c>
      <c r="AE115" s="15">
        <v>4.0453690476190483</v>
      </c>
    </row>
    <row r="116" spans="2:31" x14ac:dyDescent="0.2">
      <c r="B116" s="15">
        <v>5</v>
      </c>
      <c r="C116" s="15">
        <v>4.007326690611734</v>
      </c>
      <c r="D116" s="15">
        <v>5</v>
      </c>
      <c r="E116" s="15">
        <v>4.45</v>
      </c>
      <c r="F116" s="15">
        <v>5</v>
      </c>
      <c r="G116" s="15">
        <v>4.4222889676631691</v>
      </c>
      <c r="H116" s="15">
        <v>5</v>
      </c>
      <c r="I116" s="15">
        <v>4.6579986</v>
      </c>
      <c r="J116" s="15">
        <v>5</v>
      </c>
      <c r="K116" s="15">
        <v>4.007326690611734</v>
      </c>
      <c r="L116" s="15">
        <v>5</v>
      </c>
      <c r="M116" s="15">
        <v>4.1486227721313886</v>
      </c>
      <c r="N116" s="15">
        <v>5</v>
      </c>
      <c r="O116" s="15">
        <v>4.0151296709879452</v>
      </c>
      <c r="P116" s="15">
        <v>5</v>
      </c>
      <c r="Q116" s="15">
        <v>3.6586188075017052</v>
      </c>
      <c r="R116" s="15">
        <v>5</v>
      </c>
      <c r="S116" s="15">
        <v>3.5519044060890961</v>
      </c>
      <c r="T116" s="15">
        <v>5</v>
      </c>
      <c r="U116" s="15">
        <v>4.1020495041134462</v>
      </c>
      <c r="V116" s="15">
        <v>5</v>
      </c>
      <c r="W116" s="15">
        <v>4.7330341339111328</v>
      </c>
      <c r="X116" s="15">
        <v>5</v>
      </c>
      <c r="Y116" s="15">
        <v>4.1475921536794473</v>
      </c>
      <c r="Z116" s="15">
        <v>5</v>
      </c>
      <c r="AA116" s="15">
        <v>4.0601611137390137</v>
      </c>
      <c r="AB116" s="15">
        <v>5</v>
      </c>
      <c r="AC116" s="15">
        <v>4.0563611111111113</v>
      </c>
      <c r="AD116" s="15">
        <v>5</v>
      </c>
      <c r="AE116" s="15">
        <v>3.8100357142857142</v>
      </c>
    </row>
    <row r="117" spans="2:31" x14ac:dyDescent="0.2">
      <c r="B117" s="15">
        <v>3</v>
      </c>
      <c r="C117" s="15">
        <v>3.2672424354769198</v>
      </c>
      <c r="D117" s="15">
        <v>3</v>
      </c>
      <c r="E117" s="15">
        <v>2.8</v>
      </c>
      <c r="F117" s="15">
        <v>3</v>
      </c>
      <c r="G117" s="15">
        <v>2.6986243805831638</v>
      </c>
      <c r="H117" s="15">
        <v>3</v>
      </c>
      <c r="I117" s="15">
        <v>2.7842207000000001</v>
      </c>
      <c r="J117" s="15">
        <v>3</v>
      </c>
      <c r="K117" s="15">
        <v>3.2672424354769198</v>
      </c>
      <c r="L117" s="15">
        <v>3</v>
      </c>
      <c r="M117" s="15">
        <v>2.8340395480225991</v>
      </c>
      <c r="N117" s="15">
        <v>3</v>
      </c>
      <c r="O117" s="15">
        <v>3.4778209512278249</v>
      </c>
      <c r="P117" s="15">
        <v>3</v>
      </c>
      <c r="Q117" s="15">
        <v>3.447017376010816</v>
      </c>
      <c r="R117" s="15">
        <v>3</v>
      </c>
      <c r="S117" s="15">
        <v>3.286365816001819</v>
      </c>
      <c r="T117" s="15">
        <v>3</v>
      </c>
      <c r="U117" s="15">
        <v>3.6569429030626499</v>
      </c>
      <c r="V117" s="15">
        <v>5</v>
      </c>
      <c r="W117" s="15">
        <v>4.1055393218994141</v>
      </c>
      <c r="X117" s="15">
        <v>3</v>
      </c>
      <c r="Y117" s="15">
        <v>3.3985105731553231</v>
      </c>
      <c r="Z117" s="15">
        <v>3</v>
      </c>
      <c r="AA117" s="15">
        <v>3.7743625640869141</v>
      </c>
      <c r="AB117" s="15">
        <v>3</v>
      </c>
      <c r="AC117" s="15">
        <v>3.8214999999999999</v>
      </c>
      <c r="AD117" s="15">
        <v>3</v>
      </c>
      <c r="AE117" s="15">
        <v>3.647678571428572</v>
      </c>
    </row>
    <row r="118" spans="2:31" x14ac:dyDescent="0.2">
      <c r="B118" s="15">
        <v>4</v>
      </c>
      <c r="C118" s="15">
        <v>3.679017370047696</v>
      </c>
      <c r="D118" s="15">
        <v>4</v>
      </c>
      <c r="E118" s="15">
        <v>3.72</v>
      </c>
      <c r="F118" s="15">
        <v>4</v>
      </c>
      <c r="G118" s="15">
        <v>3.6977417785715678</v>
      </c>
      <c r="H118" s="15">
        <v>4</v>
      </c>
      <c r="I118" s="15">
        <v>3.7123840000000001</v>
      </c>
      <c r="J118" s="15">
        <v>4</v>
      </c>
      <c r="K118" s="15">
        <v>3.679017370047696</v>
      </c>
      <c r="L118" s="15">
        <v>4</v>
      </c>
      <c r="M118" s="15">
        <v>3.831386441976254</v>
      </c>
      <c r="N118" s="15">
        <v>4</v>
      </c>
      <c r="O118" s="15">
        <v>3.0922886064104471</v>
      </c>
      <c r="P118" s="15">
        <v>4</v>
      </c>
      <c r="Q118" s="15">
        <v>3.7143640681054322</v>
      </c>
      <c r="R118" s="15">
        <v>4</v>
      </c>
      <c r="S118" s="15">
        <v>3.336552289947746</v>
      </c>
      <c r="T118" s="15">
        <v>4</v>
      </c>
      <c r="U118" s="15">
        <v>3.3285082950794518</v>
      </c>
      <c r="V118" s="15">
        <v>4</v>
      </c>
      <c r="W118" s="15">
        <v>4.1500744819641113</v>
      </c>
      <c r="X118" s="15">
        <v>4</v>
      </c>
      <c r="Y118" s="15">
        <v>3.0505229360031878</v>
      </c>
      <c r="Z118" s="15">
        <v>4</v>
      </c>
      <c r="AA118" s="15">
        <v>2.7157762050628662</v>
      </c>
      <c r="AB118" s="15">
        <v>4</v>
      </c>
      <c r="AC118" s="15">
        <v>4.0911666666666671</v>
      </c>
      <c r="AD118" s="15">
        <v>4</v>
      </c>
      <c r="AE118" s="15">
        <v>3.664475108225107</v>
      </c>
    </row>
    <row r="119" spans="2:31" x14ac:dyDescent="0.2">
      <c r="B119" s="15">
        <v>1</v>
      </c>
      <c r="C119" s="15">
        <v>0.30522648156955468</v>
      </c>
      <c r="D119" s="15">
        <v>1</v>
      </c>
      <c r="E119" s="15">
        <v>1.52</v>
      </c>
      <c r="F119" s="15">
        <v>1</v>
      </c>
      <c r="G119" s="15">
        <v>1.5175872099064811</v>
      </c>
      <c r="H119" s="15">
        <v>1</v>
      </c>
      <c r="I119" s="15">
        <v>1.7033083</v>
      </c>
      <c r="J119" s="15">
        <v>1</v>
      </c>
      <c r="K119" s="15">
        <v>0.30522648156955468</v>
      </c>
      <c r="L119" s="15">
        <v>1</v>
      </c>
      <c r="M119" s="15">
        <v>1.5931863727454909</v>
      </c>
      <c r="N119" s="15">
        <v>1</v>
      </c>
      <c r="O119" s="15">
        <v>3.4639864991994012</v>
      </c>
      <c r="P119" s="15">
        <v>1</v>
      </c>
      <c r="Q119" s="15">
        <v>1.2904369398368301</v>
      </c>
      <c r="R119" s="15">
        <v>1</v>
      </c>
      <c r="S119" s="15">
        <v>2.508991758190112</v>
      </c>
      <c r="T119" s="15">
        <v>1</v>
      </c>
      <c r="U119" s="15">
        <v>3.0707590491962171</v>
      </c>
      <c r="V119" s="15">
        <v>5</v>
      </c>
      <c r="W119" s="15">
        <v>3.4414165019989009</v>
      </c>
      <c r="X119" s="15">
        <v>1</v>
      </c>
      <c r="Y119" s="15">
        <v>2.4253404049101719</v>
      </c>
      <c r="Z119" s="15">
        <v>1</v>
      </c>
      <c r="AA119" s="15">
        <v>2.409919261932373</v>
      </c>
      <c r="AB119" s="15">
        <v>1</v>
      </c>
      <c r="AC119" s="15">
        <v>1.5373571428571431</v>
      </c>
      <c r="AD119" s="15">
        <v>1</v>
      </c>
      <c r="AE119" s="15">
        <v>1.529166666666667</v>
      </c>
    </row>
    <row r="120" spans="2:31" x14ac:dyDescent="0.2">
      <c r="B120" s="15">
        <v>5</v>
      </c>
      <c r="C120" s="15">
        <v>3.755995481342183</v>
      </c>
      <c r="D120" s="15">
        <v>5</v>
      </c>
      <c r="E120" s="15">
        <v>2.3199999999999998</v>
      </c>
      <c r="F120" s="15">
        <v>5</v>
      </c>
      <c r="G120" s="15">
        <v>2.4264199563522739</v>
      </c>
      <c r="H120" s="15">
        <v>5</v>
      </c>
      <c r="I120" s="15">
        <v>2.8902269999999999</v>
      </c>
      <c r="J120" s="15">
        <v>5</v>
      </c>
      <c r="K120" s="15">
        <v>3.755995481342183</v>
      </c>
      <c r="L120" s="15">
        <v>5</v>
      </c>
      <c r="M120" s="15">
        <v>2.623981373690337</v>
      </c>
      <c r="N120" s="15">
        <v>5</v>
      </c>
      <c r="O120" s="15">
        <v>4.1420810073056682</v>
      </c>
      <c r="P120" s="15">
        <v>5</v>
      </c>
      <c r="Q120" s="15">
        <v>3.706353946284962</v>
      </c>
      <c r="R120" s="15">
        <v>5</v>
      </c>
      <c r="S120" s="15">
        <v>3.8578367372705982</v>
      </c>
      <c r="T120" s="15">
        <v>5</v>
      </c>
      <c r="U120" s="15">
        <v>3.6789116169911762</v>
      </c>
      <c r="V120" s="15">
        <v>1</v>
      </c>
      <c r="W120" s="15">
        <v>3.4186854362487789</v>
      </c>
      <c r="X120" s="15">
        <v>5</v>
      </c>
      <c r="Y120" s="15">
        <v>3.243078103717691</v>
      </c>
      <c r="Z120" s="15">
        <v>5</v>
      </c>
      <c r="AA120" s="15">
        <v>3.1575343608856201</v>
      </c>
      <c r="AB120" s="15">
        <v>5</v>
      </c>
      <c r="AC120" s="15">
        <v>2.7507579365079362</v>
      </c>
      <c r="AD120" s="15">
        <v>5</v>
      </c>
      <c r="AE120" s="15">
        <v>3.5567142857142859</v>
      </c>
    </row>
    <row r="121" spans="2:31" x14ac:dyDescent="0.2">
      <c r="B121" s="15">
        <v>3</v>
      </c>
      <c r="C121" s="15">
        <v>3.5948849573304011</v>
      </c>
      <c r="D121" s="15">
        <v>3</v>
      </c>
      <c r="E121" s="15">
        <v>3.75</v>
      </c>
      <c r="F121" s="15">
        <v>3</v>
      </c>
      <c r="G121" s="15">
        <v>3.416376106087998</v>
      </c>
      <c r="H121" s="15">
        <v>3</v>
      </c>
      <c r="I121" s="15">
        <v>3.4916399</v>
      </c>
      <c r="J121" s="15">
        <v>3</v>
      </c>
      <c r="K121" s="15">
        <v>3.5948849573304011</v>
      </c>
      <c r="L121" s="15">
        <v>3</v>
      </c>
      <c r="M121" s="15">
        <v>3.607255948611237</v>
      </c>
      <c r="N121" s="15">
        <v>3</v>
      </c>
      <c r="O121" s="15">
        <v>3.866048973942569</v>
      </c>
      <c r="P121" s="15">
        <v>3</v>
      </c>
      <c r="Q121" s="15">
        <v>4.2747688818278409</v>
      </c>
      <c r="R121" s="15">
        <v>3</v>
      </c>
      <c r="S121" s="15">
        <v>4.3455581162052566</v>
      </c>
      <c r="T121" s="15">
        <v>3</v>
      </c>
      <c r="U121" s="15">
        <v>4.0227710611346961</v>
      </c>
      <c r="V121" s="15">
        <v>4</v>
      </c>
      <c r="W121" s="15">
        <v>3.040552139282227</v>
      </c>
      <c r="X121" s="15">
        <v>3</v>
      </c>
      <c r="Y121" s="15">
        <v>3.942777454591416</v>
      </c>
      <c r="Z121" s="15">
        <v>3</v>
      </c>
      <c r="AA121" s="15">
        <v>3.8118972778320308</v>
      </c>
      <c r="AB121" s="15">
        <v>3</v>
      </c>
      <c r="AC121" s="15">
        <v>4.2821428571428566</v>
      </c>
      <c r="AD121" s="15">
        <v>3</v>
      </c>
      <c r="AE121" s="15">
        <v>4.1333333333333329</v>
      </c>
    </row>
    <row r="122" spans="2:31" x14ac:dyDescent="0.2">
      <c r="B122" s="15">
        <v>5</v>
      </c>
      <c r="C122" s="15">
        <v>4.2117433072465724</v>
      </c>
      <c r="D122" s="15">
        <v>5</v>
      </c>
      <c r="E122" s="15">
        <v>4.2699999999999996</v>
      </c>
      <c r="F122" s="15">
        <v>5</v>
      </c>
      <c r="G122" s="15">
        <v>4.4355405304022399</v>
      </c>
      <c r="H122" s="15">
        <v>5</v>
      </c>
      <c r="I122" s="15">
        <v>4.3963169999999998</v>
      </c>
      <c r="J122" s="15">
        <v>5</v>
      </c>
      <c r="K122" s="15">
        <v>4.2117433072465724</v>
      </c>
      <c r="L122" s="15">
        <v>5</v>
      </c>
      <c r="M122" s="15">
        <v>4.3469162995594717</v>
      </c>
      <c r="N122" s="15">
        <v>5</v>
      </c>
      <c r="O122" s="15">
        <v>4.63842584075348</v>
      </c>
      <c r="P122" s="15">
        <v>5</v>
      </c>
      <c r="Q122" s="15">
        <v>4.5597369862227453</v>
      </c>
      <c r="R122" s="15">
        <v>5</v>
      </c>
      <c r="S122" s="15">
        <v>4.7338946587847879</v>
      </c>
      <c r="T122" s="15">
        <v>5</v>
      </c>
      <c r="U122" s="15">
        <v>4.2657475893361738</v>
      </c>
      <c r="V122" s="15">
        <v>4</v>
      </c>
      <c r="W122" s="15">
        <v>3.9232525825500488</v>
      </c>
      <c r="X122" s="15">
        <v>5</v>
      </c>
      <c r="Y122" s="15">
        <v>4.6437812858444767</v>
      </c>
      <c r="Z122" s="15">
        <v>5</v>
      </c>
      <c r="AA122" s="15">
        <v>4.5091738700866699</v>
      </c>
      <c r="AB122" s="15">
        <v>5</v>
      </c>
      <c r="AC122" s="15">
        <v>4.3678571428571429</v>
      </c>
      <c r="AD122" s="15">
        <v>5</v>
      </c>
      <c r="AE122" s="15">
        <v>4.2238333333333333</v>
      </c>
    </row>
    <row r="123" spans="2:31" x14ac:dyDescent="0.2">
      <c r="B123" s="15">
        <v>5</v>
      </c>
      <c r="C123" s="15">
        <v>3.9407505755695258</v>
      </c>
      <c r="D123" s="15">
        <v>5</v>
      </c>
      <c r="E123" s="15">
        <v>4.07</v>
      </c>
      <c r="F123" s="15">
        <v>5</v>
      </c>
      <c r="G123" s="15">
        <v>4.3010893138605564</v>
      </c>
      <c r="H123" s="15">
        <v>5</v>
      </c>
      <c r="I123" s="15">
        <v>4.1213664999999997</v>
      </c>
      <c r="J123" s="15">
        <v>5</v>
      </c>
      <c r="K123" s="15">
        <v>3.9407505755695258</v>
      </c>
      <c r="L123" s="15">
        <v>5</v>
      </c>
      <c r="M123" s="15">
        <v>4.0155208964264082</v>
      </c>
      <c r="N123" s="15">
        <v>5</v>
      </c>
      <c r="O123" s="15">
        <v>3.4308374374344059</v>
      </c>
      <c r="P123" s="15">
        <v>5</v>
      </c>
      <c r="Q123" s="15">
        <v>3.8067811481797982</v>
      </c>
      <c r="R123" s="15">
        <v>5</v>
      </c>
      <c r="S123" s="15">
        <v>3.9609506743358471</v>
      </c>
      <c r="T123" s="15">
        <v>5</v>
      </c>
      <c r="U123" s="15">
        <v>3.6705942369969859</v>
      </c>
      <c r="V123" s="15">
        <v>5</v>
      </c>
      <c r="W123" s="15">
        <v>3.1498005390167241</v>
      </c>
      <c r="X123" s="15">
        <v>5</v>
      </c>
      <c r="Y123" s="15">
        <v>3.203716465280281</v>
      </c>
      <c r="Z123" s="15">
        <v>5</v>
      </c>
      <c r="AA123" s="15">
        <v>1.918196558952332</v>
      </c>
      <c r="AB123" s="15">
        <v>5</v>
      </c>
      <c r="AC123" s="15">
        <v>4.1463134920634914</v>
      </c>
      <c r="AD123" s="15">
        <v>5</v>
      </c>
      <c r="AE123" s="15">
        <v>4.2204960317460323</v>
      </c>
    </row>
    <row r="124" spans="2:31" x14ac:dyDescent="0.2">
      <c r="B124" s="15">
        <v>4</v>
      </c>
      <c r="C124" s="15">
        <v>3.6055301495975649</v>
      </c>
      <c r="D124" s="15">
        <v>4</v>
      </c>
      <c r="E124" s="15">
        <v>3.59</v>
      </c>
      <c r="F124" s="15">
        <v>4</v>
      </c>
      <c r="G124" s="15">
        <v>3.394957835284782</v>
      </c>
      <c r="H124" s="15">
        <v>4</v>
      </c>
      <c r="I124" s="15">
        <v>3.478596</v>
      </c>
      <c r="J124" s="15">
        <v>4</v>
      </c>
      <c r="K124" s="15">
        <v>3.6055301495975649</v>
      </c>
      <c r="L124" s="15">
        <v>4</v>
      </c>
      <c r="M124" s="15">
        <v>3.3870395028850422</v>
      </c>
      <c r="N124" s="15">
        <v>4</v>
      </c>
      <c r="O124" s="15">
        <v>3.677243499040117</v>
      </c>
      <c r="P124" s="15">
        <v>4</v>
      </c>
      <c r="Q124" s="15">
        <v>3.382506953515815</v>
      </c>
      <c r="R124" s="15">
        <v>4</v>
      </c>
      <c r="S124" s="15">
        <v>3.5082751001849601</v>
      </c>
      <c r="T124" s="15">
        <v>4</v>
      </c>
      <c r="U124" s="15">
        <v>3.9165007278820561</v>
      </c>
      <c r="V124" s="15">
        <v>3</v>
      </c>
      <c r="W124" s="15">
        <v>2.9625856876373291</v>
      </c>
      <c r="X124" s="15">
        <v>4</v>
      </c>
      <c r="Y124" s="15">
        <v>3.6404112146948879</v>
      </c>
      <c r="Z124" s="15">
        <v>4</v>
      </c>
      <c r="AA124" s="15">
        <v>3.8361983299255371</v>
      </c>
      <c r="AB124" s="15">
        <v>4</v>
      </c>
      <c r="AC124" s="15">
        <v>3.5514999999999999</v>
      </c>
      <c r="AD124" s="15">
        <v>4</v>
      </c>
      <c r="AE124" s="15">
        <v>3.901333333333334</v>
      </c>
    </row>
    <row r="125" spans="2:31" x14ac:dyDescent="0.2">
      <c r="B125" s="15">
        <v>4</v>
      </c>
      <c r="C125" s="15">
        <v>2.451478601896099</v>
      </c>
      <c r="D125" s="15">
        <v>4</v>
      </c>
      <c r="E125" s="15">
        <v>1.98</v>
      </c>
      <c r="F125" s="15">
        <v>4</v>
      </c>
      <c r="G125" s="15">
        <v>2.0753287154512639</v>
      </c>
      <c r="H125" s="15">
        <v>4</v>
      </c>
      <c r="I125" s="15">
        <v>1.8313398000000001</v>
      </c>
      <c r="J125" s="15">
        <v>4</v>
      </c>
      <c r="K125" s="15">
        <v>2.451478601896099</v>
      </c>
      <c r="L125" s="15">
        <v>4</v>
      </c>
      <c r="M125" s="15">
        <v>2.0354879594423321</v>
      </c>
      <c r="N125" s="15">
        <v>4</v>
      </c>
      <c r="O125" s="15">
        <v>3.082196466570172</v>
      </c>
      <c r="P125" s="15">
        <v>4</v>
      </c>
      <c r="Q125" s="15">
        <v>2.8312801669896932</v>
      </c>
      <c r="R125" s="15">
        <v>4</v>
      </c>
      <c r="S125" s="15">
        <v>3.0904484324141248</v>
      </c>
      <c r="T125" s="15">
        <v>4</v>
      </c>
      <c r="U125" s="15">
        <v>3.3445539236702699</v>
      </c>
      <c r="V125" s="15">
        <v>3</v>
      </c>
      <c r="W125" s="15">
        <v>3.786833763122559</v>
      </c>
      <c r="X125" s="15">
        <v>4</v>
      </c>
      <c r="Y125" s="15">
        <v>2.7150304552071081</v>
      </c>
      <c r="Z125" s="15">
        <v>4</v>
      </c>
      <c r="AA125" s="15">
        <v>2.643486499786377</v>
      </c>
      <c r="AB125" s="15">
        <v>4</v>
      </c>
      <c r="AC125" s="15">
        <v>2.700166666666667</v>
      </c>
      <c r="AD125" s="15">
        <v>4</v>
      </c>
      <c r="AE125" s="15">
        <v>3.1819999999999999</v>
      </c>
    </row>
    <row r="126" spans="2:31" x14ac:dyDescent="0.2">
      <c r="B126" s="15">
        <v>4</v>
      </c>
      <c r="C126" s="15">
        <v>3.589696148003449</v>
      </c>
      <c r="D126" s="15">
        <v>4</v>
      </c>
      <c r="E126" s="15">
        <v>3.61</v>
      </c>
      <c r="F126" s="15">
        <v>4</v>
      </c>
      <c r="G126" s="15">
        <v>3.4709934923609929</v>
      </c>
      <c r="H126" s="15">
        <v>4</v>
      </c>
      <c r="I126" s="15">
        <v>3.4663818000000002</v>
      </c>
      <c r="J126" s="15">
        <v>4</v>
      </c>
      <c r="K126" s="15">
        <v>3.589696148003449</v>
      </c>
      <c r="L126" s="15">
        <v>4</v>
      </c>
      <c r="M126" s="15">
        <v>3.6448673277941568</v>
      </c>
      <c r="N126" s="15">
        <v>4</v>
      </c>
      <c r="O126" s="15">
        <v>3.989250540249051</v>
      </c>
      <c r="P126" s="15">
        <v>4</v>
      </c>
      <c r="Q126" s="15">
        <v>3.7121988746406909</v>
      </c>
      <c r="R126" s="15">
        <v>4</v>
      </c>
      <c r="S126" s="15">
        <v>4.048843826940475</v>
      </c>
      <c r="T126" s="15">
        <v>4</v>
      </c>
      <c r="U126" s="15">
        <v>4.1717016396419364</v>
      </c>
      <c r="V126" s="15">
        <v>4</v>
      </c>
      <c r="W126" s="15">
        <v>4.0489377975463867</v>
      </c>
      <c r="X126" s="15">
        <v>4</v>
      </c>
      <c r="Y126" s="15">
        <v>4.1551153286598286</v>
      </c>
      <c r="Z126" s="15">
        <v>4</v>
      </c>
      <c r="AA126" s="15">
        <v>4.2184877395629883</v>
      </c>
      <c r="AB126" s="15">
        <v>4</v>
      </c>
      <c r="AC126" s="15">
        <v>3.461904761904762</v>
      </c>
      <c r="AD126" s="15">
        <v>4</v>
      </c>
      <c r="AE126" s="15">
        <v>3.9851060606060611</v>
      </c>
    </row>
    <row r="127" spans="2:31" x14ac:dyDescent="0.2">
      <c r="B127" s="15">
        <v>4</v>
      </c>
      <c r="C127" s="15">
        <v>3.8051681755722351</v>
      </c>
      <c r="D127" s="15">
        <v>4</v>
      </c>
      <c r="E127" s="15">
        <v>4.07</v>
      </c>
      <c r="F127" s="15">
        <v>4</v>
      </c>
      <c r="G127" s="15">
        <v>4.2138574288204156</v>
      </c>
      <c r="H127" s="15">
        <v>4</v>
      </c>
      <c r="I127" s="15">
        <v>4.3231716000000002</v>
      </c>
      <c r="J127" s="15">
        <v>4</v>
      </c>
      <c r="K127" s="15">
        <v>3.8051681755722351</v>
      </c>
      <c r="L127" s="15">
        <v>4</v>
      </c>
      <c r="M127" s="15">
        <v>4.3465189873417716</v>
      </c>
      <c r="N127" s="15">
        <v>4</v>
      </c>
      <c r="O127" s="15">
        <v>3.9435933787130701</v>
      </c>
      <c r="P127" s="15">
        <v>4</v>
      </c>
      <c r="Q127" s="15">
        <v>4.5281886027395784</v>
      </c>
      <c r="R127" s="15">
        <v>4</v>
      </c>
      <c r="S127" s="15">
        <v>4.8350326622196569</v>
      </c>
      <c r="T127" s="15">
        <v>4</v>
      </c>
      <c r="U127" s="15">
        <v>4.1871310514655598</v>
      </c>
      <c r="V127" s="15">
        <v>4</v>
      </c>
      <c r="W127" s="15">
        <v>4.0161728858947754</v>
      </c>
      <c r="X127" s="15">
        <v>4</v>
      </c>
      <c r="Y127" s="15">
        <v>4.0735364120183686</v>
      </c>
      <c r="Z127" s="15">
        <v>4</v>
      </c>
      <c r="AA127" s="15">
        <v>4.0480170249938956</v>
      </c>
      <c r="AB127" s="15">
        <v>4</v>
      </c>
      <c r="AC127" s="15">
        <v>4.2173809523809522</v>
      </c>
      <c r="AD127" s="15">
        <v>4</v>
      </c>
      <c r="AE127" s="15">
        <v>4.2906515151515148</v>
      </c>
    </row>
    <row r="128" spans="2:31" x14ac:dyDescent="0.2">
      <c r="B128" s="15">
        <v>4</v>
      </c>
      <c r="C128" s="15">
        <v>3.8055999942267289</v>
      </c>
      <c r="D128" s="15">
        <v>4</v>
      </c>
      <c r="E128" s="15">
        <v>3.77</v>
      </c>
      <c r="F128" s="15">
        <v>4</v>
      </c>
      <c r="G128" s="15">
        <v>3.7721712424001099</v>
      </c>
      <c r="H128" s="15">
        <v>4</v>
      </c>
      <c r="I128" s="15">
        <v>3.9539971</v>
      </c>
      <c r="J128" s="15">
        <v>4</v>
      </c>
      <c r="K128" s="15">
        <v>3.8055999942267289</v>
      </c>
      <c r="L128" s="15">
        <v>4</v>
      </c>
      <c r="M128" s="15">
        <v>4.1937967914438499</v>
      </c>
      <c r="N128" s="15">
        <v>4</v>
      </c>
      <c r="O128" s="15">
        <v>3.659384376282095</v>
      </c>
      <c r="P128" s="15">
        <v>4</v>
      </c>
      <c r="Q128" s="15">
        <v>3.9332502318918658</v>
      </c>
      <c r="R128" s="15">
        <v>4</v>
      </c>
      <c r="S128" s="15">
        <v>3.7882404284252051</v>
      </c>
      <c r="T128" s="15">
        <v>4</v>
      </c>
      <c r="U128" s="15">
        <v>4.0661422456797203</v>
      </c>
      <c r="V128" s="15">
        <v>4</v>
      </c>
      <c r="W128" s="15">
        <v>3.9404466152191162</v>
      </c>
      <c r="X128" s="15">
        <v>4</v>
      </c>
      <c r="Y128" s="15">
        <v>3.7909071639383698</v>
      </c>
      <c r="Z128" s="15">
        <v>4</v>
      </c>
      <c r="AA128" s="15">
        <v>3.2188313007354741</v>
      </c>
      <c r="AB128" s="15">
        <v>4</v>
      </c>
      <c r="AC128" s="15">
        <v>3.9971666666666659</v>
      </c>
      <c r="AD128" s="15">
        <v>4</v>
      </c>
      <c r="AE128" s="15">
        <v>4.1890000000000001</v>
      </c>
    </row>
    <row r="129" spans="2:31" x14ac:dyDescent="0.2">
      <c r="B129" s="15">
        <v>4</v>
      </c>
      <c r="C129" s="15">
        <v>3.0274656644439899</v>
      </c>
      <c r="D129" s="15">
        <v>4</v>
      </c>
      <c r="E129" s="15">
        <v>2.21</v>
      </c>
      <c r="F129" s="15">
        <v>4</v>
      </c>
      <c r="G129" s="15">
        <v>2.2408869215717728</v>
      </c>
      <c r="H129" s="15">
        <v>4</v>
      </c>
      <c r="I129" s="15">
        <v>2.1479332000000002</v>
      </c>
      <c r="J129" s="15">
        <v>4</v>
      </c>
      <c r="K129" s="15">
        <v>3.0274656644439899</v>
      </c>
      <c r="L129" s="15">
        <v>4</v>
      </c>
      <c r="M129" s="15">
        <v>2.3159509202453989</v>
      </c>
      <c r="N129" s="15">
        <v>4</v>
      </c>
      <c r="O129" s="15">
        <v>3.387452924953664</v>
      </c>
      <c r="P129" s="15">
        <v>4</v>
      </c>
      <c r="Q129" s="15">
        <v>2.8507084667733018</v>
      </c>
      <c r="R129" s="15">
        <v>4</v>
      </c>
      <c r="S129" s="15">
        <v>3.25022355018237</v>
      </c>
      <c r="T129" s="15">
        <v>4</v>
      </c>
      <c r="U129" s="15">
        <v>3.7806583912846699</v>
      </c>
      <c r="V129" s="15">
        <v>4</v>
      </c>
      <c r="W129" s="15">
        <v>4.4446268081665039</v>
      </c>
      <c r="X129" s="15">
        <v>4</v>
      </c>
      <c r="Y129" s="15">
        <v>3.4833427560016088</v>
      </c>
      <c r="Z129" s="15">
        <v>4</v>
      </c>
      <c r="AA129" s="15">
        <v>3.4869849681854248</v>
      </c>
      <c r="AB129" s="15">
        <v>4</v>
      </c>
      <c r="AC129" s="15">
        <v>2.3610119047619049</v>
      </c>
      <c r="AD129" s="15">
        <v>4</v>
      </c>
      <c r="AE129" s="15">
        <v>3.007309523809524</v>
      </c>
    </row>
    <row r="130" spans="2:31" x14ac:dyDescent="0.2">
      <c r="B130" s="15">
        <v>5</v>
      </c>
      <c r="C130" s="15">
        <v>3.818847806631283</v>
      </c>
      <c r="D130" s="15">
        <v>5</v>
      </c>
      <c r="E130" s="15">
        <v>4.0199999999999996</v>
      </c>
      <c r="F130" s="15">
        <v>5</v>
      </c>
      <c r="G130" s="15">
        <v>3.9725489552907089</v>
      </c>
      <c r="H130" s="15">
        <v>5</v>
      </c>
      <c r="I130" s="15">
        <v>4.0246224000000002</v>
      </c>
      <c r="J130" s="15">
        <v>5</v>
      </c>
      <c r="K130" s="15">
        <v>3.818847806631283</v>
      </c>
      <c r="L130" s="15">
        <v>5</v>
      </c>
      <c r="M130" s="15">
        <v>4.1375838926174504</v>
      </c>
      <c r="N130" s="15">
        <v>5</v>
      </c>
      <c r="O130" s="15">
        <v>4.3121689600874271</v>
      </c>
      <c r="P130" s="15">
        <v>5</v>
      </c>
      <c r="Q130" s="15">
        <v>5.2251979536272906</v>
      </c>
      <c r="R130" s="15">
        <v>5</v>
      </c>
      <c r="S130" s="15">
        <v>5.3696402700936794</v>
      </c>
      <c r="T130" s="15">
        <v>5</v>
      </c>
      <c r="U130" s="15">
        <v>4.1150119627587243</v>
      </c>
      <c r="V130" s="15">
        <v>4</v>
      </c>
      <c r="W130" s="15">
        <v>3.11396312713623</v>
      </c>
      <c r="X130" s="15">
        <v>5</v>
      </c>
      <c r="Y130" s="15">
        <v>3.940294640363291</v>
      </c>
      <c r="Z130" s="15">
        <v>5</v>
      </c>
      <c r="AA130" s="15">
        <v>3.617005586624146</v>
      </c>
      <c r="AB130" s="15">
        <v>5</v>
      </c>
      <c r="AC130" s="15">
        <v>4.1770555555555564</v>
      </c>
      <c r="AD130" s="15">
        <v>5</v>
      </c>
      <c r="AE130" s="15">
        <v>4.3836666666666666</v>
      </c>
    </row>
    <row r="131" spans="2:31" x14ac:dyDescent="0.2">
      <c r="B131" s="15">
        <v>4</v>
      </c>
      <c r="C131" s="15">
        <v>3.887699519681826</v>
      </c>
      <c r="D131" s="15">
        <v>4</v>
      </c>
      <c r="E131" s="15">
        <v>4.22</v>
      </c>
      <c r="F131" s="15">
        <v>4</v>
      </c>
      <c r="G131" s="15">
        <v>4.0886785990268519</v>
      </c>
      <c r="H131" s="15">
        <v>4</v>
      </c>
      <c r="I131" s="15">
        <v>4.2138004000000002</v>
      </c>
      <c r="J131" s="15">
        <v>4</v>
      </c>
      <c r="K131" s="15">
        <v>3.887699519681826</v>
      </c>
      <c r="L131" s="15">
        <v>4</v>
      </c>
      <c r="M131" s="15">
        <v>4.1486227721313886</v>
      </c>
      <c r="N131" s="15">
        <v>4</v>
      </c>
      <c r="O131" s="15">
        <v>3.3005414923182901</v>
      </c>
      <c r="P131" s="15">
        <v>4</v>
      </c>
      <c r="Q131" s="15">
        <v>3.688067546265291</v>
      </c>
      <c r="R131" s="15">
        <v>4</v>
      </c>
      <c r="S131" s="15">
        <v>3.5257482335138399</v>
      </c>
      <c r="T131" s="15">
        <v>4</v>
      </c>
      <c r="U131" s="15">
        <v>3.5219626056901552</v>
      </c>
      <c r="V131" s="15">
        <v>4</v>
      </c>
      <c r="W131" s="15">
        <v>3.2505321502685551</v>
      </c>
      <c r="X131" s="15">
        <v>4</v>
      </c>
      <c r="Y131" s="15">
        <v>3.6966024258684009</v>
      </c>
      <c r="Z131" s="15">
        <v>4</v>
      </c>
      <c r="AA131" s="15">
        <v>3.226291418075562</v>
      </c>
      <c r="AB131" s="15">
        <v>4</v>
      </c>
      <c r="AC131" s="15">
        <v>4.0156666666666663</v>
      </c>
      <c r="AD131" s="15">
        <v>4</v>
      </c>
      <c r="AE131" s="15">
        <v>4.2817380952380946</v>
      </c>
    </row>
    <row r="132" spans="2:31" x14ac:dyDescent="0.2">
      <c r="B132" s="15">
        <v>4</v>
      </c>
      <c r="C132" s="15">
        <v>3.6853634720348798</v>
      </c>
      <c r="D132" s="15">
        <v>4</v>
      </c>
      <c r="E132" s="15">
        <v>3.82</v>
      </c>
      <c r="F132" s="15">
        <v>4</v>
      </c>
      <c r="G132" s="15">
        <v>3.900783799080227</v>
      </c>
      <c r="H132" s="15">
        <v>4</v>
      </c>
      <c r="I132" s="15">
        <v>3.8721155999999999</v>
      </c>
      <c r="J132" s="15">
        <v>4</v>
      </c>
      <c r="K132" s="15">
        <v>3.6853634720348798</v>
      </c>
      <c r="L132" s="15">
        <v>4</v>
      </c>
      <c r="M132" s="15">
        <v>4.0155208964264082</v>
      </c>
      <c r="N132" s="15">
        <v>4</v>
      </c>
      <c r="O132" s="15">
        <v>3.842984550106515</v>
      </c>
      <c r="P132" s="15">
        <v>4</v>
      </c>
      <c r="Q132" s="15">
        <v>3.4914236646062959</v>
      </c>
      <c r="R132" s="15">
        <v>4</v>
      </c>
      <c r="S132" s="15">
        <v>3.732115627945559</v>
      </c>
      <c r="T132" s="15">
        <v>4</v>
      </c>
      <c r="U132" s="15">
        <v>3.973525939595743</v>
      </c>
      <c r="V132" s="15">
        <v>3</v>
      </c>
      <c r="W132" s="15">
        <v>3.7031149864196782</v>
      </c>
      <c r="X132" s="15">
        <v>4</v>
      </c>
      <c r="Y132" s="15">
        <v>3.7391052449508511</v>
      </c>
      <c r="Z132" s="15">
        <v>4</v>
      </c>
      <c r="AA132" s="15">
        <v>4.0393638610839844</v>
      </c>
      <c r="AB132" s="15">
        <v>4</v>
      </c>
      <c r="AC132" s="15">
        <v>3.3935</v>
      </c>
      <c r="AD132" s="15">
        <v>4</v>
      </c>
      <c r="AE132" s="15">
        <v>3.881904761904762</v>
      </c>
    </row>
    <row r="133" spans="2:31" x14ac:dyDescent="0.2">
      <c r="B133" s="15">
        <v>2</v>
      </c>
      <c r="C133" s="15">
        <v>3.3167422626136802</v>
      </c>
      <c r="D133" s="15">
        <v>2</v>
      </c>
      <c r="E133" s="15">
        <v>2.61</v>
      </c>
      <c r="F133" s="15">
        <v>2</v>
      </c>
      <c r="G133" s="15">
        <v>2.8254447899444992</v>
      </c>
      <c r="H133" s="15">
        <v>2</v>
      </c>
      <c r="I133" s="15">
        <v>2.7394050000000001</v>
      </c>
      <c r="J133" s="15">
        <v>2</v>
      </c>
      <c r="K133" s="15">
        <v>3.3167422626136789</v>
      </c>
      <c r="L133" s="15">
        <v>2</v>
      </c>
      <c r="M133" s="15">
        <v>2.6521084337349401</v>
      </c>
      <c r="N133" s="15">
        <v>2</v>
      </c>
      <c r="O133" s="15">
        <v>2.992307915156442</v>
      </c>
      <c r="P133" s="15">
        <v>2</v>
      </c>
      <c r="Q133" s="15">
        <v>2.916854819569171</v>
      </c>
      <c r="R133" s="15">
        <v>2</v>
      </c>
      <c r="S133" s="15">
        <v>2.6842324860954472</v>
      </c>
      <c r="T133" s="15">
        <v>2</v>
      </c>
      <c r="U133" s="15">
        <v>3.351120633927704</v>
      </c>
      <c r="V133" s="15">
        <v>1</v>
      </c>
      <c r="W133" s="15">
        <v>2.5743668079376221</v>
      </c>
      <c r="X133" s="15">
        <v>2</v>
      </c>
      <c r="Y133" s="15">
        <v>3.1892889885354672</v>
      </c>
      <c r="Z133" s="15">
        <v>2</v>
      </c>
      <c r="AA133" s="15">
        <v>2.8171427249908452</v>
      </c>
      <c r="AB133" s="15">
        <v>2</v>
      </c>
      <c r="AC133" s="15">
        <v>2.7702182539682552</v>
      </c>
      <c r="AD133" s="15">
        <v>2</v>
      </c>
      <c r="AE133" s="15">
        <v>3.0947380952380952</v>
      </c>
    </row>
    <row r="134" spans="2:31" x14ac:dyDescent="0.2">
      <c r="B134" s="15">
        <v>4</v>
      </c>
      <c r="C134" s="15">
        <v>3.6343809125499349</v>
      </c>
      <c r="D134" s="15">
        <v>4</v>
      </c>
      <c r="E134" s="15">
        <v>4.1399999999999997</v>
      </c>
      <c r="F134" s="15">
        <v>4</v>
      </c>
      <c r="G134" s="15">
        <v>3.9486547927165612</v>
      </c>
      <c r="H134" s="15">
        <v>4</v>
      </c>
      <c r="I134" s="15">
        <v>3.8466459999999998</v>
      </c>
      <c r="J134" s="15">
        <v>4</v>
      </c>
      <c r="K134" s="15">
        <v>3.6343809125499349</v>
      </c>
      <c r="L134" s="15">
        <v>4</v>
      </c>
      <c r="M134" s="15">
        <v>3.859941844364442</v>
      </c>
      <c r="N134" s="15">
        <v>4</v>
      </c>
      <c r="O134" s="15">
        <v>3.846518745560366</v>
      </c>
      <c r="P134" s="15">
        <v>4</v>
      </c>
      <c r="Q134" s="15">
        <v>4.27742619985501</v>
      </c>
      <c r="R134" s="15">
        <v>4</v>
      </c>
      <c r="S134" s="15">
        <v>4.3179557071806958</v>
      </c>
      <c r="T134" s="15">
        <v>4</v>
      </c>
      <c r="U134" s="15">
        <v>4.2913256604329266</v>
      </c>
      <c r="V134" s="15">
        <v>5</v>
      </c>
      <c r="W134" s="15">
        <v>4.5157051086425781</v>
      </c>
      <c r="X134" s="15">
        <v>4</v>
      </c>
      <c r="Y134" s="15">
        <v>4.4078531192372417</v>
      </c>
      <c r="Z134" s="15">
        <v>4</v>
      </c>
      <c r="AA134" s="15">
        <v>3.976166963577271</v>
      </c>
      <c r="AB134" s="15">
        <v>4</v>
      </c>
      <c r="AC134" s="15">
        <v>4.551333333333333</v>
      </c>
      <c r="AD134" s="15">
        <v>4</v>
      </c>
      <c r="AE134" s="15">
        <v>4.2378333333333327</v>
      </c>
    </row>
    <row r="135" spans="2:31" x14ac:dyDescent="0.2">
      <c r="B135" s="15">
        <v>4</v>
      </c>
      <c r="C135" s="15">
        <v>3.9103255058324038</v>
      </c>
      <c r="D135" s="15">
        <v>4</v>
      </c>
      <c r="E135" s="15">
        <v>4.5999999999999996</v>
      </c>
      <c r="F135" s="15">
        <v>4</v>
      </c>
      <c r="G135" s="15">
        <v>4.5755445418767842</v>
      </c>
      <c r="H135" s="15">
        <v>4</v>
      </c>
      <c r="I135" s="15">
        <v>4.5357529999999997</v>
      </c>
      <c r="J135" s="15">
        <v>4</v>
      </c>
      <c r="K135" s="15">
        <v>3.9103255058324038</v>
      </c>
      <c r="L135" s="15">
        <v>4</v>
      </c>
      <c r="M135" s="15">
        <v>4.1937967914438499</v>
      </c>
      <c r="N135" s="15">
        <v>4</v>
      </c>
      <c r="O135" s="15">
        <v>3.9934140469732822</v>
      </c>
      <c r="P135" s="15">
        <v>4</v>
      </c>
      <c r="Q135" s="15">
        <v>3.8151255828486241</v>
      </c>
      <c r="R135" s="15">
        <v>4</v>
      </c>
      <c r="S135" s="15">
        <v>3.9943380219116662</v>
      </c>
      <c r="T135" s="15">
        <v>4</v>
      </c>
      <c r="U135" s="15">
        <v>3.9713165761227449</v>
      </c>
      <c r="V135" s="15">
        <v>1</v>
      </c>
      <c r="W135" s="15">
        <v>1.4087182283401489</v>
      </c>
      <c r="X135" s="15">
        <v>4</v>
      </c>
      <c r="Y135" s="15">
        <v>3.9027526798767069</v>
      </c>
      <c r="Z135" s="15">
        <v>4</v>
      </c>
      <c r="AA135" s="15">
        <v>3.935233592987061</v>
      </c>
      <c r="AB135" s="15">
        <v>4</v>
      </c>
      <c r="AC135" s="15">
        <v>3.9334365079365079</v>
      </c>
      <c r="AD135" s="15">
        <v>4</v>
      </c>
      <c r="AE135" s="15">
        <v>4.0841269841269838</v>
      </c>
    </row>
    <row r="136" spans="2:31" x14ac:dyDescent="0.2">
      <c r="B136" s="15">
        <v>4</v>
      </c>
      <c r="C136" s="15">
        <v>3.5121512739733962</v>
      </c>
      <c r="D136" s="15">
        <v>4</v>
      </c>
      <c r="E136" s="15">
        <v>3.19</v>
      </c>
      <c r="F136" s="15">
        <v>4</v>
      </c>
      <c r="G136" s="15">
        <v>3.233417362736331</v>
      </c>
      <c r="H136" s="15">
        <v>4</v>
      </c>
      <c r="I136" s="15">
        <v>3.3620584</v>
      </c>
      <c r="J136" s="15">
        <v>4</v>
      </c>
      <c r="K136" s="15">
        <v>3.5121512739733962</v>
      </c>
      <c r="L136" s="15">
        <v>4</v>
      </c>
      <c r="M136" s="15">
        <v>3.607255948611237</v>
      </c>
      <c r="N136" s="15">
        <v>4</v>
      </c>
      <c r="O136" s="15">
        <v>3.524152549618603</v>
      </c>
      <c r="P136" s="15">
        <v>4</v>
      </c>
      <c r="Q136" s="15">
        <v>3.4186529208293148</v>
      </c>
      <c r="R136" s="15">
        <v>4</v>
      </c>
      <c r="S136" s="15">
        <v>3.58081033723913</v>
      </c>
      <c r="T136" s="15">
        <v>4</v>
      </c>
      <c r="U136" s="15">
        <v>3.6836103237627928</v>
      </c>
      <c r="V136" s="15">
        <v>4</v>
      </c>
      <c r="W136" s="15">
        <v>2.8348770141601558</v>
      </c>
      <c r="X136" s="15">
        <v>4</v>
      </c>
      <c r="Y136" s="15">
        <v>3.4218607434051469</v>
      </c>
      <c r="Z136" s="15">
        <v>4</v>
      </c>
      <c r="AA136" s="15">
        <v>2.886661291122437</v>
      </c>
      <c r="AB136" s="15">
        <v>4</v>
      </c>
      <c r="AC136" s="15">
        <v>3.381357142857143</v>
      </c>
      <c r="AD136" s="15">
        <v>4</v>
      </c>
      <c r="AE136" s="15">
        <v>3.4949761904761898</v>
      </c>
    </row>
    <row r="137" spans="2:31" x14ac:dyDescent="0.2">
      <c r="B137" s="15">
        <v>4</v>
      </c>
      <c r="C137" s="15">
        <v>3.8344418755794081</v>
      </c>
      <c r="D137" s="15">
        <v>4</v>
      </c>
      <c r="E137" s="15">
        <v>4.08</v>
      </c>
      <c r="F137" s="15">
        <v>4</v>
      </c>
      <c r="G137" s="15">
        <v>3.8585718505430981</v>
      </c>
      <c r="H137" s="15">
        <v>4</v>
      </c>
      <c r="I137" s="15">
        <v>4.0736420000000004</v>
      </c>
      <c r="J137" s="15">
        <v>4</v>
      </c>
      <c r="K137" s="15">
        <v>3.8344418755794081</v>
      </c>
      <c r="L137" s="15">
        <v>4</v>
      </c>
      <c r="M137" s="15">
        <v>3.831386441976254</v>
      </c>
      <c r="N137" s="15">
        <v>4</v>
      </c>
      <c r="O137" s="15">
        <v>4.0612890485050572</v>
      </c>
      <c r="P137" s="15">
        <v>4</v>
      </c>
      <c r="Q137" s="15">
        <v>4.2619529849551929</v>
      </c>
      <c r="R137" s="15">
        <v>4</v>
      </c>
      <c r="S137" s="15">
        <v>4.2697843947489051</v>
      </c>
      <c r="T137" s="15">
        <v>4</v>
      </c>
      <c r="U137" s="15">
        <v>4.3708162052744246</v>
      </c>
      <c r="V137" s="15">
        <v>4</v>
      </c>
      <c r="W137" s="15">
        <v>3.453500509262085</v>
      </c>
      <c r="X137" s="15">
        <v>4</v>
      </c>
      <c r="Y137" s="15">
        <v>4.1719254286075849</v>
      </c>
      <c r="Z137" s="15">
        <v>4</v>
      </c>
      <c r="AA137" s="15">
        <v>3.9773144721984859</v>
      </c>
      <c r="AB137" s="15">
        <v>4</v>
      </c>
      <c r="AC137" s="15">
        <v>4.5833095238095236</v>
      </c>
      <c r="AD137" s="15">
        <v>4</v>
      </c>
      <c r="AE137" s="15">
        <v>4.3736666666666668</v>
      </c>
    </row>
    <row r="138" spans="2:31" x14ac:dyDescent="0.2">
      <c r="B138" s="15">
        <v>5</v>
      </c>
      <c r="C138" s="15">
        <v>3.7460791488566749</v>
      </c>
      <c r="D138" s="15">
        <v>5</v>
      </c>
      <c r="E138" s="15">
        <v>4.0199999999999996</v>
      </c>
      <c r="F138" s="15">
        <v>5</v>
      </c>
      <c r="G138" s="15">
        <v>4.0664748291977117</v>
      </c>
      <c r="H138" s="15">
        <v>5</v>
      </c>
      <c r="I138" s="15">
        <v>4.0456519999999996</v>
      </c>
      <c r="J138" s="15">
        <v>5</v>
      </c>
      <c r="K138" s="15">
        <v>3.7460791488566749</v>
      </c>
      <c r="L138" s="15">
        <v>5</v>
      </c>
      <c r="M138" s="15">
        <v>3.9747958821441252</v>
      </c>
      <c r="N138" s="15">
        <v>5</v>
      </c>
      <c r="O138" s="15">
        <v>3.5247354869311089</v>
      </c>
      <c r="P138" s="15">
        <v>5</v>
      </c>
      <c r="Q138" s="15">
        <v>3.47212642729209</v>
      </c>
      <c r="R138" s="15">
        <v>5</v>
      </c>
      <c r="S138" s="15">
        <v>3.3026742595346321</v>
      </c>
      <c r="T138" s="15">
        <v>5</v>
      </c>
      <c r="U138" s="15">
        <v>3.851809908894547</v>
      </c>
      <c r="V138" s="15">
        <v>5</v>
      </c>
      <c r="W138" s="15">
        <v>3.8855850696563721</v>
      </c>
      <c r="X138" s="15">
        <v>5</v>
      </c>
      <c r="Y138" s="15">
        <v>3.565119330581485</v>
      </c>
      <c r="Z138" s="15">
        <v>5</v>
      </c>
      <c r="AA138" s="15">
        <v>3.8134415149688721</v>
      </c>
      <c r="AB138" s="15">
        <v>5</v>
      </c>
      <c r="AC138" s="15">
        <v>4.0565476190476204</v>
      </c>
      <c r="AD138" s="15">
        <v>5</v>
      </c>
      <c r="AE138" s="15">
        <v>3.6206666666666671</v>
      </c>
    </row>
    <row r="139" spans="2:31" x14ac:dyDescent="0.2">
      <c r="B139" s="15">
        <v>3</v>
      </c>
      <c r="C139" s="15">
        <v>3.1784259197946572</v>
      </c>
      <c r="D139" s="15">
        <v>3</v>
      </c>
      <c r="E139" s="15">
        <v>3.52</v>
      </c>
      <c r="F139" s="15">
        <v>3</v>
      </c>
      <c r="G139" s="15">
        <v>2.9532899124137559</v>
      </c>
      <c r="H139" s="15">
        <v>3</v>
      </c>
      <c r="I139" s="15">
        <v>3.1954389999999999</v>
      </c>
      <c r="J139" s="15">
        <v>3</v>
      </c>
      <c r="K139" s="15">
        <v>3.1784259197946572</v>
      </c>
      <c r="L139" s="15">
        <v>3</v>
      </c>
      <c r="M139" s="15">
        <v>3.4732775273663878</v>
      </c>
      <c r="N139" s="15">
        <v>3</v>
      </c>
      <c r="O139" s="15">
        <v>3.3598470695189602</v>
      </c>
      <c r="P139" s="15">
        <v>3</v>
      </c>
      <c r="Q139" s="15">
        <v>3.2136705301502562</v>
      </c>
      <c r="R139" s="15">
        <v>3</v>
      </c>
      <c r="S139" s="15">
        <v>3.3396874233337321</v>
      </c>
      <c r="T139" s="15">
        <v>3</v>
      </c>
      <c r="U139" s="15">
        <v>3.5072628786054518</v>
      </c>
      <c r="V139" s="15">
        <v>1</v>
      </c>
      <c r="W139" s="15">
        <v>1.638282895088196</v>
      </c>
      <c r="X139" s="15">
        <v>3</v>
      </c>
      <c r="Y139" s="15">
        <v>3.6895346692530309</v>
      </c>
      <c r="Z139" s="15">
        <v>3</v>
      </c>
      <c r="AA139" s="15">
        <v>4.0903348922729492</v>
      </c>
      <c r="AB139" s="15">
        <v>3</v>
      </c>
      <c r="AC139" s="15">
        <v>3.7155555555555551</v>
      </c>
      <c r="AD139" s="15">
        <v>3</v>
      </c>
      <c r="AE139" s="15">
        <v>3.2415634920634928</v>
      </c>
    </row>
    <row r="140" spans="2:31" x14ac:dyDescent="0.2">
      <c r="B140" s="15">
        <v>5</v>
      </c>
      <c r="C140" s="15">
        <v>4.4684961449850169</v>
      </c>
      <c r="D140" s="15">
        <v>5</v>
      </c>
      <c r="E140" s="15">
        <v>4.6900000000000004</v>
      </c>
      <c r="F140" s="15">
        <v>5</v>
      </c>
      <c r="G140" s="15">
        <v>4.7928889981701834</v>
      </c>
      <c r="H140" s="15">
        <v>5</v>
      </c>
      <c r="I140" s="15">
        <v>4.7109027000000001</v>
      </c>
      <c r="J140" s="15">
        <v>5</v>
      </c>
      <c r="K140" s="15">
        <v>4.4684961449850169</v>
      </c>
      <c r="L140" s="15">
        <v>5</v>
      </c>
      <c r="M140" s="15">
        <v>4.7248780487804876</v>
      </c>
      <c r="N140" s="15">
        <v>5</v>
      </c>
      <c r="O140" s="15">
        <v>3.1025671809404818</v>
      </c>
      <c r="P140" s="15">
        <v>5</v>
      </c>
      <c r="Q140" s="15">
        <v>5.2919862173934344</v>
      </c>
      <c r="R140" s="15">
        <v>5</v>
      </c>
      <c r="S140" s="15">
        <v>3.366286617482531</v>
      </c>
      <c r="T140" s="15">
        <v>5</v>
      </c>
      <c r="U140" s="15">
        <v>3.4938775103932538</v>
      </c>
      <c r="V140" s="15">
        <v>1</v>
      </c>
      <c r="W140" s="15">
        <v>0.82518887519836426</v>
      </c>
      <c r="X140" s="15">
        <v>5</v>
      </c>
      <c r="Y140" s="15">
        <v>3.5034658550976561</v>
      </c>
      <c r="Z140" s="15">
        <v>5</v>
      </c>
      <c r="AA140" s="15">
        <v>3.208318948745728</v>
      </c>
      <c r="AB140" s="15">
        <v>5</v>
      </c>
      <c r="AC140" s="15">
        <v>4.6849999999999996</v>
      </c>
      <c r="AD140" s="15">
        <v>5</v>
      </c>
      <c r="AE140" s="15">
        <v>4.3894047619047623</v>
      </c>
    </row>
    <row r="141" spans="2:31" x14ac:dyDescent="0.2">
      <c r="B141" s="15">
        <v>3</v>
      </c>
      <c r="C141" s="15">
        <v>3.6700209866976272</v>
      </c>
      <c r="D141" s="15">
        <v>3</v>
      </c>
      <c r="E141" s="15">
        <v>4.3499999999999996</v>
      </c>
      <c r="F141" s="15">
        <v>3</v>
      </c>
      <c r="G141" s="15">
        <v>4.4346385109290312</v>
      </c>
      <c r="H141" s="15">
        <v>3</v>
      </c>
      <c r="I141" s="15">
        <v>4.2651370000000002</v>
      </c>
      <c r="J141" s="15">
        <v>3</v>
      </c>
      <c r="K141" s="15">
        <v>3.6700209866976272</v>
      </c>
      <c r="L141" s="15">
        <v>3</v>
      </c>
      <c r="M141" s="15">
        <v>4.5828002842928219</v>
      </c>
      <c r="N141" s="15">
        <v>3</v>
      </c>
      <c r="O141" s="15">
        <v>2.1397551342965619</v>
      </c>
      <c r="P141" s="15">
        <v>3</v>
      </c>
      <c r="Q141" s="15">
        <v>2.734872328377929</v>
      </c>
      <c r="R141" s="15">
        <v>3</v>
      </c>
      <c r="S141" s="15">
        <v>2.5279779029571752</v>
      </c>
      <c r="T141" s="15">
        <v>3</v>
      </c>
      <c r="U141" s="15">
        <v>2.2419816969974882</v>
      </c>
      <c r="V141" s="15">
        <v>4</v>
      </c>
      <c r="W141" s="15">
        <v>3.8604433536529541</v>
      </c>
      <c r="X141" s="15">
        <v>3</v>
      </c>
      <c r="Y141" s="15">
        <v>2.0459095819860589</v>
      </c>
      <c r="Z141" s="15">
        <v>3</v>
      </c>
      <c r="AA141" s="15">
        <v>1.7304908037185669</v>
      </c>
      <c r="AB141" s="15">
        <v>3</v>
      </c>
      <c r="AC141" s="15">
        <v>2.877608585858586</v>
      </c>
      <c r="AD141" s="15">
        <v>3</v>
      </c>
      <c r="AE141" s="15">
        <v>3.04</v>
      </c>
    </row>
    <row r="142" spans="2:31" x14ac:dyDescent="0.2">
      <c r="B142" s="15">
        <v>4</v>
      </c>
      <c r="C142" s="15">
        <v>3.4783358270951799</v>
      </c>
      <c r="D142" s="15">
        <v>4</v>
      </c>
      <c r="E142" s="15">
        <v>3.84</v>
      </c>
      <c r="F142" s="15">
        <v>4</v>
      </c>
      <c r="G142" s="15">
        <v>3.5969937764829258</v>
      </c>
      <c r="H142" s="15">
        <v>4</v>
      </c>
      <c r="I142" s="15">
        <v>3.4213266</v>
      </c>
      <c r="J142" s="15">
        <v>4</v>
      </c>
      <c r="K142" s="15">
        <v>3.4783358270951799</v>
      </c>
      <c r="L142" s="15">
        <v>4</v>
      </c>
      <c r="M142" s="15">
        <v>4.0128452151573537</v>
      </c>
      <c r="N142" s="15">
        <v>4</v>
      </c>
      <c r="O142" s="15">
        <v>3.0545016596964079</v>
      </c>
      <c r="P142" s="15">
        <v>4</v>
      </c>
      <c r="Q142" s="15">
        <v>2.5225848297744089</v>
      </c>
      <c r="R142" s="15">
        <v>4</v>
      </c>
      <c r="S142" s="15">
        <v>2.048815283713</v>
      </c>
      <c r="T142" s="15">
        <v>4</v>
      </c>
      <c r="U142" s="15">
        <v>3.1001827228242842</v>
      </c>
      <c r="V142" s="15">
        <v>3</v>
      </c>
      <c r="W142" s="15">
        <v>2.6046192646026611</v>
      </c>
      <c r="X142" s="15">
        <v>4</v>
      </c>
      <c r="Y142" s="15">
        <v>2.6125142417792628</v>
      </c>
      <c r="Z142" s="15">
        <v>4</v>
      </c>
      <c r="AA142" s="15">
        <v>2.4821796417236328</v>
      </c>
      <c r="AB142" s="15">
        <v>4</v>
      </c>
      <c r="AC142" s="15">
        <v>2.398535714285714</v>
      </c>
      <c r="AD142" s="15">
        <v>4</v>
      </c>
      <c r="AE142" s="15">
        <v>2.122583333333333</v>
      </c>
    </row>
    <row r="143" spans="2:31" x14ac:dyDescent="0.2">
      <c r="B143" s="15">
        <v>5</v>
      </c>
      <c r="C143" s="15">
        <v>3.7689041852139651</v>
      </c>
      <c r="D143" s="15">
        <v>5</v>
      </c>
      <c r="E143" s="15">
        <v>3.61</v>
      </c>
      <c r="F143" s="15">
        <v>5</v>
      </c>
      <c r="G143" s="15">
        <v>3.9400300602335139</v>
      </c>
      <c r="H143" s="15">
        <v>5</v>
      </c>
      <c r="I143" s="15">
        <v>3.9506451999999999</v>
      </c>
      <c r="J143" s="15">
        <v>5</v>
      </c>
      <c r="K143" s="15">
        <v>3.7689041852139651</v>
      </c>
      <c r="L143" s="15">
        <v>5</v>
      </c>
      <c r="M143" s="15">
        <v>3.6448673277941568</v>
      </c>
      <c r="N143" s="15">
        <v>5</v>
      </c>
      <c r="O143" s="15">
        <v>4.1069545289168508</v>
      </c>
      <c r="P143" s="15">
        <v>5</v>
      </c>
      <c r="Q143" s="15">
        <v>4.0220581821984984</v>
      </c>
      <c r="R143" s="15">
        <v>5</v>
      </c>
      <c r="S143" s="15">
        <v>3.8452929313618069</v>
      </c>
      <c r="T143" s="15">
        <v>5</v>
      </c>
      <c r="U143" s="15">
        <v>4.3924925832714727</v>
      </c>
      <c r="V143" s="15">
        <v>3</v>
      </c>
      <c r="W143" s="15">
        <v>4.1720032691955566</v>
      </c>
      <c r="X143" s="15">
        <v>5</v>
      </c>
      <c r="Y143" s="15">
        <v>4.4629505325297991</v>
      </c>
      <c r="Z143" s="15">
        <v>5</v>
      </c>
      <c r="AA143" s="15">
        <v>4.4103837013244629</v>
      </c>
      <c r="AB143" s="15">
        <v>5</v>
      </c>
      <c r="AC143" s="15">
        <v>3.6269166666666668</v>
      </c>
      <c r="AD143" s="15">
        <v>5</v>
      </c>
      <c r="AE143" s="15">
        <v>3.7255595238095238</v>
      </c>
    </row>
    <row r="144" spans="2:31" x14ac:dyDescent="0.2">
      <c r="B144" s="15">
        <v>1</v>
      </c>
      <c r="C144" s="15">
        <v>1.6458293559585651</v>
      </c>
      <c r="D144" s="15">
        <v>1</v>
      </c>
      <c r="E144" s="15">
        <v>1.52</v>
      </c>
      <c r="F144" s="15">
        <v>1</v>
      </c>
      <c r="G144" s="15">
        <v>1.5094973810647729</v>
      </c>
      <c r="H144" s="15">
        <v>1</v>
      </c>
      <c r="I144" s="15">
        <v>1.5663153999999999</v>
      </c>
      <c r="J144" s="15">
        <v>1</v>
      </c>
      <c r="K144" s="15">
        <v>1.6458293559585651</v>
      </c>
      <c r="L144" s="15">
        <v>1</v>
      </c>
      <c r="M144" s="15">
        <v>1.472370766488414</v>
      </c>
      <c r="N144" s="15">
        <v>1</v>
      </c>
      <c r="O144" s="15">
        <v>3.2123410306977722</v>
      </c>
      <c r="P144" s="15">
        <v>1</v>
      </c>
      <c r="Q144" s="15">
        <v>2.3178183270939949</v>
      </c>
      <c r="R144" s="15">
        <v>1</v>
      </c>
      <c r="S144" s="15">
        <v>2.6650633980338441</v>
      </c>
      <c r="T144" s="15">
        <v>1</v>
      </c>
      <c r="U144" s="15">
        <v>3.2913228380918449</v>
      </c>
      <c r="V144" s="15">
        <v>4</v>
      </c>
      <c r="W144" s="15">
        <v>4.4597916603088379</v>
      </c>
      <c r="X144" s="15">
        <v>1</v>
      </c>
      <c r="Y144" s="15">
        <v>3.3311940018711939</v>
      </c>
      <c r="Z144" s="15">
        <v>1</v>
      </c>
      <c r="AA144" s="15">
        <v>2.8593766689300542</v>
      </c>
      <c r="AB144" s="15">
        <v>1</v>
      </c>
      <c r="AC144" s="15">
        <v>1.7828571428571429</v>
      </c>
      <c r="AD144" s="15">
        <v>1</v>
      </c>
      <c r="AE144" s="15">
        <v>2.2309999999999999</v>
      </c>
    </row>
    <row r="145" spans="2:31" x14ac:dyDescent="0.2">
      <c r="B145" s="15">
        <v>5</v>
      </c>
      <c r="C145" s="15">
        <v>4.1979008533295357</v>
      </c>
      <c r="D145" s="15">
        <v>5</v>
      </c>
      <c r="E145" s="15">
        <v>4.55</v>
      </c>
      <c r="F145" s="15">
        <v>5</v>
      </c>
      <c r="G145" s="15">
        <v>4.4511854619708391</v>
      </c>
      <c r="H145" s="15">
        <v>5</v>
      </c>
      <c r="I145" s="15">
        <v>4.5250287</v>
      </c>
      <c r="J145" s="15">
        <v>5</v>
      </c>
      <c r="K145" s="15">
        <v>4.1979008533295357</v>
      </c>
      <c r="L145" s="15">
        <v>5</v>
      </c>
      <c r="M145" s="15">
        <v>4.206442166910688</v>
      </c>
      <c r="N145" s="15">
        <v>5</v>
      </c>
      <c r="O145" s="15">
        <v>3.422766723127558</v>
      </c>
      <c r="P145" s="15">
        <v>5</v>
      </c>
      <c r="Q145" s="15">
        <v>3.9824596204142102</v>
      </c>
      <c r="R145" s="15">
        <v>5</v>
      </c>
      <c r="S145" s="15">
        <v>3.8994968322296208</v>
      </c>
      <c r="T145" s="15">
        <v>5</v>
      </c>
      <c r="U145" s="15">
        <v>3.9206992838132768</v>
      </c>
      <c r="V145" s="15">
        <v>3</v>
      </c>
      <c r="W145" s="15">
        <v>3.5888452529907231</v>
      </c>
      <c r="X145" s="15">
        <v>5</v>
      </c>
      <c r="Y145" s="15">
        <v>3.543546976470517</v>
      </c>
      <c r="Z145" s="15">
        <v>5</v>
      </c>
      <c r="AA145" s="15">
        <v>3.759294986724854</v>
      </c>
      <c r="AB145" s="15">
        <v>5</v>
      </c>
      <c r="AC145" s="15">
        <v>4.0681666666666656</v>
      </c>
      <c r="AD145" s="15">
        <v>5</v>
      </c>
      <c r="AE145" s="15">
        <v>3.9852777777777781</v>
      </c>
    </row>
    <row r="146" spans="2:31" x14ac:dyDescent="0.2">
      <c r="B146" s="15">
        <v>3</v>
      </c>
      <c r="C146" s="15">
        <v>3.6802298779174358</v>
      </c>
      <c r="D146" s="15">
        <v>3</v>
      </c>
      <c r="E146" s="15">
        <v>3.14</v>
      </c>
      <c r="F146" s="15">
        <v>3</v>
      </c>
      <c r="G146" s="15">
        <v>3.2877148140873862</v>
      </c>
      <c r="H146" s="15">
        <v>3</v>
      </c>
      <c r="I146" s="15">
        <v>3.3387418000000002</v>
      </c>
      <c r="J146" s="15">
        <v>3</v>
      </c>
      <c r="K146" s="15">
        <v>3.6802298779174358</v>
      </c>
      <c r="L146" s="15">
        <v>3</v>
      </c>
      <c r="M146" s="15">
        <v>3.0455840455840462</v>
      </c>
      <c r="N146" s="15">
        <v>3</v>
      </c>
      <c r="O146" s="15">
        <v>4.0117015574136694</v>
      </c>
      <c r="P146" s="15">
        <v>3</v>
      </c>
      <c r="Q146" s="15">
        <v>3.3654322479970058</v>
      </c>
      <c r="R146" s="15">
        <v>3</v>
      </c>
      <c r="S146" s="15">
        <v>3.3295739131944462</v>
      </c>
      <c r="T146" s="15">
        <v>3</v>
      </c>
      <c r="U146" s="15">
        <v>3.8416513027367118</v>
      </c>
      <c r="V146" s="15">
        <v>5</v>
      </c>
      <c r="W146" s="15">
        <v>4.6733369827270508</v>
      </c>
      <c r="X146" s="15">
        <v>3</v>
      </c>
      <c r="Y146" s="15">
        <v>3.334519227806628</v>
      </c>
      <c r="Z146" s="15">
        <v>3</v>
      </c>
      <c r="AA146" s="15">
        <v>3.843204259872437</v>
      </c>
      <c r="AB146" s="15">
        <v>3</v>
      </c>
      <c r="AC146" s="15">
        <v>3.405583333333333</v>
      </c>
      <c r="AD146" s="15">
        <v>3</v>
      </c>
      <c r="AE146" s="15">
        <v>2.5333333333333332</v>
      </c>
    </row>
    <row r="147" spans="2:31" x14ac:dyDescent="0.2">
      <c r="B147" s="15">
        <v>1</v>
      </c>
      <c r="C147" s="15">
        <v>2.9113400803498819</v>
      </c>
      <c r="D147" s="15">
        <v>1</v>
      </c>
      <c r="E147" s="15">
        <v>2.82</v>
      </c>
      <c r="F147" s="15">
        <v>1</v>
      </c>
      <c r="G147" s="15">
        <v>2.480732346699114</v>
      </c>
      <c r="H147" s="15">
        <v>1</v>
      </c>
      <c r="I147" s="15">
        <v>2.3980746000000002</v>
      </c>
      <c r="J147" s="15">
        <v>1</v>
      </c>
      <c r="K147" s="15">
        <v>2.9113400803498819</v>
      </c>
      <c r="L147" s="15">
        <v>1</v>
      </c>
      <c r="M147" s="15">
        <v>2.5746180963572272</v>
      </c>
      <c r="N147" s="15">
        <v>1</v>
      </c>
      <c r="O147" s="15">
        <v>2.252874035858881</v>
      </c>
      <c r="P147" s="15">
        <v>1</v>
      </c>
      <c r="Q147" s="15">
        <v>2.0218727149120959</v>
      </c>
      <c r="R147" s="15">
        <v>1</v>
      </c>
      <c r="S147" s="15">
        <v>1.9596811792340889</v>
      </c>
      <c r="T147" s="15">
        <v>1</v>
      </c>
      <c r="U147" s="15">
        <v>2.3381596592499938</v>
      </c>
      <c r="V147" s="15">
        <v>5</v>
      </c>
      <c r="W147" s="15">
        <v>4.3621726036071777</v>
      </c>
      <c r="X147" s="15">
        <v>1</v>
      </c>
      <c r="Y147" s="15">
        <v>2.0914345116037878</v>
      </c>
      <c r="Z147" s="15">
        <v>1</v>
      </c>
      <c r="AA147" s="15">
        <v>2.135706901550293</v>
      </c>
      <c r="AB147" s="15">
        <v>1</v>
      </c>
      <c r="AC147" s="15">
        <v>1.741166666666667</v>
      </c>
      <c r="AD147" s="15">
        <v>1</v>
      </c>
      <c r="AE147" s="15">
        <v>1.5841666666666669</v>
      </c>
    </row>
    <row r="148" spans="2:31" x14ac:dyDescent="0.2">
      <c r="B148" s="15">
        <v>3</v>
      </c>
      <c r="C148" s="15">
        <v>3.8409710602209062</v>
      </c>
      <c r="D148" s="15">
        <v>3</v>
      </c>
      <c r="E148" s="15">
        <v>3.59</v>
      </c>
      <c r="F148" s="15">
        <v>3</v>
      </c>
      <c r="G148" s="15">
        <v>3.7865842299096011</v>
      </c>
      <c r="H148" s="15">
        <v>3</v>
      </c>
      <c r="I148" s="15">
        <v>3.7900420000000001</v>
      </c>
      <c r="J148" s="15">
        <v>3</v>
      </c>
      <c r="K148" s="15">
        <v>3.8409710602209062</v>
      </c>
      <c r="L148" s="15">
        <v>3</v>
      </c>
      <c r="M148" s="15">
        <v>3.5714285714285721</v>
      </c>
      <c r="N148" s="15">
        <v>3</v>
      </c>
      <c r="O148" s="15">
        <v>3.7569396575582501</v>
      </c>
      <c r="P148" s="15">
        <v>3</v>
      </c>
      <c r="Q148" s="15">
        <v>3.499264227367175</v>
      </c>
      <c r="R148" s="15">
        <v>3</v>
      </c>
      <c r="S148" s="15">
        <v>3.6321096092180372</v>
      </c>
      <c r="T148" s="15">
        <v>3</v>
      </c>
      <c r="U148" s="15">
        <v>3.9341423871579599</v>
      </c>
      <c r="V148" s="15">
        <v>4</v>
      </c>
      <c r="W148" s="15">
        <v>4.4899897575378418</v>
      </c>
      <c r="X148" s="15">
        <v>3</v>
      </c>
      <c r="Y148" s="15">
        <v>3.7922921542551862</v>
      </c>
      <c r="Z148" s="15">
        <v>3</v>
      </c>
      <c r="AA148" s="15">
        <v>3.375203132629395</v>
      </c>
      <c r="AB148" s="15">
        <v>3</v>
      </c>
      <c r="AC148" s="15">
        <v>3.4849920634920641</v>
      </c>
      <c r="AD148" s="15">
        <v>3</v>
      </c>
      <c r="AE148" s="15">
        <v>3.8254166666666669</v>
      </c>
    </row>
    <row r="149" spans="2:31" x14ac:dyDescent="0.2">
      <c r="B149" s="15">
        <v>4</v>
      </c>
      <c r="C149" s="15">
        <v>3.9238369443410539</v>
      </c>
      <c r="D149" s="15">
        <v>4</v>
      </c>
      <c r="E149" s="15">
        <v>4.7</v>
      </c>
      <c r="F149" s="15">
        <v>4</v>
      </c>
      <c r="G149" s="15">
        <v>4.5554640330683087</v>
      </c>
      <c r="H149" s="15">
        <v>4</v>
      </c>
      <c r="I149" s="15">
        <v>4.7465577000000003</v>
      </c>
      <c r="J149" s="15">
        <v>4</v>
      </c>
      <c r="K149" s="15">
        <v>3.9238369443410539</v>
      </c>
      <c r="L149" s="15">
        <v>4</v>
      </c>
      <c r="M149" s="15">
        <v>4.1937967914438499</v>
      </c>
      <c r="N149" s="15">
        <v>4</v>
      </c>
      <c r="O149" s="15">
        <v>3.8545989338692519</v>
      </c>
      <c r="P149" s="15">
        <v>4</v>
      </c>
      <c r="Q149" s="15">
        <v>4.4536651845935111</v>
      </c>
      <c r="R149" s="15">
        <v>4</v>
      </c>
      <c r="S149" s="15">
        <v>4.8730840388328156</v>
      </c>
      <c r="T149" s="15">
        <v>4</v>
      </c>
      <c r="U149" s="15">
        <v>4.2057826203066648</v>
      </c>
      <c r="V149" s="15">
        <v>1</v>
      </c>
      <c r="W149" s="15">
        <v>1.612446665763855</v>
      </c>
      <c r="X149" s="15">
        <v>4</v>
      </c>
      <c r="Y149" s="15">
        <v>4.1413790914392177</v>
      </c>
      <c r="Z149" s="15">
        <v>4</v>
      </c>
      <c r="AA149" s="15">
        <v>3.8080849647521968</v>
      </c>
      <c r="AB149" s="15">
        <v>4</v>
      </c>
      <c r="AC149" s="15">
        <v>4.5789285714285706</v>
      </c>
      <c r="AD149" s="15">
        <v>4</v>
      </c>
      <c r="AE149" s="15">
        <v>4.5611666666666668</v>
      </c>
    </row>
    <row r="150" spans="2:31" x14ac:dyDescent="0.2">
      <c r="B150" s="15">
        <v>2</v>
      </c>
      <c r="C150" s="15">
        <v>2.9101066646929352</v>
      </c>
      <c r="D150" s="15">
        <v>2</v>
      </c>
      <c r="E150" s="15">
        <v>2.25</v>
      </c>
      <c r="F150" s="15">
        <v>2</v>
      </c>
      <c r="G150" s="15">
        <v>2.2865911737420341</v>
      </c>
      <c r="H150" s="15">
        <v>2</v>
      </c>
      <c r="I150" s="15">
        <v>2.3241947000000001</v>
      </c>
      <c r="J150" s="15">
        <v>2</v>
      </c>
      <c r="K150" s="15">
        <v>2.9101066646929352</v>
      </c>
      <c r="L150" s="15">
        <v>2</v>
      </c>
      <c r="M150" s="15">
        <v>2.0354879594423321</v>
      </c>
      <c r="N150" s="15">
        <v>2</v>
      </c>
      <c r="O150" s="15">
        <v>3.1901502454640469</v>
      </c>
      <c r="P150" s="15">
        <v>2</v>
      </c>
      <c r="Q150" s="15">
        <v>3.0223285001357958</v>
      </c>
      <c r="R150" s="15">
        <v>2</v>
      </c>
      <c r="S150" s="15">
        <v>3.561948361413759</v>
      </c>
      <c r="T150" s="15">
        <v>2</v>
      </c>
      <c r="U150" s="15">
        <v>3.3715044646958061</v>
      </c>
      <c r="V150" s="15">
        <v>3</v>
      </c>
      <c r="W150" s="15">
        <v>3.1212871074676509</v>
      </c>
      <c r="X150" s="15">
        <v>2</v>
      </c>
      <c r="Y150" s="15">
        <v>3.265976113848819</v>
      </c>
      <c r="Z150" s="15">
        <v>2</v>
      </c>
      <c r="AA150" s="15">
        <v>3.095949649810791</v>
      </c>
      <c r="AB150" s="15">
        <v>2</v>
      </c>
      <c r="AC150" s="15">
        <v>2.994468253968253</v>
      </c>
      <c r="AD150" s="15">
        <v>2</v>
      </c>
      <c r="AE150" s="15">
        <v>3.4457222222222219</v>
      </c>
    </row>
    <row r="151" spans="2:31" x14ac:dyDescent="0.2">
      <c r="B151" s="15">
        <v>3</v>
      </c>
      <c r="C151" s="15">
        <v>3.8597372713806668</v>
      </c>
      <c r="D151" s="15">
        <v>3</v>
      </c>
      <c r="E151" s="15">
        <v>4.21</v>
      </c>
      <c r="F151" s="15">
        <v>3</v>
      </c>
      <c r="G151" s="15">
        <v>4.1930250598912568</v>
      </c>
      <c r="H151" s="15">
        <v>3</v>
      </c>
      <c r="I151" s="15">
        <v>4.1248364000000004</v>
      </c>
      <c r="J151" s="15">
        <v>3</v>
      </c>
      <c r="K151" s="15">
        <v>3.8597372713806668</v>
      </c>
      <c r="L151" s="15">
        <v>3</v>
      </c>
      <c r="M151" s="15">
        <v>4.1691297208538591</v>
      </c>
      <c r="N151" s="15">
        <v>3</v>
      </c>
      <c r="O151" s="15">
        <v>3.8990077405211769</v>
      </c>
      <c r="P151" s="15">
        <v>3</v>
      </c>
      <c r="Q151" s="15">
        <v>3.7006507879772341</v>
      </c>
      <c r="R151" s="15">
        <v>3</v>
      </c>
      <c r="S151" s="15">
        <v>3.312768726862974</v>
      </c>
      <c r="T151" s="15">
        <v>3</v>
      </c>
      <c r="U151" s="15">
        <v>3.83854912359558</v>
      </c>
      <c r="V151" s="15">
        <v>4</v>
      </c>
      <c r="W151" s="15">
        <v>4.2469415664672852</v>
      </c>
      <c r="X151" s="15">
        <v>3</v>
      </c>
      <c r="Y151" s="15">
        <v>4.0206129561937098</v>
      </c>
      <c r="Z151" s="15">
        <v>3</v>
      </c>
      <c r="AA151" s="15">
        <v>3.9564552307128911</v>
      </c>
      <c r="AB151" s="15">
        <v>3</v>
      </c>
      <c r="AC151" s="15">
        <v>3.9472499999999999</v>
      </c>
      <c r="AD151" s="15">
        <v>3</v>
      </c>
      <c r="AE151" s="15">
        <v>3.5414935064935058</v>
      </c>
    </row>
    <row r="152" spans="2:31" x14ac:dyDescent="0.2">
      <c r="B152" s="15">
        <v>3</v>
      </c>
      <c r="C152" s="15">
        <v>3.8732048547920881</v>
      </c>
      <c r="D152" s="15">
        <v>3</v>
      </c>
      <c r="E152" s="15">
        <v>3.78</v>
      </c>
      <c r="F152" s="15">
        <v>3</v>
      </c>
      <c r="G152" s="15">
        <v>4.0621840371527664</v>
      </c>
      <c r="H152" s="15">
        <v>3</v>
      </c>
      <c r="I152" s="15">
        <v>3.9134804999999999</v>
      </c>
      <c r="J152" s="15">
        <v>3</v>
      </c>
      <c r="K152" s="15">
        <v>3.8732048547920881</v>
      </c>
      <c r="L152" s="15">
        <v>3</v>
      </c>
      <c r="M152" s="15">
        <v>4.0155208964264082</v>
      </c>
      <c r="N152" s="15">
        <v>3</v>
      </c>
      <c r="O152" s="15">
        <v>3.7663941438750301</v>
      </c>
      <c r="P152" s="15">
        <v>3</v>
      </c>
      <c r="Q152" s="15">
        <v>3.8346919857153781</v>
      </c>
      <c r="R152" s="15">
        <v>3</v>
      </c>
      <c r="S152" s="15">
        <v>4.4490928363591049</v>
      </c>
      <c r="T152" s="15">
        <v>3</v>
      </c>
      <c r="U152" s="15">
        <v>3.7665824017627538</v>
      </c>
      <c r="V152" s="15">
        <v>5</v>
      </c>
      <c r="W152" s="15">
        <v>3.9312739372253418</v>
      </c>
      <c r="X152" s="15">
        <v>3</v>
      </c>
      <c r="Y152" s="15">
        <v>3.9193490186399429</v>
      </c>
      <c r="Z152" s="15">
        <v>3</v>
      </c>
      <c r="AA152" s="15">
        <v>3.8962221145629878</v>
      </c>
      <c r="AB152" s="15">
        <v>3</v>
      </c>
      <c r="AC152" s="15">
        <v>4.3499523809523817</v>
      </c>
      <c r="AD152" s="15">
        <v>3</v>
      </c>
      <c r="AE152" s="15">
        <v>4.3614523809523806</v>
      </c>
    </row>
    <row r="153" spans="2:31" x14ac:dyDescent="0.2">
      <c r="B153" s="15">
        <v>1</v>
      </c>
      <c r="C153" s="15">
        <v>3.7238891511974939</v>
      </c>
      <c r="D153" s="15">
        <v>1</v>
      </c>
      <c r="E153" s="15">
        <v>4.05</v>
      </c>
      <c r="F153" s="15">
        <v>1</v>
      </c>
      <c r="G153" s="15">
        <v>4.0427316018725623</v>
      </c>
      <c r="H153" s="15">
        <v>1</v>
      </c>
      <c r="I153" s="15">
        <v>3.8957006999999999</v>
      </c>
      <c r="J153" s="15">
        <v>1</v>
      </c>
      <c r="K153" s="15">
        <v>3.7238891511974939</v>
      </c>
      <c r="L153" s="15">
        <v>1</v>
      </c>
      <c r="M153" s="15">
        <v>4.1529411764705886</v>
      </c>
      <c r="N153" s="15">
        <v>1</v>
      </c>
      <c r="O153" s="15">
        <v>3.7984934060825859</v>
      </c>
      <c r="P153" s="15">
        <v>1</v>
      </c>
      <c r="Q153" s="15">
        <v>3.0613700277688691</v>
      </c>
      <c r="R153" s="15">
        <v>1</v>
      </c>
      <c r="S153" s="15">
        <v>2.6078488992982489</v>
      </c>
      <c r="T153" s="15">
        <v>1</v>
      </c>
      <c r="U153" s="15">
        <v>3.8616172623584522</v>
      </c>
      <c r="V153" s="15">
        <v>4</v>
      </c>
      <c r="W153" s="15">
        <v>4.0443735122680664</v>
      </c>
      <c r="X153" s="15">
        <v>1</v>
      </c>
      <c r="Y153" s="15">
        <v>3.7074417771900161</v>
      </c>
      <c r="Z153" s="15">
        <v>1</v>
      </c>
      <c r="AA153" s="15">
        <v>3.8682630062103271</v>
      </c>
      <c r="AB153" s="15">
        <v>1</v>
      </c>
      <c r="AC153" s="15">
        <v>3.2159960317460321</v>
      </c>
      <c r="AD153" s="15">
        <v>1</v>
      </c>
      <c r="AE153" s="15">
        <v>2.7807499999999998</v>
      </c>
    </row>
    <row r="154" spans="2:31" x14ac:dyDescent="0.2">
      <c r="B154" s="15">
        <v>3</v>
      </c>
      <c r="C154" s="15">
        <v>3.865181920975731</v>
      </c>
      <c r="D154" s="15">
        <v>3</v>
      </c>
      <c r="E154" s="15">
        <v>3.67</v>
      </c>
      <c r="F154" s="15">
        <v>3</v>
      </c>
      <c r="G154" s="15">
        <v>3.631680952827598</v>
      </c>
      <c r="H154" s="15">
        <v>3</v>
      </c>
      <c r="I154" s="15">
        <v>3.4713664</v>
      </c>
      <c r="J154" s="15">
        <v>3</v>
      </c>
      <c r="K154" s="15">
        <v>3.865181920975731</v>
      </c>
      <c r="L154" s="15">
        <v>3</v>
      </c>
      <c r="M154" s="15">
        <v>3.584545454545454</v>
      </c>
      <c r="N154" s="15">
        <v>3</v>
      </c>
      <c r="O154" s="15">
        <v>4.5201002285012626</v>
      </c>
      <c r="P154" s="15">
        <v>3</v>
      </c>
      <c r="Q154" s="15">
        <v>3.850530653846413</v>
      </c>
      <c r="R154" s="15">
        <v>3</v>
      </c>
      <c r="S154" s="15">
        <v>3.9943799188214162</v>
      </c>
      <c r="T154" s="15">
        <v>3</v>
      </c>
      <c r="U154" s="15">
        <v>4.1979282065122918</v>
      </c>
      <c r="V154" s="15">
        <v>5</v>
      </c>
      <c r="W154" s="15">
        <v>4.5811820030212402</v>
      </c>
      <c r="X154" s="15">
        <v>3</v>
      </c>
      <c r="Y154" s="15">
        <v>3.994344605828871</v>
      </c>
      <c r="Z154" s="15">
        <v>3</v>
      </c>
      <c r="AA154" s="15">
        <v>3.7590594291687012</v>
      </c>
      <c r="AB154" s="15">
        <v>3</v>
      </c>
      <c r="AC154" s="15">
        <v>3.351321428571429</v>
      </c>
      <c r="AD154" s="15">
        <v>3</v>
      </c>
      <c r="AE154" s="15">
        <v>3.789337301587302</v>
      </c>
    </row>
    <row r="155" spans="2:31" x14ac:dyDescent="0.2">
      <c r="B155" s="15">
        <v>5</v>
      </c>
      <c r="C155" s="15">
        <v>3.7956250792897168</v>
      </c>
      <c r="D155" s="15">
        <v>5</v>
      </c>
      <c r="E155" s="15">
        <v>4.17</v>
      </c>
      <c r="F155" s="15">
        <v>5</v>
      </c>
      <c r="G155" s="15">
        <v>4.1160793978584644</v>
      </c>
      <c r="H155" s="15">
        <v>5</v>
      </c>
      <c r="I155" s="15">
        <v>4.3296194000000003</v>
      </c>
      <c r="J155" s="15">
        <v>5</v>
      </c>
      <c r="K155" s="15">
        <v>3.7956250792897159</v>
      </c>
      <c r="L155" s="15">
        <v>5</v>
      </c>
      <c r="M155" s="15">
        <v>4.2791702679343127</v>
      </c>
      <c r="N155" s="15">
        <v>5</v>
      </c>
      <c r="O155" s="15">
        <v>3.8364861424150081</v>
      </c>
      <c r="P155" s="15">
        <v>5</v>
      </c>
      <c r="Q155" s="15">
        <v>4.0534461486362092</v>
      </c>
      <c r="R155" s="15">
        <v>5</v>
      </c>
      <c r="S155" s="15">
        <v>3.9290151207540669</v>
      </c>
      <c r="T155" s="15">
        <v>5</v>
      </c>
      <c r="U155" s="15">
        <v>4.1082899606877836</v>
      </c>
      <c r="V155" s="15">
        <v>5</v>
      </c>
      <c r="W155" s="15">
        <v>3.4888393878936772</v>
      </c>
      <c r="X155" s="15">
        <v>5</v>
      </c>
      <c r="Y155" s="15">
        <v>4.0714805573651409</v>
      </c>
      <c r="Z155" s="15">
        <v>5</v>
      </c>
      <c r="AA155" s="15">
        <v>3.388997077941895</v>
      </c>
      <c r="AB155" s="15">
        <v>5</v>
      </c>
      <c r="AC155" s="15">
        <v>4.3699047619047624</v>
      </c>
      <c r="AD155" s="15">
        <v>5</v>
      </c>
      <c r="AE155" s="15">
        <v>4.265642857142856</v>
      </c>
    </row>
    <row r="156" spans="2:31" x14ac:dyDescent="0.2">
      <c r="B156" s="15">
        <v>5</v>
      </c>
      <c r="C156" s="15">
        <v>3.942499577531247</v>
      </c>
      <c r="D156" s="15">
        <v>5</v>
      </c>
      <c r="E156" s="15">
        <v>4.17</v>
      </c>
      <c r="F156" s="15">
        <v>5</v>
      </c>
      <c r="G156" s="15">
        <v>4.118086132103449</v>
      </c>
      <c r="H156" s="15">
        <v>5</v>
      </c>
      <c r="I156" s="15">
        <v>4.2461589999999996</v>
      </c>
      <c r="J156" s="15">
        <v>5</v>
      </c>
      <c r="K156" s="15">
        <v>3.942499577531247</v>
      </c>
      <c r="L156" s="15">
        <v>5</v>
      </c>
      <c r="M156" s="15">
        <v>4.2791702679343127</v>
      </c>
      <c r="N156" s="15">
        <v>5</v>
      </c>
      <c r="O156" s="15">
        <v>4.2913573430139271</v>
      </c>
      <c r="P156" s="15">
        <v>5</v>
      </c>
      <c r="Q156" s="15">
        <v>4.5265548143515124</v>
      </c>
      <c r="R156" s="15">
        <v>5</v>
      </c>
      <c r="S156" s="15">
        <v>4.7215535939084639</v>
      </c>
      <c r="T156" s="15">
        <v>5</v>
      </c>
      <c r="U156" s="15">
        <v>4.3365450776933718</v>
      </c>
      <c r="V156" s="15">
        <v>2</v>
      </c>
      <c r="W156" s="15">
        <v>3.1836142539978032</v>
      </c>
      <c r="X156" s="15">
        <v>5</v>
      </c>
      <c r="Y156" s="15">
        <v>4.2307108264682993</v>
      </c>
      <c r="Z156" s="15">
        <v>5</v>
      </c>
      <c r="AA156" s="15">
        <v>4.2562370300292969</v>
      </c>
      <c r="AB156" s="15">
        <v>5</v>
      </c>
      <c r="AC156" s="15">
        <v>4.2931349206349214</v>
      </c>
      <c r="AD156" s="15">
        <v>5</v>
      </c>
      <c r="AE156" s="15">
        <v>4.3471746031746026</v>
      </c>
    </row>
    <row r="157" spans="2:31" x14ac:dyDescent="0.2">
      <c r="B157" s="15">
        <v>2</v>
      </c>
      <c r="C157" s="15">
        <v>3.6754321913407599</v>
      </c>
      <c r="D157" s="15">
        <v>2</v>
      </c>
      <c r="E157" s="15">
        <v>4.17</v>
      </c>
      <c r="F157" s="15">
        <v>2</v>
      </c>
      <c r="G157" s="15">
        <v>4.061642734464936</v>
      </c>
      <c r="H157" s="15">
        <v>2</v>
      </c>
      <c r="I157" s="15">
        <v>3.9505792</v>
      </c>
      <c r="J157" s="15">
        <v>2</v>
      </c>
      <c r="K157" s="15">
        <v>3.6754321913407599</v>
      </c>
      <c r="L157" s="15">
        <v>2</v>
      </c>
      <c r="M157" s="15">
        <v>4.3181067694001101</v>
      </c>
      <c r="N157" s="15">
        <v>2</v>
      </c>
      <c r="O157" s="15">
        <v>3.0745970883376361</v>
      </c>
      <c r="P157" s="15">
        <v>2</v>
      </c>
      <c r="Q157" s="15">
        <v>3.3403816971394429</v>
      </c>
      <c r="R157" s="15">
        <v>2</v>
      </c>
      <c r="S157" s="15">
        <v>2.9241146176519321</v>
      </c>
      <c r="T157" s="15">
        <v>2</v>
      </c>
      <c r="U157" s="15">
        <v>3.019558179751459</v>
      </c>
      <c r="V157" s="15">
        <v>1</v>
      </c>
      <c r="W157" s="15">
        <v>3.1017742156982422</v>
      </c>
      <c r="X157" s="15">
        <v>2</v>
      </c>
      <c r="Y157" s="15">
        <v>3.0485658928963359</v>
      </c>
      <c r="Z157" s="15">
        <v>2</v>
      </c>
      <c r="AA157" s="15">
        <v>3.2202894687652588</v>
      </c>
      <c r="AB157" s="15">
        <v>2</v>
      </c>
      <c r="AC157" s="15">
        <v>3.295178571428572</v>
      </c>
      <c r="AD157" s="15">
        <v>2</v>
      </c>
      <c r="AE157" s="15">
        <v>2.775984126984127</v>
      </c>
    </row>
    <row r="158" spans="2:31" x14ac:dyDescent="0.2">
      <c r="B158" s="15">
        <v>3</v>
      </c>
      <c r="C158" s="15">
        <v>3.8317333128310058</v>
      </c>
      <c r="D158" s="15">
        <v>3</v>
      </c>
      <c r="E158" s="15">
        <v>4.16</v>
      </c>
      <c r="F158" s="15">
        <v>3</v>
      </c>
      <c r="G158" s="15">
        <v>4.4149509144643222</v>
      </c>
      <c r="H158" s="15">
        <v>3</v>
      </c>
      <c r="I158" s="15">
        <v>4.2785682999999999</v>
      </c>
      <c r="J158" s="15">
        <v>3</v>
      </c>
      <c r="K158" s="15">
        <v>3.8317333128310058</v>
      </c>
      <c r="L158" s="15">
        <v>3</v>
      </c>
      <c r="M158" s="15">
        <v>4.1691297208538591</v>
      </c>
      <c r="N158" s="15">
        <v>3</v>
      </c>
      <c r="O158" s="15">
        <v>4.1715368613731938</v>
      </c>
      <c r="P158" s="15">
        <v>3</v>
      </c>
      <c r="Q158" s="15">
        <v>3.998685783937737</v>
      </c>
      <c r="R158" s="15">
        <v>3</v>
      </c>
      <c r="S158" s="15">
        <v>3.956194411474772</v>
      </c>
      <c r="T158" s="15">
        <v>3</v>
      </c>
      <c r="U158" s="15">
        <v>4.3322404401916668</v>
      </c>
      <c r="V158" s="15">
        <v>5</v>
      </c>
      <c r="W158" s="15">
        <v>3.94378662109375</v>
      </c>
      <c r="X158" s="15">
        <v>3</v>
      </c>
      <c r="Y158" s="15">
        <v>4.478707079818399</v>
      </c>
      <c r="Z158" s="15">
        <v>3</v>
      </c>
      <c r="AA158" s="15">
        <v>4.2174277305603027</v>
      </c>
      <c r="AB158" s="15">
        <v>3</v>
      </c>
      <c r="AC158" s="15">
        <v>4.4530714285714286</v>
      </c>
      <c r="AD158" s="15">
        <v>3</v>
      </c>
      <c r="AE158" s="15">
        <v>4.2648333333333337</v>
      </c>
    </row>
    <row r="159" spans="2:31" x14ac:dyDescent="0.2">
      <c r="B159" s="15">
        <v>3</v>
      </c>
      <c r="C159" s="15">
        <v>3.7537779404111768</v>
      </c>
      <c r="D159" s="15">
        <v>3</v>
      </c>
      <c r="E159" s="15">
        <v>3.95</v>
      </c>
      <c r="F159" s="15">
        <v>3</v>
      </c>
      <c r="G159" s="15">
        <v>4.0807367286649976</v>
      </c>
      <c r="H159" s="15">
        <v>3</v>
      </c>
      <c r="I159" s="15">
        <v>4.1669299999999998</v>
      </c>
      <c r="J159" s="15">
        <v>3</v>
      </c>
      <c r="K159" s="15">
        <v>3.7537779404111768</v>
      </c>
      <c r="L159" s="15">
        <v>3</v>
      </c>
      <c r="M159" s="15">
        <v>3.9747958821441252</v>
      </c>
      <c r="N159" s="15">
        <v>3</v>
      </c>
      <c r="O159" s="15">
        <v>3.5861949683029328</v>
      </c>
      <c r="P159" s="15">
        <v>3</v>
      </c>
      <c r="Q159" s="15">
        <v>3.2898364295300109</v>
      </c>
      <c r="R159" s="15">
        <v>3</v>
      </c>
      <c r="S159" s="15">
        <v>3.098325498120539</v>
      </c>
      <c r="T159" s="15">
        <v>3</v>
      </c>
      <c r="U159" s="15">
        <v>3.9051111584127001</v>
      </c>
      <c r="V159" s="15">
        <v>1</v>
      </c>
      <c r="W159" s="15">
        <v>1.0916850566864009</v>
      </c>
      <c r="X159" s="15">
        <v>3</v>
      </c>
      <c r="Y159" s="15">
        <v>3.5375431781136069</v>
      </c>
      <c r="Z159" s="15">
        <v>3</v>
      </c>
      <c r="AA159" s="15">
        <v>3.1101119518280029</v>
      </c>
      <c r="AB159" s="15">
        <v>3</v>
      </c>
      <c r="AC159" s="15">
        <v>3.356154761904762</v>
      </c>
      <c r="AD159" s="15">
        <v>3</v>
      </c>
      <c r="AE159" s="15">
        <v>3.1383690476190469</v>
      </c>
    </row>
    <row r="160" spans="2:31" x14ac:dyDescent="0.2">
      <c r="B160" s="15">
        <v>4</v>
      </c>
      <c r="C160" s="15">
        <v>3.9051979309751021</v>
      </c>
      <c r="D160" s="15">
        <v>4</v>
      </c>
      <c r="E160" s="15">
        <v>4.09</v>
      </c>
      <c r="F160" s="15">
        <v>4</v>
      </c>
      <c r="G160" s="15">
        <v>3.8679193219647918</v>
      </c>
      <c r="H160" s="15">
        <v>4</v>
      </c>
      <c r="I160" s="15">
        <v>3.9168531999999998</v>
      </c>
      <c r="J160" s="15">
        <v>4</v>
      </c>
      <c r="K160" s="15">
        <v>3.9051979309751021</v>
      </c>
      <c r="L160" s="15">
        <v>4</v>
      </c>
      <c r="M160" s="15">
        <v>3.8227938549481961</v>
      </c>
      <c r="N160" s="15">
        <v>4</v>
      </c>
      <c r="O160" s="15">
        <v>3.9343392714877399</v>
      </c>
      <c r="P160" s="15">
        <v>4</v>
      </c>
      <c r="Q160" s="15">
        <v>4.496095978360616</v>
      </c>
      <c r="R160" s="15">
        <v>4</v>
      </c>
      <c r="S160" s="15">
        <v>4.6603812781808944</v>
      </c>
      <c r="T160" s="15">
        <v>4</v>
      </c>
      <c r="U160" s="15">
        <v>4.1553617543877488</v>
      </c>
      <c r="V160" s="15">
        <v>3</v>
      </c>
      <c r="W160" s="15">
        <v>2.4968607425689702</v>
      </c>
      <c r="X160" s="15">
        <v>4</v>
      </c>
      <c r="Y160" s="15">
        <v>3.962821242566597</v>
      </c>
      <c r="Z160" s="15">
        <v>4</v>
      </c>
      <c r="AA160" s="15">
        <v>4.049809455871582</v>
      </c>
      <c r="AB160" s="15">
        <v>4</v>
      </c>
      <c r="AC160" s="15">
        <v>4.3298888888888891</v>
      </c>
      <c r="AD160" s="15">
        <v>4</v>
      </c>
      <c r="AE160" s="15">
        <v>4.5760714285714288</v>
      </c>
    </row>
    <row r="161" spans="2:31" x14ac:dyDescent="0.2">
      <c r="B161" s="15">
        <v>1</v>
      </c>
      <c r="C161" s="15">
        <v>3.7930282673903961</v>
      </c>
      <c r="D161" s="15">
        <v>1</v>
      </c>
      <c r="E161" s="15">
        <v>4.32</v>
      </c>
      <c r="F161" s="15">
        <v>1</v>
      </c>
      <c r="G161" s="15">
        <v>4.3673043401656759</v>
      </c>
      <c r="H161" s="15">
        <v>1</v>
      </c>
      <c r="I161" s="15">
        <v>4.4579250000000004</v>
      </c>
      <c r="J161" s="15">
        <v>1</v>
      </c>
      <c r="K161" s="15">
        <v>3.7930282673903961</v>
      </c>
      <c r="L161" s="15">
        <v>1</v>
      </c>
      <c r="M161" s="15">
        <v>4.1691297208538591</v>
      </c>
      <c r="N161" s="15">
        <v>1</v>
      </c>
      <c r="O161" s="15">
        <v>3.531417124440507</v>
      </c>
      <c r="P161" s="15">
        <v>1</v>
      </c>
      <c r="Q161" s="15">
        <v>3.940132329580968</v>
      </c>
      <c r="R161" s="15">
        <v>1</v>
      </c>
      <c r="S161" s="15">
        <v>3.6914751287895839</v>
      </c>
      <c r="T161" s="15">
        <v>1</v>
      </c>
      <c r="U161" s="15">
        <v>3.7360200577269769</v>
      </c>
      <c r="V161" s="15">
        <v>2</v>
      </c>
      <c r="W161" s="15">
        <v>2.6428229808807369</v>
      </c>
      <c r="X161" s="15">
        <v>1</v>
      </c>
      <c r="Y161" s="15">
        <v>3.2226905814505411</v>
      </c>
      <c r="Z161" s="15">
        <v>1</v>
      </c>
      <c r="AA161" s="15">
        <v>1.928882241249084</v>
      </c>
      <c r="AB161" s="15">
        <v>1</v>
      </c>
      <c r="AC161" s="15">
        <v>4.0900357142857144</v>
      </c>
      <c r="AD161" s="15">
        <v>1</v>
      </c>
      <c r="AE161" s="15">
        <v>3.5870952380952379</v>
      </c>
    </row>
    <row r="162" spans="2:31" x14ac:dyDescent="0.2">
      <c r="B162" s="15">
        <v>4</v>
      </c>
      <c r="C162" s="15">
        <v>3.8786869882451578</v>
      </c>
      <c r="D162" s="15">
        <v>4</v>
      </c>
      <c r="E162" s="15">
        <v>3.96</v>
      </c>
      <c r="F162" s="15">
        <v>4</v>
      </c>
      <c r="G162" s="15">
        <v>4.0111733393967803</v>
      </c>
      <c r="H162" s="15">
        <v>4</v>
      </c>
      <c r="I162" s="15">
        <v>4.0111319999999999</v>
      </c>
      <c r="J162" s="15">
        <v>4</v>
      </c>
      <c r="K162" s="15">
        <v>3.8786869882451578</v>
      </c>
      <c r="L162" s="15">
        <v>4</v>
      </c>
      <c r="M162" s="15">
        <v>4.0128452151573537</v>
      </c>
      <c r="N162" s="15">
        <v>4</v>
      </c>
      <c r="O162" s="15">
        <v>3.259970203233332</v>
      </c>
      <c r="P162" s="15">
        <v>4</v>
      </c>
      <c r="Q162" s="15">
        <v>3.53115734263758</v>
      </c>
      <c r="R162" s="15">
        <v>4</v>
      </c>
      <c r="S162" s="15">
        <v>3.5419931010597332</v>
      </c>
      <c r="T162" s="15">
        <v>4</v>
      </c>
      <c r="U162" s="15">
        <v>3.6112754307373232</v>
      </c>
      <c r="V162" s="15">
        <v>4</v>
      </c>
      <c r="W162" s="15">
        <v>4.045443058013916</v>
      </c>
      <c r="X162" s="15">
        <v>4</v>
      </c>
      <c r="Y162" s="15">
        <v>3.3347907555766421</v>
      </c>
      <c r="Z162" s="15">
        <v>4</v>
      </c>
      <c r="AA162" s="15">
        <v>3.4759314060211182</v>
      </c>
      <c r="AB162" s="15">
        <v>4</v>
      </c>
      <c r="AC162" s="15">
        <v>3.987833333333334</v>
      </c>
      <c r="AD162" s="15">
        <v>4</v>
      </c>
      <c r="AE162" s="15">
        <v>3.5619722222222219</v>
      </c>
    </row>
    <row r="163" spans="2:31" x14ac:dyDescent="0.2">
      <c r="B163" s="15">
        <v>2</v>
      </c>
      <c r="C163" s="15">
        <v>3.868449949038081</v>
      </c>
      <c r="D163" s="15">
        <v>2</v>
      </c>
      <c r="E163" s="15">
        <v>3.65</v>
      </c>
      <c r="F163" s="15">
        <v>2</v>
      </c>
      <c r="G163" s="15">
        <v>3.9440690212708271</v>
      </c>
      <c r="H163" s="15">
        <v>2</v>
      </c>
      <c r="I163" s="15">
        <v>3.9000279999999998</v>
      </c>
      <c r="J163" s="15">
        <v>2</v>
      </c>
      <c r="K163" s="15">
        <v>3.868449949038081</v>
      </c>
      <c r="L163" s="15">
        <v>2</v>
      </c>
      <c r="M163" s="15">
        <v>3.831386441976254</v>
      </c>
      <c r="N163" s="15">
        <v>2</v>
      </c>
      <c r="O163" s="15">
        <v>3.644982844215678</v>
      </c>
      <c r="P163" s="15">
        <v>2</v>
      </c>
      <c r="Q163" s="15">
        <v>3.7136131102912429</v>
      </c>
      <c r="R163" s="15">
        <v>2</v>
      </c>
      <c r="S163" s="15">
        <v>4.0398011675714516</v>
      </c>
      <c r="T163" s="15">
        <v>2</v>
      </c>
      <c r="U163" s="15">
        <v>3.523472910250014</v>
      </c>
      <c r="V163" s="15">
        <v>2</v>
      </c>
      <c r="W163" s="15">
        <v>1.825759172439575</v>
      </c>
      <c r="X163" s="15">
        <v>2</v>
      </c>
      <c r="Y163" s="15">
        <v>3.7682751985576068</v>
      </c>
      <c r="Z163" s="15">
        <v>2</v>
      </c>
      <c r="AA163" s="15">
        <v>3.6367089748382568</v>
      </c>
      <c r="AB163" s="15">
        <v>2</v>
      </c>
      <c r="AC163" s="15">
        <v>4.1571904761904754</v>
      </c>
      <c r="AD163" s="15">
        <v>2</v>
      </c>
      <c r="AE163" s="15">
        <v>3.9916984126984132</v>
      </c>
    </row>
    <row r="164" spans="2:31" x14ac:dyDescent="0.2">
      <c r="B164" s="15">
        <v>5</v>
      </c>
      <c r="C164" s="15">
        <v>3.7778330856791191</v>
      </c>
      <c r="D164" s="15">
        <v>5</v>
      </c>
      <c r="E164" s="15">
        <v>4.29</v>
      </c>
      <c r="F164" s="15">
        <v>5</v>
      </c>
      <c r="G164" s="15">
        <v>4.4009869177864704</v>
      </c>
      <c r="H164" s="15">
        <v>5</v>
      </c>
      <c r="I164" s="15">
        <v>4.2288876000000002</v>
      </c>
      <c r="J164" s="15">
        <v>5</v>
      </c>
      <c r="K164" s="15">
        <v>3.7778330856791191</v>
      </c>
      <c r="L164" s="15">
        <v>5</v>
      </c>
      <c r="M164" s="15">
        <v>4.2791702679343127</v>
      </c>
      <c r="N164" s="15">
        <v>5</v>
      </c>
      <c r="O164" s="15">
        <v>3.975682301929429</v>
      </c>
      <c r="P164" s="15">
        <v>5</v>
      </c>
      <c r="Q164" s="15">
        <v>3.6602553756197631</v>
      </c>
      <c r="R164" s="15">
        <v>5</v>
      </c>
      <c r="S164" s="15">
        <v>4.6166911262372938</v>
      </c>
      <c r="T164" s="15">
        <v>5</v>
      </c>
      <c r="U164" s="15">
        <v>3.8437686062082861</v>
      </c>
      <c r="V164" s="15">
        <v>4</v>
      </c>
      <c r="W164" s="15">
        <v>2.5807821750640869</v>
      </c>
      <c r="X164" s="15">
        <v>5</v>
      </c>
      <c r="Y164" s="15">
        <v>4.2980866956746446</v>
      </c>
      <c r="Z164" s="15">
        <v>5</v>
      </c>
      <c r="AA164" s="15">
        <v>3.4576268196105961</v>
      </c>
      <c r="AB164" s="15">
        <v>5</v>
      </c>
      <c r="AC164" s="15">
        <v>4.3453928571428584</v>
      </c>
      <c r="AD164" s="15">
        <v>5</v>
      </c>
      <c r="AE164" s="15">
        <v>4.4161428571428569</v>
      </c>
    </row>
    <row r="165" spans="2:31" x14ac:dyDescent="0.2">
      <c r="B165" s="15">
        <v>4</v>
      </c>
      <c r="C165" s="15">
        <v>3.9624988702596111</v>
      </c>
      <c r="D165" s="15">
        <v>4</v>
      </c>
      <c r="E165" s="15">
        <v>4.67</v>
      </c>
      <c r="F165" s="15">
        <v>4</v>
      </c>
      <c r="G165" s="15">
        <v>4.5538284777856326</v>
      </c>
      <c r="H165" s="15">
        <v>4</v>
      </c>
      <c r="I165" s="15">
        <v>4.8760256999999996</v>
      </c>
      <c r="J165" s="15">
        <v>4</v>
      </c>
      <c r="K165" s="15">
        <v>3.9624988702596111</v>
      </c>
      <c r="L165" s="15">
        <v>4</v>
      </c>
      <c r="M165" s="15">
        <v>4.3465189873417716</v>
      </c>
      <c r="N165" s="15">
        <v>4</v>
      </c>
      <c r="O165" s="15">
        <v>3.4492888259541741</v>
      </c>
      <c r="P165" s="15">
        <v>4</v>
      </c>
      <c r="Q165" s="15">
        <v>4.1620022188242309</v>
      </c>
      <c r="R165" s="15">
        <v>4</v>
      </c>
      <c r="S165" s="15">
        <v>4.5098845708604616</v>
      </c>
      <c r="T165" s="15">
        <v>4</v>
      </c>
      <c r="U165" s="15">
        <v>3.785190524456532</v>
      </c>
      <c r="V165" s="15">
        <v>5</v>
      </c>
      <c r="W165" s="15">
        <v>3.6995055675506592</v>
      </c>
      <c r="X165" s="15">
        <v>4</v>
      </c>
      <c r="Y165" s="15">
        <v>3.7812321483877072</v>
      </c>
      <c r="Z165" s="15">
        <v>4</v>
      </c>
      <c r="AA165" s="15">
        <v>3.9594171047210689</v>
      </c>
      <c r="AB165" s="15">
        <v>4</v>
      </c>
      <c r="AC165" s="15">
        <v>4.4115000000000002</v>
      </c>
      <c r="AD165" s="15">
        <v>4</v>
      </c>
      <c r="AE165" s="15">
        <v>4.6118888888888883</v>
      </c>
    </row>
    <row r="166" spans="2:31" x14ac:dyDescent="0.2">
      <c r="B166" s="15">
        <v>5</v>
      </c>
      <c r="C166" s="15">
        <v>3.7592429069128639</v>
      </c>
      <c r="D166" s="15">
        <v>5</v>
      </c>
      <c r="E166" s="15">
        <v>3.64</v>
      </c>
      <c r="F166" s="15">
        <v>5</v>
      </c>
      <c r="G166" s="15">
        <v>3.7434486539525511</v>
      </c>
      <c r="H166" s="15">
        <v>5</v>
      </c>
      <c r="I166" s="15">
        <v>3.5140630000000002</v>
      </c>
      <c r="J166" s="15">
        <v>5</v>
      </c>
      <c r="K166" s="15">
        <v>3.7592429069128639</v>
      </c>
      <c r="L166" s="15">
        <v>5</v>
      </c>
      <c r="M166" s="15">
        <v>3.3298013245033111</v>
      </c>
      <c r="N166" s="15">
        <v>5</v>
      </c>
      <c r="O166" s="15">
        <v>3.7116578355326348</v>
      </c>
      <c r="P166" s="15">
        <v>5</v>
      </c>
      <c r="Q166" s="15">
        <v>3.318096359625522</v>
      </c>
      <c r="R166" s="15">
        <v>5</v>
      </c>
      <c r="S166" s="15">
        <v>2.890092697648643</v>
      </c>
      <c r="T166" s="15">
        <v>5</v>
      </c>
      <c r="U166" s="15">
        <v>3.9984016084564962</v>
      </c>
      <c r="V166" s="15">
        <v>4</v>
      </c>
      <c r="W166" s="15">
        <v>3.958011150360107</v>
      </c>
      <c r="X166" s="15">
        <v>5</v>
      </c>
      <c r="Y166" s="15">
        <v>4.1378422813088029</v>
      </c>
      <c r="Z166" s="15">
        <v>5</v>
      </c>
      <c r="AA166" s="15">
        <v>4.1209473609924316</v>
      </c>
      <c r="AB166" s="15">
        <v>5</v>
      </c>
      <c r="AC166" s="15">
        <v>3.437357142857143</v>
      </c>
      <c r="AD166" s="15">
        <v>5</v>
      </c>
      <c r="AE166" s="15">
        <v>3.6910000000000012</v>
      </c>
    </row>
    <row r="167" spans="2:31" x14ac:dyDescent="0.2">
      <c r="B167" s="15">
        <v>4</v>
      </c>
      <c r="C167" s="15">
        <v>3.6828909878254472</v>
      </c>
      <c r="D167" s="15">
        <v>4</v>
      </c>
      <c r="E167" s="15">
        <v>3.75</v>
      </c>
      <c r="F167" s="15">
        <v>4</v>
      </c>
      <c r="G167" s="15">
        <v>3.7042526164394252</v>
      </c>
      <c r="H167" s="15">
        <v>4</v>
      </c>
      <c r="I167" s="15">
        <v>3.7479789999999999</v>
      </c>
      <c r="J167" s="15">
        <v>4</v>
      </c>
      <c r="K167" s="15">
        <v>3.6828909878254472</v>
      </c>
      <c r="L167" s="15">
        <v>4</v>
      </c>
      <c r="M167" s="15">
        <v>3.681549220010758</v>
      </c>
      <c r="N167" s="15">
        <v>4</v>
      </c>
      <c r="O167" s="15">
        <v>3.7275339993091201</v>
      </c>
      <c r="P167" s="15">
        <v>4</v>
      </c>
      <c r="Q167" s="15">
        <v>4.0640499073117464</v>
      </c>
      <c r="R167" s="15">
        <v>4</v>
      </c>
      <c r="S167" s="15">
        <v>3.9003521402318828</v>
      </c>
      <c r="T167" s="15">
        <v>4</v>
      </c>
      <c r="U167" s="15">
        <v>4.0280380856109144</v>
      </c>
      <c r="V167" s="15">
        <v>4</v>
      </c>
      <c r="W167" s="15">
        <v>3.7186086177825932</v>
      </c>
      <c r="X167" s="15">
        <v>4</v>
      </c>
      <c r="Y167" s="15">
        <v>3.6871453377761552</v>
      </c>
      <c r="Z167" s="15">
        <v>4</v>
      </c>
      <c r="AA167" s="15">
        <v>3.878448486328125</v>
      </c>
      <c r="AB167" s="15">
        <v>4</v>
      </c>
      <c r="AC167" s="15">
        <v>3.980785714285715</v>
      </c>
      <c r="AD167" s="15">
        <v>4</v>
      </c>
      <c r="AE167" s="15">
        <v>4.0114206349206336</v>
      </c>
    </row>
    <row r="168" spans="2:31" x14ac:dyDescent="0.2">
      <c r="B168" s="15">
        <v>3</v>
      </c>
      <c r="C168" s="15">
        <v>3.7943158968879249</v>
      </c>
      <c r="D168" s="15">
        <v>3</v>
      </c>
      <c r="E168" s="15">
        <v>4.4000000000000004</v>
      </c>
      <c r="F168" s="15">
        <v>3</v>
      </c>
      <c r="G168" s="15">
        <v>4.0845277326250589</v>
      </c>
      <c r="H168" s="15">
        <v>3</v>
      </c>
      <c r="I168" s="15">
        <v>4.0062309999999997</v>
      </c>
      <c r="J168" s="15">
        <v>3</v>
      </c>
      <c r="K168" s="15">
        <v>3.7943158968879249</v>
      </c>
      <c r="L168" s="15">
        <v>3</v>
      </c>
      <c r="M168" s="15">
        <v>4.297595585337012</v>
      </c>
      <c r="N168" s="15">
        <v>3</v>
      </c>
      <c r="O168" s="15">
        <v>4.1276443199245501</v>
      </c>
      <c r="P168" s="15">
        <v>3</v>
      </c>
      <c r="Q168" s="15">
        <v>4.0077735350671437</v>
      </c>
      <c r="R168" s="15">
        <v>3</v>
      </c>
      <c r="S168" s="15">
        <v>3.8698913565537811</v>
      </c>
      <c r="T168" s="15">
        <v>3</v>
      </c>
      <c r="U168" s="15">
        <v>3.929893698336095</v>
      </c>
      <c r="V168" s="15">
        <v>4</v>
      </c>
      <c r="W168" s="15">
        <v>3.8480765819549561</v>
      </c>
      <c r="X168" s="15">
        <v>3</v>
      </c>
      <c r="Y168" s="15">
        <v>3.710449732949876</v>
      </c>
      <c r="Z168" s="15">
        <v>3</v>
      </c>
      <c r="AA168" s="15">
        <v>3.2738292217254639</v>
      </c>
      <c r="AB168" s="15">
        <v>3</v>
      </c>
      <c r="AC168" s="15">
        <v>3.754805555555556</v>
      </c>
      <c r="AD168" s="15">
        <v>3</v>
      </c>
      <c r="AE168" s="15">
        <v>3.5780833333333328</v>
      </c>
    </row>
    <row r="169" spans="2:31" x14ac:dyDescent="0.2">
      <c r="B169" s="15">
        <v>5</v>
      </c>
      <c r="C169" s="15">
        <v>3.6287115148958451</v>
      </c>
      <c r="D169" s="15">
        <v>5</v>
      </c>
      <c r="E169" s="15">
        <v>3.58</v>
      </c>
      <c r="F169" s="15">
        <v>5</v>
      </c>
      <c r="G169" s="15">
        <v>3.8955420275639998</v>
      </c>
      <c r="H169" s="15">
        <v>5</v>
      </c>
      <c r="I169" s="15">
        <v>3.8532817000000001</v>
      </c>
      <c r="J169" s="15">
        <v>5</v>
      </c>
      <c r="K169" s="15">
        <v>3.6287115148958451</v>
      </c>
      <c r="L169" s="15">
        <v>5</v>
      </c>
      <c r="M169" s="15">
        <v>4.0956156716417906</v>
      </c>
      <c r="N169" s="15">
        <v>5</v>
      </c>
      <c r="O169" s="15">
        <v>3.713140645581062</v>
      </c>
      <c r="P169" s="15">
        <v>5</v>
      </c>
      <c r="Q169" s="15">
        <v>3.758346155244324</v>
      </c>
      <c r="R169" s="15">
        <v>5</v>
      </c>
      <c r="S169" s="15">
        <v>3.6035809332652589</v>
      </c>
      <c r="T169" s="15">
        <v>5</v>
      </c>
      <c r="U169" s="15">
        <v>4.1881639154939787</v>
      </c>
      <c r="V169" s="15">
        <v>4</v>
      </c>
      <c r="W169" s="15">
        <v>3.507967472076416</v>
      </c>
      <c r="X169" s="15">
        <v>5</v>
      </c>
      <c r="Y169" s="15">
        <v>3.932596714811408</v>
      </c>
      <c r="Z169" s="15">
        <v>5</v>
      </c>
      <c r="AA169" s="15">
        <v>3.573830127716064</v>
      </c>
      <c r="AB169" s="15">
        <v>5</v>
      </c>
      <c r="AC169" s="15">
        <v>3.8244880952380949</v>
      </c>
      <c r="AD169" s="15">
        <v>5</v>
      </c>
      <c r="AE169" s="15">
        <v>4.0743809523809524</v>
      </c>
    </row>
    <row r="170" spans="2:31" x14ac:dyDescent="0.2">
      <c r="B170" s="15">
        <v>5</v>
      </c>
      <c r="C170" s="15">
        <v>3.783809202946022</v>
      </c>
      <c r="D170" s="15">
        <v>5</v>
      </c>
      <c r="E170" s="15">
        <v>3.56</v>
      </c>
      <c r="F170" s="15">
        <v>5</v>
      </c>
      <c r="G170" s="15">
        <v>3.5660166529734658</v>
      </c>
      <c r="H170" s="15">
        <v>5</v>
      </c>
      <c r="I170" s="15">
        <v>3.68893</v>
      </c>
      <c r="J170" s="15">
        <v>5</v>
      </c>
      <c r="K170" s="15">
        <v>3.783809202946022</v>
      </c>
      <c r="L170" s="15">
        <v>5</v>
      </c>
      <c r="M170" s="15">
        <v>3.3430637386181039</v>
      </c>
      <c r="N170" s="15">
        <v>5</v>
      </c>
      <c r="O170" s="15">
        <v>3.68120229550295</v>
      </c>
      <c r="P170" s="15">
        <v>5</v>
      </c>
      <c r="Q170" s="15">
        <v>3.0166554782920838</v>
      </c>
      <c r="R170" s="15">
        <v>5</v>
      </c>
      <c r="S170" s="15">
        <v>3.2759204399297901</v>
      </c>
      <c r="T170" s="15">
        <v>5</v>
      </c>
      <c r="U170" s="15">
        <v>3.4918637930117948</v>
      </c>
      <c r="V170" s="15">
        <v>4</v>
      </c>
      <c r="W170" s="15">
        <v>3.5468096733093262</v>
      </c>
      <c r="X170" s="15">
        <v>5</v>
      </c>
      <c r="Y170" s="15">
        <v>3.7535013936835981</v>
      </c>
      <c r="Z170" s="15">
        <v>5</v>
      </c>
      <c r="AA170" s="15">
        <v>3.7621569633483891</v>
      </c>
      <c r="AB170" s="15">
        <v>5</v>
      </c>
      <c r="AC170" s="15">
        <v>3.472083333333333</v>
      </c>
      <c r="AD170" s="15">
        <v>5</v>
      </c>
      <c r="AE170" s="15">
        <v>3.5101071428571431</v>
      </c>
    </row>
    <row r="171" spans="2:31" x14ac:dyDescent="0.2">
      <c r="B171" s="15">
        <v>5</v>
      </c>
      <c r="C171" s="15">
        <v>3.8617677643028281</v>
      </c>
      <c r="D171" s="15">
        <v>5</v>
      </c>
      <c r="E171" s="15">
        <v>4.2300000000000004</v>
      </c>
      <c r="F171" s="15">
        <v>5</v>
      </c>
      <c r="G171" s="15">
        <v>4.2001894249064282</v>
      </c>
      <c r="H171" s="15">
        <v>5</v>
      </c>
      <c r="I171" s="15">
        <v>4.2871639999999998</v>
      </c>
      <c r="J171" s="15">
        <v>5</v>
      </c>
      <c r="K171" s="15">
        <v>3.8617677643028281</v>
      </c>
      <c r="L171" s="15">
        <v>5</v>
      </c>
      <c r="M171" s="15">
        <v>4.0155208964264082</v>
      </c>
      <c r="N171" s="15">
        <v>5</v>
      </c>
      <c r="O171" s="15">
        <v>3.9090044059275422</v>
      </c>
      <c r="P171" s="15">
        <v>5</v>
      </c>
      <c r="Q171" s="15">
        <v>4.6671812018558114</v>
      </c>
      <c r="R171" s="15">
        <v>5</v>
      </c>
      <c r="S171" s="15">
        <v>4.8078547012024986</v>
      </c>
      <c r="T171" s="15">
        <v>5</v>
      </c>
      <c r="U171" s="15">
        <v>3.850384337241687</v>
      </c>
      <c r="V171" s="15">
        <v>3</v>
      </c>
      <c r="W171" s="15">
        <v>3.6233887672424321</v>
      </c>
      <c r="X171" s="15">
        <v>5</v>
      </c>
      <c r="Y171" s="15">
        <v>3.8632188160392289</v>
      </c>
      <c r="Z171" s="15">
        <v>5</v>
      </c>
      <c r="AA171" s="15">
        <v>3.887090921401978</v>
      </c>
      <c r="AB171" s="15">
        <v>5</v>
      </c>
      <c r="AC171" s="15">
        <v>4.4249841269841266</v>
      </c>
      <c r="AD171" s="15">
        <v>5</v>
      </c>
      <c r="AE171" s="15">
        <v>4.4533333333333331</v>
      </c>
    </row>
    <row r="172" spans="2:31" x14ac:dyDescent="0.2">
      <c r="B172" s="15">
        <v>1</v>
      </c>
      <c r="C172" s="15">
        <v>-0.40073406432703162</v>
      </c>
      <c r="D172" s="15">
        <v>1</v>
      </c>
      <c r="E172" s="15">
        <v>1.56</v>
      </c>
      <c r="F172" s="15">
        <v>1</v>
      </c>
      <c r="G172" s="15">
        <v>1.243412410222712</v>
      </c>
      <c r="H172" s="15">
        <v>1</v>
      </c>
      <c r="I172" s="15">
        <v>1.3213549</v>
      </c>
      <c r="J172" s="15">
        <v>1</v>
      </c>
      <c r="K172" s="15">
        <v>-0.40073406432703162</v>
      </c>
      <c r="L172" s="15">
        <v>1</v>
      </c>
      <c r="M172" s="15">
        <v>1.192660550458716</v>
      </c>
      <c r="N172" s="15">
        <v>1</v>
      </c>
      <c r="O172" s="15">
        <v>1.5210796111903031</v>
      </c>
      <c r="P172" s="15">
        <v>1</v>
      </c>
      <c r="Q172" s="15">
        <v>1.9016504713095909E-2</v>
      </c>
      <c r="R172" s="15">
        <v>1</v>
      </c>
      <c r="S172" s="15">
        <v>1.674727270911883</v>
      </c>
      <c r="T172" s="15">
        <v>1</v>
      </c>
      <c r="U172" s="15">
        <v>1.9984909937610069</v>
      </c>
      <c r="V172" s="15">
        <v>5</v>
      </c>
      <c r="W172" s="15">
        <v>4.5519208908081046</v>
      </c>
      <c r="X172" s="15">
        <v>1</v>
      </c>
      <c r="Y172" s="15">
        <v>1.587170115871579</v>
      </c>
      <c r="Z172" s="15">
        <v>1</v>
      </c>
      <c r="AA172" s="15">
        <v>1.157393097877502</v>
      </c>
      <c r="AB172" s="15">
        <v>1</v>
      </c>
      <c r="AC172" s="15">
        <v>1.5758730158730161</v>
      </c>
      <c r="AD172" s="15">
        <v>1</v>
      </c>
      <c r="AE172" s="15">
        <v>1.6375</v>
      </c>
    </row>
    <row r="173" spans="2:31" x14ac:dyDescent="0.2">
      <c r="B173" s="15">
        <v>3</v>
      </c>
      <c r="C173" s="15">
        <v>3.8006769198457149</v>
      </c>
      <c r="D173" s="15">
        <v>3</v>
      </c>
      <c r="E173" s="15">
        <v>3.28</v>
      </c>
      <c r="F173" s="15">
        <v>3</v>
      </c>
      <c r="G173" s="15">
        <v>3.739994843822525</v>
      </c>
      <c r="H173" s="15">
        <v>3</v>
      </c>
      <c r="I173" s="15">
        <v>3.3836560000000002</v>
      </c>
      <c r="J173" s="15">
        <v>3</v>
      </c>
      <c r="K173" s="15">
        <v>3.8006769198457149</v>
      </c>
      <c r="L173" s="15">
        <v>3</v>
      </c>
      <c r="M173" s="15">
        <v>3.7917898193760262</v>
      </c>
      <c r="N173" s="15">
        <v>3</v>
      </c>
      <c r="O173" s="15">
        <v>3.7270702448539179</v>
      </c>
      <c r="P173" s="15">
        <v>3</v>
      </c>
      <c r="Q173" s="15">
        <v>3.1113236208761341</v>
      </c>
      <c r="R173" s="15">
        <v>3</v>
      </c>
      <c r="S173" s="15">
        <v>3.276846614691622</v>
      </c>
      <c r="T173" s="15">
        <v>3</v>
      </c>
      <c r="U173" s="15">
        <v>3.6397138396197</v>
      </c>
      <c r="V173" s="15">
        <v>1</v>
      </c>
      <c r="W173" s="15">
        <v>1.724855422973633</v>
      </c>
      <c r="X173" s="15">
        <v>3</v>
      </c>
      <c r="Y173" s="15">
        <v>3.815671467837054</v>
      </c>
      <c r="Z173" s="15">
        <v>3</v>
      </c>
      <c r="AA173" s="15">
        <v>3.6266026496887211</v>
      </c>
      <c r="AB173" s="15">
        <v>3</v>
      </c>
      <c r="AC173" s="15">
        <v>3.457928571428571</v>
      </c>
      <c r="AD173" s="15">
        <v>3</v>
      </c>
      <c r="AE173" s="15">
        <v>3.8291666666666671</v>
      </c>
    </row>
    <row r="174" spans="2:31" x14ac:dyDescent="0.2">
      <c r="B174" s="15">
        <v>4</v>
      </c>
      <c r="C174" s="15">
        <v>3.6361263584428509</v>
      </c>
      <c r="D174" s="15">
        <v>4</v>
      </c>
      <c r="E174" s="15">
        <v>4.2699999999999996</v>
      </c>
      <c r="F174" s="15">
        <v>4</v>
      </c>
      <c r="G174" s="15">
        <v>4.2650198851785728</v>
      </c>
      <c r="H174" s="15">
        <v>4</v>
      </c>
      <c r="I174" s="15">
        <v>4.0451373999999998</v>
      </c>
      <c r="J174" s="15">
        <v>4</v>
      </c>
      <c r="K174" s="15">
        <v>3.6361263584428509</v>
      </c>
      <c r="L174" s="15">
        <v>4</v>
      </c>
      <c r="M174" s="15">
        <v>4.1486227721313886</v>
      </c>
      <c r="N174" s="15">
        <v>4</v>
      </c>
      <c r="O174" s="15">
        <v>3.8641805344757429</v>
      </c>
      <c r="P174" s="15">
        <v>4</v>
      </c>
      <c r="Q174" s="15">
        <v>4.1967632630825227</v>
      </c>
      <c r="R174" s="15">
        <v>4</v>
      </c>
      <c r="S174" s="15">
        <v>3.9828643872015301</v>
      </c>
      <c r="T174" s="15">
        <v>4</v>
      </c>
      <c r="U174" s="15">
        <v>4.3304903774159067</v>
      </c>
      <c r="V174" s="15">
        <v>5</v>
      </c>
      <c r="W174" s="15">
        <v>4.4605827331542969</v>
      </c>
      <c r="X174" s="15">
        <v>4</v>
      </c>
      <c r="Y174" s="15">
        <v>4.4298176340962492</v>
      </c>
      <c r="Z174" s="15">
        <v>4</v>
      </c>
      <c r="AA174" s="15">
        <v>4.250274658203125</v>
      </c>
      <c r="AB174" s="15">
        <v>4</v>
      </c>
      <c r="AC174" s="15">
        <v>4.6743452380952366</v>
      </c>
      <c r="AD174" s="15">
        <v>4</v>
      </c>
      <c r="AE174" s="15">
        <v>4.3969999999999994</v>
      </c>
    </row>
    <row r="175" spans="2:31" x14ac:dyDescent="0.2">
      <c r="B175" s="15">
        <v>4</v>
      </c>
      <c r="C175" s="15">
        <v>3.699122697792685</v>
      </c>
      <c r="D175" s="15">
        <v>4</v>
      </c>
      <c r="E175" s="15">
        <v>3.36</v>
      </c>
      <c r="F175" s="15">
        <v>4</v>
      </c>
      <c r="G175" s="15">
        <v>3.353884325330311</v>
      </c>
      <c r="H175" s="15">
        <v>4</v>
      </c>
      <c r="I175" s="15">
        <v>3.6400975999999998</v>
      </c>
      <c r="J175" s="15">
        <v>4</v>
      </c>
      <c r="K175" s="15">
        <v>3.699122697792685</v>
      </c>
      <c r="L175" s="15">
        <v>4</v>
      </c>
      <c r="M175" s="15">
        <v>3.4800233304170312</v>
      </c>
      <c r="N175" s="15">
        <v>4</v>
      </c>
      <c r="O175" s="15">
        <v>3.5866615104792392</v>
      </c>
      <c r="P175" s="15">
        <v>4</v>
      </c>
      <c r="Q175" s="15">
        <v>3.1843969052908379</v>
      </c>
      <c r="R175" s="15">
        <v>4</v>
      </c>
      <c r="S175" s="15">
        <v>3.1429569195008762</v>
      </c>
      <c r="T175" s="15">
        <v>4</v>
      </c>
      <c r="U175" s="15">
        <v>3.360187808868047</v>
      </c>
      <c r="V175" s="15">
        <v>2</v>
      </c>
      <c r="W175" s="15">
        <v>3.3038403987884521</v>
      </c>
      <c r="X175" s="15">
        <v>4</v>
      </c>
      <c r="Y175" s="15">
        <v>3.3789252285153522</v>
      </c>
      <c r="Z175" s="15">
        <v>4</v>
      </c>
      <c r="AA175" s="15">
        <v>3.3659951686859131</v>
      </c>
      <c r="AB175" s="15">
        <v>4</v>
      </c>
      <c r="AC175" s="15">
        <v>3.3695833333333329</v>
      </c>
      <c r="AD175" s="15">
        <v>4</v>
      </c>
      <c r="AE175" s="15">
        <v>3.3747857142857152</v>
      </c>
    </row>
    <row r="176" spans="2:31" x14ac:dyDescent="0.2">
      <c r="B176" s="15">
        <v>5</v>
      </c>
      <c r="C176" s="15">
        <v>3.370774236825814</v>
      </c>
      <c r="D176" s="15">
        <v>5</v>
      </c>
      <c r="E176" s="15">
        <v>3.29</v>
      </c>
      <c r="F176" s="15">
        <v>5</v>
      </c>
      <c r="G176" s="15">
        <v>3.0897842617499398</v>
      </c>
      <c r="H176" s="15">
        <v>5</v>
      </c>
      <c r="I176" s="15">
        <v>3.0339684</v>
      </c>
      <c r="J176" s="15">
        <v>5</v>
      </c>
      <c r="K176" s="15">
        <v>3.370774236825814</v>
      </c>
      <c r="L176" s="15">
        <v>5</v>
      </c>
      <c r="M176" s="15">
        <v>3.3870395028850422</v>
      </c>
      <c r="N176" s="15">
        <v>5</v>
      </c>
      <c r="O176" s="15">
        <v>3.1162367146660159</v>
      </c>
      <c r="P176" s="15">
        <v>5</v>
      </c>
      <c r="Q176" s="15">
        <v>3.1874525978842949</v>
      </c>
      <c r="R176" s="15">
        <v>5</v>
      </c>
      <c r="S176" s="15">
        <v>3.245241000633889</v>
      </c>
      <c r="T176" s="15">
        <v>5</v>
      </c>
      <c r="U176" s="15">
        <v>3.941297897038003</v>
      </c>
      <c r="V176" s="15">
        <v>2</v>
      </c>
      <c r="W176" s="15">
        <v>2.8782601356506352</v>
      </c>
      <c r="X176" s="15">
        <v>5</v>
      </c>
      <c r="Y176" s="15">
        <v>3.2791139925476251</v>
      </c>
      <c r="Z176" s="15">
        <v>5</v>
      </c>
      <c r="AA176" s="15">
        <v>3.3137040138244629</v>
      </c>
      <c r="AB176" s="15">
        <v>5</v>
      </c>
      <c r="AC176" s="15">
        <v>2.5893571428571431</v>
      </c>
      <c r="AD176" s="15">
        <v>5</v>
      </c>
      <c r="AE176" s="15">
        <v>2.9658412698412699</v>
      </c>
    </row>
    <row r="177" spans="2:31" x14ac:dyDescent="0.2">
      <c r="B177" s="15">
        <v>4</v>
      </c>
      <c r="C177" s="15">
        <v>3.777235671063266</v>
      </c>
      <c r="D177" s="15">
        <v>4</v>
      </c>
      <c r="E177" s="15">
        <v>4.12</v>
      </c>
      <c r="F177" s="15">
        <v>4</v>
      </c>
      <c r="G177" s="15">
        <v>3.9311973841188221</v>
      </c>
      <c r="H177" s="15">
        <v>4</v>
      </c>
      <c r="I177" s="15">
        <v>4.1304654999999997</v>
      </c>
      <c r="J177" s="15">
        <v>4</v>
      </c>
      <c r="K177" s="15">
        <v>3.777235671063266</v>
      </c>
      <c r="L177" s="15">
        <v>4</v>
      </c>
      <c r="M177" s="15">
        <v>4.1937967914438499</v>
      </c>
      <c r="N177" s="15">
        <v>4</v>
      </c>
      <c r="O177" s="15">
        <v>4.2501877131201216</v>
      </c>
      <c r="P177" s="15">
        <v>4</v>
      </c>
      <c r="Q177" s="15">
        <v>4.0852711414772056</v>
      </c>
      <c r="R177" s="15">
        <v>4</v>
      </c>
      <c r="S177" s="15">
        <v>4.1238641584388924</v>
      </c>
      <c r="T177" s="15">
        <v>4</v>
      </c>
      <c r="U177" s="15">
        <v>4.5997700341963714</v>
      </c>
      <c r="V177" s="15">
        <v>4</v>
      </c>
      <c r="W177" s="15">
        <v>2.3789463043212891</v>
      </c>
      <c r="X177" s="15">
        <v>4</v>
      </c>
      <c r="Y177" s="15">
        <v>4.2110098414776864</v>
      </c>
      <c r="Z177" s="15">
        <v>4</v>
      </c>
      <c r="AA177" s="15">
        <v>4.6397371292114258</v>
      </c>
      <c r="AB177" s="15">
        <v>4</v>
      </c>
      <c r="AC177" s="15">
        <v>4.3001428571428564</v>
      </c>
      <c r="AD177" s="15">
        <v>4</v>
      </c>
      <c r="AE177" s="15">
        <v>4.3099999999999996</v>
      </c>
    </row>
    <row r="178" spans="2:31" x14ac:dyDescent="0.2">
      <c r="B178" s="15">
        <v>1</v>
      </c>
      <c r="C178" s="15">
        <v>3.2394237839119189</v>
      </c>
      <c r="D178" s="15">
        <v>1</v>
      </c>
      <c r="E178" s="15">
        <v>3.1</v>
      </c>
      <c r="F178" s="15">
        <v>1</v>
      </c>
      <c r="G178" s="15">
        <v>2.537645682227295</v>
      </c>
      <c r="H178" s="15">
        <v>1</v>
      </c>
      <c r="I178" s="15">
        <v>2.4960732000000001</v>
      </c>
      <c r="J178" s="15">
        <v>1</v>
      </c>
      <c r="K178" s="15">
        <v>3.2394237839119189</v>
      </c>
      <c r="L178" s="15">
        <v>1</v>
      </c>
      <c r="M178" s="15">
        <v>2.5587188612099649</v>
      </c>
      <c r="N178" s="15">
        <v>1</v>
      </c>
      <c r="O178" s="15">
        <v>2.5613346090684899</v>
      </c>
      <c r="P178" s="15">
        <v>1</v>
      </c>
      <c r="Q178" s="15">
        <v>1.8319362229677401</v>
      </c>
      <c r="R178" s="15">
        <v>1</v>
      </c>
      <c r="S178" s="15">
        <v>1.5274685786042059</v>
      </c>
      <c r="T178" s="15">
        <v>1</v>
      </c>
      <c r="U178" s="15">
        <v>2.3739639888981312</v>
      </c>
      <c r="V178" s="15">
        <v>5</v>
      </c>
      <c r="W178" s="15">
        <v>4.4750943183898926</v>
      </c>
      <c r="X178" s="15">
        <v>1</v>
      </c>
      <c r="Y178" s="15">
        <v>1.770368751160271</v>
      </c>
      <c r="Z178" s="15">
        <v>1</v>
      </c>
      <c r="AA178" s="15">
        <v>1.13993775844574</v>
      </c>
      <c r="AB178" s="15">
        <v>1</v>
      </c>
      <c r="AC178" s="15">
        <v>1.840940476190476</v>
      </c>
      <c r="AD178" s="15">
        <v>1</v>
      </c>
      <c r="AE178" s="15">
        <v>1.802484126984127</v>
      </c>
    </row>
    <row r="179" spans="2:31" x14ac:dyDescent="0.2">
      <c r="B179" s="15">
        <v>4</v>
      </c>
      <c r="C179" s="15">
        <v>3.8491196297403278</v>
      </c>
      <c r="D179" s="15">
        <v>4</v>
      </c>
      <c r="E179" s="15">
        <v>3.82</v>
      </c>
      <c r="F179" s="15">
        <v>4</v>
      </c>
      <c r="G179" s="15">
        <v>3.9547540645259991</v>
      </c>
      <c r="H179" s="15">
        <v>4</v>
      </c>
      <c r="I179" s="15">
        <v>3.9241114000000001</v>
      </c>
      <c r="J179" s="15">
        <v>4</v>
      </c>
      <c r="K179" s="15">
        <v>3.849119629740327</v>
      </c>
      <c r="L179" s="15">
        <v>4</v>
      </c>
      <c r="M179" s="15">
        <v>3.8995308835027371</v>
      </c>
      <c r="N179" s="15">
        <v>4</v>
      </c>
      <c r="O179" s="15">
        <v>3.845693772102643</v>
      </c>
      <c r="P179" s="15">
        <v>4</v>
      </c>
      <c r="Q179" s="15">
        <v>3.5731405880071838</v>
      </c>
      <c r="R179" s="15">
        <v>4</v>
      </c>
      <c r="S179" s="15">
        <v>3.500613002656372</v>
      </c>
      <c r="T179" s="15">
        <v>4</v>
      </c>
      <c r="U179" s="15">
        <v>4.0866300126691089</v>
      </c>
      <c r="V179" s="15">
        <v>4</v>
      </c>
      <c r="W179" s="15">
        <v>4.4355239868164062</v>
      </c>
      <c r="X179" s="15">
        <v>4</v>
      </c>
      <c r="Y179" s="15">
        <v>4.0350263079955466</v>
      </c>
      <c r="Z179" s="15">
        <v>4</v>
      </c>
      <c r="AA179" s="15">
        <v>4.1868648529052734</v>
      </c>
      <c r="AB179" s="15">
        <v>4</v>
      </c>
      <c r="AC179" s="15">
        <v>3.9378333333333329</v>
      </c>
      <c r="AD179" s="15">
        <v>4</v>
      </c>
      <c r="AE179" s="15">
        <v>3.554404761904761</v>
      </c>
    </row>
    <row r="180" spans="2:31" x14ac:dyDescent="0.2">
      <c r="B180" s="15">
        <v>3</v>
      </c>
      <c r="C180" s="15">
        <v>3.6818896590800212</v>
      </c>
      <c r="D180" s="15">
        <v>3</v>
      </c>
      <c r="E180" s="15">
        <v>3.7</v>
      </c>
      <c r="F180" s="15">
        <v>3</v>
      </c>
      <c r="G180" s="15">
        <v>3.5315640905905532</v>
      </c>
      <c r="H180" s="15">
        <v>3</v>
      </c>
      <c r="I180" s="15">
        <v>3.4193031999999999</v>
      </c>
      <c r="J180" s="15">
        <v>3</v>
      </c>
      <c r="K180" s="15">
        <v>3.6818896590800212</v>
      </c>
      <c r="L180" s="15">
        <v>3</v>
      </c>
      <c r="M180" s="15">
        <v>3.6991786447638599</v>
      </c>
      <c r="N180" s="15">
        <v>3</v>
      </c>
      <c r="O180" s="15">
        <v>3.623292359879942</v>
      </c>
      <c r="P180" s="15">
        <v>3</v>
      </c>
      <c r="Q180" s="15">
        <v>3.972711846122563</v>
      </c>
      <c r="R180" s="15">
        <v>3</v>
      </c>
      <c r="S180" s="15">
        <v>4.1324749478614526</v>
      </c>
      <c r="T180" s="15">
        <v>3</v>
      </c>
      <c r="U180" s="15">
        <v>3.6258594653415188</v>
      </c>
      <c r="V180" s="15">
        <v>3</v>
      </c>
      <c r="W180" s="15">
        <v>3.43038010597229</v>
      </c>
      <c r="X180" s="15">
        <v>3</v>
      </c>
      <c r="Y180" s="15">
        <v>3.7502509372132442</v>
      </c>
      <c r="Z180" s="15">
        <v>3</v>
      </c>
      <c r="AA180" s="15">
        <v>3.7503585815429692</v>
      </c>
      <c r="AB180" s="15">
        <v>3</v>
      </c>
      <c r="AC180" s="15">
        <v>4.1285952380952384</v>
      </c>
      <c r="AD180" s="15">
        <v>3</v>
      </c>
      <c r="AE180" s="15">
        <v>4.3364166666666657</v>
      </c>
    </row>
    <row r="181" spans="2:31" x14ac:dyDescent="0.2">
      <c r="B181" s="15">
        <v>4</v>
      </c>
      <c r="C181" s="15">
        <v>3.9999133967455398</v>
      </c>
      <c r="D181" s="15">
        <v>4</v>
      </c>
      <c r="E181" s="15">
        <v>2.9</v>
      </c>
      <c r="F181" s="15">
        <v>4</v>
      </c>
      <c r="G181" s="15">
        <v>3.501801864083705</v>
      </c>
      <c r="H181" s="15">
        <v>4</v>
      </c>
      <c r="I181" s="15">
        <v>3.366641</v>
      </c>
      <c r="J181" s="15">
        <v>4</v>
      </c>
      <c r="K181" s="15">
        <v>3.9999133967455398</v>
      </c>
      <c r="L181" s="15">
        <v>4</v>
      </c>
      <c r="M181" s="15">
        <v>3.7283003633427532</v>
      </c>
      <c r="N181" s="15">
        <v>4</v>
      </c>
      <c r="O181" s="15">
        <v>3.7477444579393828</v>
      </c>
      <c r="P181" s="15">
        <v>4</v>
      </c>
      <c r="Q181" s="15">
        <v>3.9307065333489968</v>
      </c>
      <c r="R181" s="15">
        <v>4</v>
      </c>
      <c r="S181" s="15">
        <v>4.082986175680853</v>
      </c>
      <c r="T181" s="15">
        <v>4</v>
      </c>
      <c r="U181" s="15">
        <v>3.8411835115498461</v>
      </c>
      <c r="V181" s="15">
        <v>5</v>
      </c>
      <c r="W181" s="15">
        <v>4.8343844413757324</v>
      </c>
      <c r="X181" s="15">
        <v>4</v>
      </c>
      <c r="Y181" s="15">
        <v>4.177250745502934</v>
      </c>
      <c r="Z181" s="15">
        <v>4</v>
      </c>
      <c r="AA181" s="15">
        <v>4.1636276245117188</v>
      </c>
      <c r="AB181" s="15">
        <v>4</v>
      </c>
      <c r="AC181" s="15">
        <v>3.929071428571429</v>
      </c>
      <c r="AD181" s="15">
        <v>4</v>
      </c>
      <c r="AE181" s="15">
        <v>4.3619444444444451</v>
      </c>
    </row>
    <row r="182" spans="2:31" x14ac:dyDescent="0.2">
      <c r="B182" s="15">
        <v>5</v>
      </c>
      <c r="C182" s="15">
        <v>4.1194087801125914</v>
      </c>
      <c r="D182" s="15">
        <v>5</v>
      </c>
      <c r="E182" s="15">
        <v>4.59</v>
      </c>
      <c r="F182" s="15">
        <v>5</v>
      </c>
      <c r="G182" s="15">
        <v>4.7059416313619256</v>
      </c>
      <c r="H182" s="15">
        <v>5</v>
      </c>
      <c r="I182" s="15">
        <v>4.8107249999999997</v>
      </c>
      <c r="J182" s="15">
        <v>5</v>
      </c>
      <c r="K182" s="15">
        <v>4.1194087801125914</v>
      </c>
      <c r="L182" s="15">
        <v>5</v>
      </c>
      <c r="M182" s="15">
        <v>4.6670435274166193</v>
      </c>
      <c r="N182" s="15">
        <v>5</v>
      </c>
      <c r="O182" s="15">
        <v>3.9349866885543019</v>
      </c>
      <c r="P182" s="15">
        <v>5</v>
      </c>
      <c r="Q182" s="15">
        <v>4.4257758450196567</v>
      </c>
      <c r="R182" s="15">
        <v>5</v>
      </c>
      <c r="S182" s="15">
        <v>4.69096748289682</v>
      </c>
      <c r="T182" s="15">
        <v>5</v>
      </c>
      <c r="U182" s="15">
        <v>4.3470389197417578</v>
      </c>
      <c r="V182" s="15">
        <v>4</v>
      </c>
      <c r="W182" s="15">
        <v>3.227895975112915</v>
      </c>
      <c r="X182" s="15">
        <v>5</v>
      </c>
      <c r="Y182" s="15">
        <v>4.2649566736418052</v>
      </c>
      <c r="Z182" s="15">
        <v>5</v>
      </c>
      <c r="AA182" s="15">
        <v>4.2462034225463867</v>
      </c>
      <c r="AB182" s="15">
        <v>5</v>
      </c>
      <c r="AC182" s="15">
        <v>4.686690476190476</v>
      </c>
      <c r="AD182" s="15">
        <v>5</v>
      </c>
      <c r="AE182" s="15">
        <v>4.5839404761904774</v>
      </c>
    </row>
    <row r="183" spans="2:31" x14ac:dyDescent="0.2">
      <c r="B183" s="15">
        <v>4</v>
      </c>
      <c r="C183" s="15">
        <v>3.734906006433119</v>
      </c>
      <c r="D183" s="15">
        <v>4</v>
      </c>
      <c r="E183" s="15">
        <v>3.44</v>
      </c>
      <c r="F183" s="15">
        <v>4</v>
      </c>
      <c r="G183" s="15">
        <v>3.2523320903437769</v>
      </c>
      <c r="H183" s="15">
        <v>4</v>
      </c>
      <c r="I183" s="15">
        <v>3.5572062</v>
      </c>
      <c r="J183" s="15">
        <v>4</v>
      </c>
      <c r="K183" s="15">
        <v>3.734906006433119</v>
      </c>
      <c r="L183" s="15">
        <v>4</v>
      </c>
      <c r="M183" s="15">
        <v>3.4822274881516591</v>
      </c>
      <c r="N183" s="15">
        <v>4</v>
      </c>
      <c r="O183" s="15">
        <v>3.678694366836897</v>
      </c>
      <c r="P183" s="15">
        <v>4</v>
      </c>
      <c r="Q183" s="15">
        <v>3.809242513838702</v>
      </c>
      <c r="R183" s="15">
        <v>4</v>
      </c>
      <c r="S183" s="15">
        <v>3.854183756666941</v>
      </c>
      <c r="T183" s="15">
        <v>4</v>
      </c>
      <c r="U183" s="15">
        <v>3.8109198637190751</v>
      </c>
      <c r="V183" s="15">
        <v>5</v>
      </c>
      <c r="W183" s="15">
        <v>4.3655304908752441</v>
      </c>
      <c r="X183" s="15">
        <v>4</v>
      </c>
      <c r="Y183" s="15">
        <v>3.7291557555378918</v>
      </c>
      <c r="Z183" s="15">
        <v>4</v>
      </c>
      <c r="AA183" s="15">
        <v>3.5527715682983398</v>
      </c>
      <c r="AB183" s="15">
        <v>4</v>
      </c>
      <c r="AC183" s="15">
        <v>3.3944404761904772</v>
      </c>
      <c r="AD183" s="15">
        <v>4</v>
      </c>
      <c r="AE183" s="15">
        <v>3.782999999999999</v>
      </c>
    </row>
    <row r="184" spans="2:31" x14ac:dyDescent="0.2">
      <c r="B184" s="15">
        <v>5</v>
      </c>
      <c r="C184" s="15">
        <v>3.7578706937243429</v>
      </c>
      <c r="D184" s="15">
        <v>5</v>
      </c>
      <c r="E184" s="15">
        <v>4.63</v>
      </c>
      <c r="F184" s="15">
        <v>5</v>
      </c>
      <c r="G184" s="15">
        <v>4.4789566669685783</v>
      </c>
      <c r="H184" s="15">
        <v>5</v>
      </c>
      <c r="I184" s="15">
        <v>4.5629</v>
      </c>
      <c r="J184" s="15">
        <v>5</v>
      </c>
      <c r="K184" s="15">
        <v>3.757870693724342</v>
      </c>
      <c r="L184" s="15">
        <v>5</v>
      </c>
      <c r="M184" s="15">
        <v>4.1691297208538591</v>
      </c>
      <c r="N184" s="15">
        <v>5</v>
      </c>
      <c r="O184" s="15">
        <v>4.3559344976946974</v>
      </c>
      <c r="P184" s="15">
        <v>5</v>
      </c>
      <c r="Q184" s="15">
        <v>4.909976200796593</v>
      </c>
      <c r="R184" s="15">
        <v>5</v>
      </c>
      <c r="S184" s="15">
        <v>4.9363253332781483</v>
      </c>
      <c r="T184" s="15">
        <v>5</v>
      </c>
      <c r="U184" s="15">
        <v>4.2351430796776333</v>
      </c>
      <c r="V184" s="15">
        <v>4</v>
      </c>
      <c r="W184" s="15">
        <v>3.067316055297852</v>
      </c>
      <c r="X184" s="15">
        <v>5</v>
      </c>
      <c r="Y184" s="15">
        <v>4.4179481565786061</v>
      </c>
      <c r="Z184" s="15">
        <v>5</v>
      </c>
      <c r="AA184" s="15">
        <v>4.1480307579040527</v>
      </c>
      <c r="AB184" s="15">
        <v>5</v>
      </c>
      <c r="AC184" s="15">
        <v>4.4277380952380936</v>
      </c>
      <c r="AD184" s="15">
        <v>5</v>
      </c>
      <c r="AE184" s="15">
        <v>4.2679682539682533</v>
      </c>
    </row>
    <row r="185" spans="2:31" x14ac:dyDescent="0.2">
      <c r="B185" s="15">
        <v>5</v>
      </c>
      <c r="C185" s="15">
        <v>3.8739197233945908</v>
      </c>
      <c r="D185" s="15">
        <v>5</v>
      </c>
      <c r="E185" s="15">
        <v>3.89</v>
      </c>
      <c r="F185" s="15">
        <v>5</v>
      </c>
      <c r="G185" s="15">
        <v>4.180663226857817</v>
      </c>
      <c r="H185" s="15">
        <v>5</v>
      </c>
      <c r="I185" s="15">
        <v>4.0594596999999997</v>
      </c>
      <c r="J185" s="15">
        <v>5</v>
      </c>
      <c r="K185" s="15">
        <v>3.8739197233945908</v>
      </c>
      <c r="L185" s="15">
        <v>5</v>
      </c>
      <c r="M185" s="15">
        <v>4.1691297208538591</v>
      </c>
      <c r="N185" s="15">
        <v>5</v>
      </c>
      <c r="O185" s="15">
        <v>4.1877183199243451</v>
      </c>
      <c r="P185" s="15">
        <v>5</v>
      </c>
      <c r="Q185" s="15">
        <v>4.2377610508024164</v>
      </c>
      <c r="R185" s="15">
        <v>5</v>
      </c>
      <c r="S185" s="15">
        <v>4.3763648913265847</v>
      </c>
      <c r="T185" s="15">
        <v>5</v>
      </c>
      <c r="U185" s="15">
        <v>4.3953282575368497</v>
      </c>
      <c r="V185" s="15">
        <v>4</v>
      </c>
      <c r="W185" s="15">
        <v>4.6342620849609384</v>
      </c>
      <c r="X185" s="15">
        <v>5</v>
      </c>
      <c r="Y185" s="15">
        <v>4.3521955837245354</v>
      </c>
      <c r="Z185" s="15">
        <v>5</v>
      </c>
      <c r="AA185" s="15">
        <v>4.3303775787353516</v>
      </c>
      <c r="AB185" s="15">
        <v>5</v>
      </c>
      <c r="AC185" s="15">
        <v>4.1429285714285724</v>
      </c>
      <c r="AD185" s="15">
        <v>5</v>
      </c>
      <c r="AE185" s="15">
        <v>4.1995158730158728</v>
      </c>
    </row>
    <row r="186" spans="2:31" x14ac:dyDescent="0.2">
      <c r="B186" s="15">
        <v>3</v>
      </c>
      <c r="C186" s="15">
        <v>3.7743621330649009</v>
      </c>
      <c r="D186" s="15">
        <v>3</v>
      </c>
      <c r="E186" s="15">
        <v>4.08</v>
      </c>
      <c r="F186" s="15">
        <v>3</v>
      </c>
      <c r="G186" s="15">
        <v>4.1283933264690322</v>
      </c>
      <c r="H186" s="15">
        <v>3</v>
      </c>
      <c r="I186" s="15">
        <v>3.9211037000000002</v>
      </c>
      <c r="J186" s="15">
        <v>3</v>
      </c>
      <c r="K186" s="15">
        <v>3.7743621330649009</v>
      </c>
      <c r="L186" s="15">
        <v>3</v>
      </c>
      <c r="M186" s="15">
        <v>4.1375838926174504</v>
      </c>
      <c r="N186" s="15">
        <v>3</v>
      </c>
      <c r="O186" s="15">
        <v>3.9762689130730822</v>
      </c>
      <c r="P186" s="15">
        <v>3</v>
      </c>
      <c r="Q186" s="15">
        <v>3.509028938842909</v>
      </c>
      <c r="R186" s="15">
        <v>3</v>
      </c>
      <c r="S186" s="15">
        <v>3.0557522027468642</v>
      </c>
      <c r="T186" s="15">
        <v>3</v>
      </c>
      <c r="U186" s="15">
        <v>3.7335939601548178</v>
      </c>
      <c r="V186" s="15">
        <v>2</v>
      </c>
      <c r="W186" s="15">
        <v>3.0176408290863042</v>
      </c>
      <c r="X186" s="15">
        <v>3</v>
      </c>
      <c r="Y186" s="15">
        <v>3.7412699304963342</v>
      </c>
      <c r="Z186" s="15">
        <v>3</v>
      </c>
      <c r="AA186" s="15">
        <v>3.7367904186248779</v>
      </c>
      <c r="AB186" s="15">
        <v>3</v>
      </c>
      <c r="AC186" s="15">
        <v>3.6610519480519481</v>
      </c>
      <c r="AD186" s="15">
        <v>3</v>
      </c>
      <c r="AE186" s="15">
        <v>3.1978690476190481</v>
      </c>
    </row>
    <row r="187" spans="2:31" x14ac:dyDescent="0.2">
      <c r="B187" s="15">
        <v>1</v>
      </c>
      <c r="C187" s="15">
        <v>3.1195694587647811</v>
      </c>
      <c r="D187" s="15">
        <v>1</v>
      </c>
      <c r="E187" s="15">
        <v>2.27</v>
      </c>
      <c r="F187" s="15">
        <v>1</v>
      </c>
      <c r="G187" s="15">
        <v>2.0968950411055549</v>
      </c>
      <c r="H187" s="15">
        <v>1</v>
      </c>
      <c r="I187" s="15">
        <v>2.1565099999999999</v>
      </c>
      <c r="J187" s="15">
        <v>1</v>
      </c>
      <c r="K187" s="15">
        <v>3.119569458764782</v>
      </c>
      <c r="L187" s="15">
        <v>1</v>
      </c>
      <c r="M187" s="15">
        <v>1.9350000000000001</v>
      </c>
      <c r="N187" s="15">
        <v>1</v>
      </c>
      <c r="O187" s="15">
        <v>2.1457393210592852</v>
      </c>
      <c r="P187" s="15">
        <v>1</v>
      </c>
      <c r="Q187" s="15">
        <v>1.526808035781281</v>
      </c>
      <c r="R187" s="15">
        <v>1</v>
      </c>
      <c r="S187" s="15">
        <v>1.3551510379324849</v>
      </c>
      <c r="T187" s="15">
        <v>1</v>
      </c>
      <c r="U187" s="15">
        <v>2.3213105481376601</v>
      </c>
      <c r="V187" s="15">
        <v>3</v>
      </c>
      <c r="W187" s="15">
        <v>3.1564302444458008</v>
      </c>
      <c r="X187" s="15">
        <v>1</v>
      </c>
      <c r="Y187" s="15">
        <v>1.890233231869954</v>
      </c>
      <c r="Z187" s="15">
        <v>1</v>
      </c>
      <c r="AA187" s="15">
        <v>2.3663806915283199</v>
      </c>
      <c r="AB187" s="15">
        <v>1</v>
      </c>
      <c r="AC187" s="15">
        <v>1.472666666666667</v>
      </c>
      <c r="AD187" s="15">
        <v>1</v>
      </c>
      <c r="AE187" s="15">
        <v>1.5043333333333331</v>
      </c>
    </row>
    <row r="188" spans="2:31" x14ac:dyDescent="0.2">
      <c r="B188" s="15">
        <v>1</v>
      </c>
      <c r="C188" s="15">
        <v>3.0684878476504438</v>
      </c>
      <c r="D188" s="15">
        <v>1</v>
      </c>
      <c r="E188" s="15">
        <v>2.71</v>
      </c>
      <c r="F188" s="15">
        <v>1</v>
      </c>
      <c r="G188" s="15">
        <v>2.6808190726349248</v>
      </c>
      <c r="H188" s="15">
        <v>1</v>
      </c>
      <c r="I188" s="15">
        <v>2.6399089999999998</v>
      </c>
      <c r="J188" s="15">
        <v>1</v>
      </c>
      <c r="K188" s="15">
        <v>3.0684878476504429</v>
      </c>
      <c r="L188" s="15">
        <v>1</v>
      </c>
      <c r="M188" s="15">
        <v>2.82618025751073</v>
      </c>
      <c r="N188" s="15">
        <v>1</v>
      </c>
      <c r="O188" s="15">
        <v>1.6901642222283939</v>
      </c>
      <c r="P188" s="15">
        <v>1</v>
      </c>
      <c r="Q188" s="15">
        <v>1.9963222994345891</v>
      </c>
      <c r="R188" s="15">
        <v>1</v>
      </c>
      <c r="S188" s="15">
        <v>2.023564771252838</v>
      </c>
      <c r="T188" s="15">
        <v>1</v>
      </c>
      <c r="U188" s="15">
        <v>1.755976163396298</v>
      </c>
      <c r="V188" s="15">
        <v>2</v>
      </c>
      <c r="W188" s="15">
        <v>2.3095254898071289</v>
      </c>
      <c r="X188" s="15">
        <v>1</v>
      </c>
      <c r="Y188" s="15">
        <v>1.2306261045992419</v>
      </c>
      <c r="Z188" s="15">
        <v>1</v>
      </c>
      <c r="AA188" s="15">
        <v>1.0227969884872441</v>
      </c>
      <c r="AB188" s="15">
        <v>1</v>
      </c>
      <c r="AC188" s="15">
        <v>1.959873015873016</v>
      </c>
      <c r="AD188" s="15">
        <v>1</v>
      </c>
      <c r="AE188" s="15">
        <v>2.072055555555556</v>
      </c>
    </row>
    <row r="189" spans="2:31" x14ac:dyDescent="0.2">
      <c r="B189" s="15">
        <v>3</v>
      </c>
      <c r="C189" s="15">
        <v>3.012164199276719</v>
      </c>
      <c r="D189" s="15">
        <v>3</v>
      </c>
      <c r="E189" s="15">
        <v>2.88</v>
      </c>
      <c r="F189" s="15">
        <v>3</v>
      </c>
      <c r="G189" s="15">
        <v>2.5159143113248348</v>
      </c>
      <c r="H189" s="15">
        <v>3</v>
      </c>
      <c r="I189" s="15">
        <v>2.5317712000000001</v>
      </c>
      <c r="J189" s="15">
        <v>3</v>
      </c>
      <c r="K189" s="15">
        <v>3.012164199276719</v>
      </c>
      <c r="L189" s="15">
        <v>3</v>
      </c>
      <c r="M189" s="15">
        <v>2.82618025751073</v>
      </c>
      <c r="N189" s="15">
        <v>3</v>
      </c>
      <c r="O189" s="15">
        <v>3.947005551279732</v>
      </c>
      <c r="P189" s="15">
        <v>3</v>
      </c>
      <c r="Q189" s="15">
        <v>3.422560243554623</v>
      </c>
      <c r="R189" s="15">
        <v>3</v>
      </c>
      <c r="S189" s="15">
        <v>3.9460692278888692</v>
      </c>
      <c r="T189" s="15">
        <v>3</v>
      </c>
      <c r="U189" s="15">
        <v>3.7594848683742721</v>
      </c>
      <c r="V189" s="15">
        <v>3</v>
      </c>
      <c r="W189" s="15">
        <v>2.429907083511353</v>
      </c>
      <c r="X189" s="15">
        <v>3</v>
      </c>
      <c r="Y189" s="15">
        <v>3.276903870971188</v>
      </c>
      <c r="Z189" s="15">
        <v>3</v>
      </c>
      <c r="AA189" s="15">
        <v>3.2583048343658452</v>
      </c>
      <c r="AB189" s="15">
        <v>3</v>
      </c>
      <c r="AC189" s="15">
        <v>3.217148268398268</v>
      </c>
      <c r="AD189" s="15">
        <v>3</v>
      </c>
      <c r="AE189" s="15">
        <v>3.8846818181818179</v>
      </c>
    </row>
    <row r="190" spans="2:31" x14ac:dyDescent="0.2">
      <c r="B190" s="15">
        <v>5</v>
      </c>
      <c r="C190" s="15">
        <v>3.8666330765497339</v>
      </c>
      <c r="D190" s="15">
        <v>5</v>
      </c>
      <c r="E190" s="15">
        <v>4.3</v>
      </c>
      <c r="F190" s="15">
        <v>5</v>
      </c>
      <c r="G190" s="15">
        <v>3.8934701407464329</v>
      </c>
      <c r="H190" s="15">
        <v>5</v>
      </c>
      <c r="I190" s="15">
        <v>4.0402139999999997</v>
      </c>
      <c r="J190" s="15">
        <v>5</v>
      </c>
      <c r="K190" s="15">
        <v>3.8666330765497339</v>
      </c>
      <c r="L190" s="15">
        <v>5</v>
      </c>
      <c r="M190" s="15">
        <v>4.2070844686648501</v>
      </c>
      <c r="N190" s="15">
        <v>5</v>
      </c>
      <c r="O190" s="15">
        <v>3.657005569441186</v>
      </c>
      <c r="P190" s="15">
        <v>5</v>
      </c>
      <c r="Q190" s="15">
        <v>4.2382107479952804</v>
      </c>
      <c r="R190" s="15">
        <v>5</v>
      </c>
      <c r="S190" s="15">
        <v>3.893652231547033</v>
      </c>
      <c r="T190" s="15">
        <v>5</v>
      </c>
      <c r="U190" s="15">
        <v>4.2334668903646069</v>
      </c>
      <c r="V190" s="15">
        <v>1</v>
      </c>
      <c r="W190" s="15">
        <v>1.8796319961547849</v>
      </c>
      <c r="X190" s="15">
        <v>5</v>
      </c>
      <c r="Y190" s="15">
        <v>3.9897825492332402</v>
      </c>
      <c r="Z190" s="15">
        <v>5</v>
      </c>
      <c r="AA190" s="15">
        <v>4.0287351608276367</v>
      </c>
      <c r="AB190" s="15">
        <v>5</v>
      </c>
      <c r="AC190" s="15">
        <v>4.5139999999999993</v>
      </c>
      <c r="AD190" s="15">
        <v>5</v>
      </c>
      <c r="AE190" s="15">
        <v>4.4293095238095237</v>
      </c>
    </row>
    <row r="191" spans="2:31" x14ac:dyDescent="0.2">
      <c r="B191" s="15">
        <v>1</v>
      </c>
      <c r="C191" s="15">
        <v>-1.926837779014646</v>
      </c>
      <c r="D191" s="15">
        <v>1</v>
      </c>
      <c r="E191" s="15">
        <v>1.44</v>
      </c>
      <c r="F191" s="15">
        <v>1</v>
      </c>
      <c r="G191" s="15">
        <v>1.5874871507986279</v>
      </c>
      <c r="H191" s="15">
        <v>1</v>
      </c>
      <c r="I191" s="15">
        <v>1.5785849999999999</v>
      </c>
      <c r="J191" s="15">
        <v>1</v>
      </c>
      <c r="K191" s="15">
        <v>-1.926837779014646</v>
      </c>
      <c r="L191" s="15">
        <v>1</v>
      </c>
      <c r="M191" s="15">
        <v>1.603053435114504</v>
      </c>
      <c r="N191" s="15">
        <v>1</v>
      </c>
      <c r="O191" s="15">
        <v>0.80263200129561652</v>
      </c>
      <c r="P191" s="15">
        <v>1</v>
      </c>
      <c r="Q191" s="15">
        <v>-1.8438335346631669</v>
      </c>
      <c r="R191" s="15">
        <v>1</v>
      </c>
      <c r="S191" s="15">
        <v>1.683048907497567</v>
      </c>
      <c r="T191" s="15">
        <v>1</v>
      </c>
      <c r="U191" s="15">
        <v>2.5617038944744182</v>
      </c>
      <c r="V191" s="15">
        <v>3</v>
      </c>
      <c r="W191" s="15">
        <v>4.1976103782653809</v>
      </c>
      <c r="X191" s="15">
        <v>1</v>
      </c>
      <c r="Y191" s="15">
        <v>1.6947381063952109</v>
      </c>
      <c r="Z191" s="15">
        <v>1</v>
      </c>
      <c r="AA191" s="15">
        <v>1.6533709764480591</v>
      </c>
      <c r="AB191" s="15">
        <v>1</v>
      </c>
      <c r="AC191" s="15">
        <v>1.427333333333334</v>
      </c>
      <c r="AD191" s="15">
        <v>1</v>
      </c>
      <c r="AE191" s="15">
        <v>1.823412698412699</v>
      </c>
    </row>
    <row r="192" spans="2:31" x14ac:dyDescent="0.2">
      <c r="B192" s="15">
        <v>4</v>
      </c>
      <c r="C192" s="15">
        <v>3.6619454174797852</v>
      </c>
      <c r="D192" s="15">
        <v>4</v>
      </c>
      <c r="E192" s="15">
        <v>4.22</v>
      </c>
      <c r="F192" s="15">
        <v>4</v>
      </c>
      <c r="G192" s="15">
        <v>4.0762235419771331</v>
      </c>
      <c r="H192" s="15">
        <v>4</v>
      </c>
      <c r="I192" s="15">
        <v>3.9697409000000001</v>
      </c>
      <c r="J192" s="15">
        <v>4</v>
      </c>
      <c r="K192" s="15">
        <v>3.6619454174797852</v>
      </c>
      <c r="L192" s="15">
        <v>4</v>
      </c>
      <c r="M192" s="15">
        <v>4.0155208964264082</v>
      </c>
      <c r="N192" s="15">
        <v>4</v>
      </c>
      <c r="O192" s="15">
        <v>3.9521196604062019</v>
      </c>
      <c r="P192" s="15">
        <v>4</v>
      </c>
      <c r="Q192" s="15">
        <v>4.2086668343674356</v>
      </c>
      <c r="R192" s="15">
        <v>4</v>
      </c>
      <c r="S192" s="15">
        <v>4.350153532974887</v>
      </c>
      <c r="T192" s="15">
        <v>4</v>
      </c>
      <c r="U192" s="15">
        <v>3.969697478517586</v>
      </c>
      <c r="V192" s="15">
        <v>2</v>
      </c>
      <c r="W192" s="15">
        <v>2.1125929355621338</v>
      </c>
      <c r="X192" s="15">
        <v>4</v>
      </c>
      <c r="Y192" s="15">
        <v>3.6926288361690349</v>
      </c>
      <c r="Z192" s="15">
        <v>4</v>
      </c>
      <c r="AA192" s="15">
        <v>3.7061772346496582</v>
      </c>
      <c r="AB192" s="15">
        <v>4</v>
      </c>
      <c r="AC192" s="15">
        <v>4.4307222222222222</v>
      </c>
      <c r="AD192" s="15">
        <v>4</v>
      </c>
      <c r="AE192" s="15">
        <v>4.3048095238095234</v>
      </c>
    </row>
    <row r="193" spans="2:31" x14ac:dyDescent="0.2">
      <c r="B193" s="15">
        <v>4</v>
      </c>
      <c r="C193" s="15">
        <v>3.449841935703398</v>
      </c>
      <c r="D193" s="15">
        <v>4</v>
      </c>
      <c r="E193" s="15">
        <v>2.9</v>
      </c>
      <c r="F193" s="15">
        <v>4</v>
      </c>
      <c r="G193" s="15">
        <v>2.588693226163989</v>
      </c>
      <c r="H193" s="15">
        <v>4</v>
      </c>
      <c r="I193" s="15">
        <v>2.8870168</v>
      </c>
      <c r="J193" s="15">
        <v>4</v>
      </c>
      <c r="K193" s="15">
        <v>3.449841935703398</v>
      </c>
      <c r="L193" s="15">
        <v>4</v>
      </c>
      <c r="M193" s="15">
        <v>2.5746180963572272</v>
      </c>
      <c r="N193" s="15">
        <v>4</v>
      </c>
      <c r="O193" s="15">
        <v>3.5512367951099399</v>
      </c>
      <c r="P193" s="15">
        <v>4</v>
      </c>
      <c r="Q193" s="15">
        <v>2.765401299393444</v>
      </c>
      <c r="R193" s="15">
        <v>4</v>
      </c>
      <c r="S193" s="15">
        <v>2.7891377452835409</v>
      </c>
      <c r="T193" s="15">
        <v>4</v>
      </c>
      <c r="U193" s="15">
        <v>3.43196183140138</v>
      </c>
      <c r="V193" s="15">
        <v>1</v>
      </c>
      <c r="W193" s="15">
        <v>2.4671611785888672</v>
      </c>
      <c r="X193" s="15">
        <v>4</v>
      </c>
      <c r="Y193" s="15">
        <v>3.67377718825766</v>
      </c>
      <c r="Z193" s="15">
        <v>4</v>
      </c>
      <c r="AA193" s="15">
        <v>3.5220589637756352</v>
      </c>
      <c r="AB193" s="15">
        <v>4</v>
      </c>
      <c r="AC193" s="15">
        <v>2.7004047619047622</v>
      </c>
      <c r="AD193" s="15">
        <v>4</v>
      </c>
      <c r="AE193" s="15">
        <v>2.8278214285714292</v>
      </c>
    </row>
    <row r="194" spans="2:31" x14ac:dyDescent="0.2">
      <c r="B194" s="15">
        <v>1</v>
      </c>
      <c r="C194" s="15">
        <v>3.664250899231047</v>
      </c>
      <c r="D194" s="15">
        <v>1</v>
      </c>
      <c r="E194" s="15">
        <v>3.46</v>
      </c>
      <c r="F194" s="15">
        <v>1</v>
      </c>
      <c r="G194" s="15">
        <v>3.6712193567878622</v>
      </c>
      <c r="H194" s="15">
        <v>1</v>
      </c>
      <c r="I194" s="15">
        <v>3.4972759999999998</v>
      </c>
      <c r="J194" s="15">
        <v>1</v>
      </c>
      <c r="K194" s="15">
        <v>3.664250899231047</v>
      </c>
      <c r="L194" s="15">
        <v>1</v>
      </c>
      <c r="M194" s="15">
        <v>3.9747958821441252</v>
      </c>
      <c r="N194" s="15">
        <v>1</v>
      </c>
      <c r="O194" s="15">
        <v>2.939408334703832</v>
      </c>
      <c r="P194" s="15">
        <v>1</v>
      </c>
      <c r="Q194" s="15">
        <v>2.54231399521063</v>
      </c>
      <c r="R194" s="15">
        <v>1</v>
      </c>
      <c r="S194" s="15">
        <v>2.4217438273714742</v>
      </c>
      <c r="T194" s="15">
        <v>1</v>
      </c>
      <c r="U194" s="15">
        <v>2.9514401140939959</v>
      </c>
      <c r="V194" s="15">
        <v>4</v>
      </c>
      <c r="W194" s="15">
        <v>3.7028694152832031</v>
      </c>
      <c r="X194" s="15">
        <v>1</v>
      </c>
      <c r="Y194" s="15">
        <v>3.0442041733432639</v>
      </c>
      <c r="Z194" s="15">
        <v>1</v>
      </c>
      <c r="AA194" s="15">
        <v>2.9060432910919189</v>
      </c>
      <c r="AB194" s="15">
        <v>1</v>
      </c>
      <c r="AC194" s="15">
        <v>2.647444444444444</v>
      </c>
      <c r="AD194" s="15">
        <v>1</v>
      </c>
      <c r="AE194" s="15">
        <v>2.6100595238095239</v>
      </c>
    </row>
    <row r="195" spans="2:31" x14ac:dyDescent="0.2">
      <c r="B195" s="15">
        <v>5</v>
      </c>
      <c r="C195" s="15">
        <v>4.0179108488902084</v>
      </c>
      <c r="D195" s="15">
        <v>5</v>
      </c>
      <c r="E195" s="15">
        <v>4.3</v>
      </c>
      <c r="F195" s="15">
        <v>5</v>
      </c>
      <c r="G195" s="15">
        <v>4.3688941030520096</v>
      </c>
      <c r="H195" s="15">
        <v>5</v>
      </c>
      <c r="I195" s="15">
        <v>4.3220223999999998</v>
      </c>
      <c r="J195" s="15">
        <v>5</v>
      </c>
      <c r="K195" s="15">
        <v>4.0179108488902084</v>
      </c>
      <c r="L195" s="15">
        <v>5</v>
      </c>
      <c r="M195" s="15">
        <v>4.0128452151573537</v>
      </c>
      <c r="N195" s="15">
        <v>5</v>
      </c>
      <c r="O195" s="15">
        <v>4.0471809180874239</v>
      </c>
      <c r="P195" s="15">
        <v>5</v>
      </c>
      <c r="Q195" s="15">
        <v>4.7092978463515429</v>
      </c>
      <c r="R195" s="15">
        <v>5</v>
      </c>
      <c r="S195" s="15">
        <v>4.9745995242734162</v>
      </c>
      <c r="T195" s="15">
        <v>5</v>
      </c>
      <c r="U195" s="15">
        <v>3.9279387796472109</v>
      </c>
      <c r="V195" s="15">
        <v>4</v>
      </c>
      <c r="W195" s="15">
        <v>3.246771097183228</v>
      </c>
      <c r="X195" s="15">
        <v>5</v>
      </c>
      <c r="Y195" s="15">
        <v>4.0540149216213388</v>
      </c>
      <c r="Z195" s="15">
        <v>5</v>
      </c>
      <c r="AA195" s="15">
        <v>4.0493850708007812</v>
      </c>
      <c r="AB195" s="15">
        <v>5</v>
      </c>
      <c r="AC195" s="15">
        <v>4.59547619047619</v>
      </c>
      <c r="AD195" s="15">
        <v>5</v>
      </c>
      <c r="AE195" s="15">
        <v>4.5902619047619053</v>
      </c>
    </row>
    <row r="196" spans="2:31" x14ac:dyDescent="0.2">
      <c r="B196" s="15">
        <v>5</v>
      </c>
      <c r="C196" s="15">
        <v>4.3011968627280499</v>
      </c>
      <c r="D196" s="15">
        <v>5</v>
      </c>
      <c r="E196" s="15">
        <v>4.55</v>
      </c>
      <c r="F196" s="15">
        <v>5</v>
      </c>
      <c r="G196" s="15">
        <v>4.6242335588477346</v>
      </c>
      <c r="H196" s="15">
        <v>5</v>
      </c>
      <c r="I196" s="15">
        <v>4.5364103</v>
      </c>
      <c r="J196" s="15">
        <v>5</v>
      </c>
      <c r="K196" s="15">
        <v>4.3011968627280499</v>
      </c>
      <c r="L196" s="15">
        <v>5</v>
      </c>
      <c r="M196" s="15">
        <v>4.3181067694001101</v>
      </c>
      <c r="N196" s="15">
        <v>5</v>
      </c>
      <c r="O196" s="15">
        <v>3.796288778065203</v>
      </c>
      <c r="P196" s="15">
        <v>5</v>
      </c>
      <c r="Q196" s="15">
        <v>4.0944495995800878</v>
      </c>
      <c r="R196" s="15">
        <v>5</v>
      </c>
      <c r="S196" s="15">
        <v>3.579443372411192</v>
      </c>
      <c r="T196" s="15">
        <v>5</v>
      </c>
      <c r="U196" s="15">
        <v>3.9331450679545039</v>
      </c>
      <c r="V196" s="15">
        <v>3</v>
      </c>
      <c r="W196" s="15">
        <v>3.5424976348876949</v>
      </c>
      <c r="X196" s="15">
        <v>5</v>
      </c>
      <c r="Y196" s="15">
        <v>4.419554512596835</v>
      </c>
      <c r="Z196" s="15">
        <v>5</v>
      </c>
      <c r="AA196" s="15">
        <v>4.9008722305297852</v>
      </c>
      <c r="AB196" s="15">
        <v>5</v>
      </c>
      <c r="AC196" s="15">
        <v>4.7686904761904758</v>
      </c>
      <c r="AD196" s="15">
        <v>5</v>
      </c>
      <c r="AE196" s="15">
        <v>3.6920952380952379</v>
      </c>
    </row>
    <row r="197" spans="2:31" x14ac:dyDescent="0.2">
      <c r="B197" s="15">
        <v>4</v>
      </c>
      <c r="C197" s="15">
        <v>3.8222402426774922</v>
      </c>
      <c r="D197" s="15">
        <v>4</v>
      </c>
      <c r="E197" s="15">
        <v>3.82</v>
      </c>
      <c r="F197" s="15">
        <v>4</v>
      </c>
      <c r="G197" s="15">
        <v>4.0687624524867454</v>
      </c>
      <c r="H197" s="15">
        <v>4</v>
      </c>
      <c r="I197" s="15">
        <v>3.8918244999999998</v>
      </c>
      <c r="J197" s="15">
        <v>4</v>
      </c>
      <c r="K197" s="15">
        <v>3.8222402426774922</v>
      </c>
      <c r="L197" s="15">
        <v>4</v>
      </c>
      <c r="M197" s="15">
        <v>4.0956156716417906</v>
      </c>
      <c r="N197" s="15">
        <v>4</v>
      </c>
      <c r="O197" s="15">
        <v>3.8652336101618978</v>
      </c>
      <c r="P197" s="15">
        <v>4</v>
      </c>
      <c r="Q197" s="15">
        <v>4.2417547288303128</v>
      </c>
      <c r="R197" s="15">
        <v>4</v>
      </c>
      <c r="S197" s="15">
        <v>4.1925798286151696</v>
      </c>
      <c r="T197" s="15">
        <v>4</v>
      </c>
      <c r="U197" s="15">
        <v>3.994987754363116</v>
      </c>
      <c r="V197" s="15">
        <v>1</v>
      </c>
      <c r="W197" s="15">
        <v>0.94962430000305176</v>
      </c>
      <c r="X197" s="15">
        <v>4</v>
      </c>
      <c r="Y197" s="15">
        <v>4.1278242148314606</v>
      </c>
      <c r="Z197" s="15">
        <v>4</v>
      </c>
      <c r="AA197" s="15">
        <v>4.0470848083496094</v>
      </c>
      <c r="AB197" s="15">
        <v>4</v>
      </c>
      <c r="AC197" s="15">
        <v>4.4784523809523806</v>
      </c>
      <c r="AD197" s="15">
        <v>4</v>
      </c>
      <c r="AE197" s="15">
        <v>4.3976428571428574</v>
      </c>
    </row>
    <row r="198" spans="2:31" x14ac:dyDescent="0.2">
      <c r="B198" s="15">
        <v>4</v>
      </c>
      <c r="C198" s="15">
        <v>3.971999584815288</v>
      </c>
      <c r="D198" s="15">
        <v>4</v>
      </c>
      <c r="E198" s="15">
        <v>4.03</v>
      </c>
      <c r="F198" s="15">
        <v>4</v>
      </c>
      <c r="G198" s="15">
        <v>4.2355030299268854</v>
      </c>
      <c r="H198" s="15">
        <v>4</v>
      </c>
      <c r="I198" s="15">
        <v>4.2521560000000003</v>
      </c>
      <c r="J198" s="15">
        <v>4</v>
      </c>
      <c r="K198" s="15">
        <v>3.971999584815288</v>
      </c>
      <c r="L198" s="15">
        <v>4</v>
      </c>
      <c r="M198" s="15">
        <v>4.1375838926174504</v>
      </c>
      <c r="N198" s="15">
        <v>4</v>
      </c>
      <c r="O198" s="15">
        <v>3.8869879073398148</v>
      </c>
      <c r="P198" s="15">
        <v>4</v>
      </c>
      <c r="Q198" s="15">
        <v>4.0911257000328707</v>
      </c>
      <c r="R198" s="15">
        <v>4</v>
      </c>
      <c r="S198" s="15">
        <v>4.1689714979204853</v>
      </c>
      <c r="T198" s="15">
        <v>4</v>
      </c>
      <c r="U198" s="15">
        <v>3.897696707083715</v>
      </c>
      <c r="V198" s="15">
        <v>4</v>
      </c>
      <c r="W198" s="15">
        <v>3.8718807697296138</v>
      </c>
      <c r="X198" s="15">
        <v>4</v>
      </c>
      <c r="Y198" s="15">
        <v>3.760212194874462</v>
      </c>
      <c r="Z198" s="15">
        <v>4</v>
      </c>
      <c r="AA198" s="15">
        <v>3.6695337295532231</v>
      </c>
      <c r="AB198" s="15">
        <v>4</v>
      </c>
      <c r="AC198" s="15">
        <v>4.0634285714285712</v>
      </c>
      <c r="AD198" s="15">
        <v>4</v>
      </c>
      <c r="AE198" s="15">
        <v>4.261166666666667</v>
      </c>
    </row>
    <row r="199" spans="2:31" x14ac:dyDescent="0.2">
      <c r="B199" s="15">
        <v>2</v>
      </c>
      <c r="C199" s="15">
        <v>3.2035288480798449</v>
      </c>
      <c r="D199" s="15">
        <v>2</v>
      </c>
      <c r="E199" s="15">
        <v>2.42</v>
      </c>
      <c r="F199" s="15">
        <v>2</v>
      </c>
      <c r="G199" s="15">
        <v>2.4512799322669498</v>
      </c>
      <c r="H199" s="15">
        <v>2</v>
      </c>
      <c r="I199" s="15">
        <v>2.6707079999999999</v>
      </c>
      <c r="J199" s="15">
        <v>2</v>
      </c>
      <c r="K199" s="15">
        <v>3.2035288480798449</v>
      </c>
      <c r="L199" s="15">
        <v>2</v>
      </c>
      <c r="M199" s="15">
        <v>2.696629213483146</v>
      </c>
      <c r="N199" s="15">
        <v>2</v>
      </c>
      <c r="O199" s="15">
        <v>2.3382913820799711</v>
      </c>
      <c r="P199" s="15">
        <v>2</v>
      </c>
      <c r="Q199" s="15">
        <v>2.391419419909258</v>
      </c>
      <c r="R199" s="15">
        <v>2</v>
      </c>
      <c r="S199" s="15">
        <v>2.6112204969612991</v>
      </c>
      <c r="T199" s="15">
        <v>2</v>
      </c>
      <c r="U199" s="15">
        <v>2.681489667420681</v>
      </c>
      <c r="V199" s="15">
        <v>3</v>
      </c>
      <c r="W199" s="15">
        <v>3.7599365711212158</v>
      </c>
      <c r="X199" s="15">
        <v>2</v>
      </c>
      <c r="Y199" s="15">
        <v>1.6447646306087711</v>
      </c>
      <c r="Z199" s="15">
        <v>2</v>
      </c>
      <c r="AA199" s="15">
        <v>1.554141640663147</v>
      </c>
      <c r="AB199" s="15">
        <v>2</v>
      </c>
      <c r="AC199" s="15">
        <v>1.7024999999999999</v>
      </c>
      <c r="AD199" s="15">
        <v>2</v>
      </c>
      <c r="AE199" s="15">
        <v>1.940849206349206</v>
      </c>
    </row>
    <row r="200" spans="2:31" x14ac:dyDescent="0.2">
      <c r="B200" s="15">
        <v>3</v>
      </c>
      <c r="C200" s="15">
        <v>3.5247110594403761</v>
      </c>
      <c r="D200" s="15">
        <v>3</v>
      </c>
      <c r="E200" s="15">
        <v>3.91</v>
      </c>
      <c r="F200" s="15">
        <v>3</v>
      </c>
      <c r="G200" s="15">
        <v>3.7447006007513011</v>
      </c>
      <c r="H200" s="15">
        <v>3</v>
      </c>
      <c r="I200" s="15">
        <v>3.5799932000000001</v>
      </c>
      <c r="J200" s="15">
        <v>3</v>
      </c>
      <c r="K200" s="15">
        <v>3.5247110594403761</v>
      </c>
      <c r="L200" s="15">
        <v>3</v>
      </c>
      <c r="M200" s="15">
        <v>4.0128452151573537</v>
      </c>
      <c r="N200" s="15">
        <v>3</v>
      </c>
      <c r="O200" s="15">
        <v>3.4331095188318601</v>
      </c>
      <c r="P200" s="15">
        <v>3</v>
      </c>
      <c r="Q200" s="15">
        <v>3.6112760124332728</v>
      </c>
      <c r="R200" s="15">
        <v>3</v>
      </c>
      <c r="S200" s="15">
        <v>3.0794056098039819</v>
      </c>
      <c r="T200" s="15">
        <v>3</v>
      </c>
      <c r="U200" s="15">
        <v>3.773278795763841</v>
      </c>
      <c r="V200" s="15">
        <v>4</v>
      </c>
      <c r="W200" s="15">
        <v>3.075417280197144</v>
      </c>
      <c r="X200" s="15">
        <v>3</v>
      </c>
      <c r="Y200" s="15">
        <v>3.2897356192618852</v>
      </c>
      <c r="Z200" s="15">
        <v>3</v>
      </c>
      <c r="AA200" s="15">
        <v>3.425747394561768</v>
      </c>
      <c r="AB200" s="15">
        <v>3</v>
      </c>
      <c r="AC200" s="15">
        <v>3.7207142857142861</v>
      </c>
      <c r="AD200" s="15">
        <v>3</v>
      </c>
      <c r="AE200" s="15">
        <v>3.5457380952380948</v>
      </c>
    </row>
    <row r="201" spans="2:31" x14ac:dyDescent="0.2">
      <c r="B201" s="15">
        <v>1</v>
      </c>
      <c r="C201" s="15">
        <v>3.2382096784171321</v>
      </c>
      <c r="D201" s="15">
        <v>1</v>
      </c>
      <c r="E201" s="15">
        <v>2.46</v>
      </c>
      <c r="F201" s="15">
        <v>1</v>
      </c>
      <c r="G201" s="15">
        <v>2.6200871610693768</v>
      </c>
      <c r="H201" s="15">
        <v>1</v>
      </c>
      <c r="I201" s="15">
        <v>2.4973326</v>
      </c>
      <c r="J201" s="15">
        <v>1</v>
      </c>
      <c r="K201" s="15">
        <v>3.2382096784171308</v>
      </c>
      <c r="L201" s="15">
        <v>1</v>
      </c>
      <c r="M201" s="15">
        <v>2.5746180963572272</v>
      </c>
      <c r="N201" s="15">
        <v>1</v>
      </c>
      <c r="O201" s="15">
        <v>3.5943258590755169</v>
      </c>
      <c r="P201" s="15">
        <v>1</v>
      </c>
      <c r="Q201" s="15">
        <v>2.874855587436083</v>
      </c>
      <c r="R201" s="15">
        <v>1</v>
      </c>
      <c r="S201" s="15">
        <v>2.7021016212324458</v>
      </c>
      <c r="T201" s="15">
        <v>1</v>
      </c>
      <c r="U201" s="15">
        <v>3.3686389644157191</v>
      </c>
      <c r="V201" s="15">
        <v>4</v>
      </c>
      <c r="W201" s="15">
        <v>4.3400282859802246</v>
      </c>
      <c r="X201" s="15">
        <v>1</v>
      </c>
      <c r="Y201" s="15">
        <v>3.2639128632877741</v>
      </c>
      <c r="Z201" s="15">
        <v>1</v>
      </c>
      <c r="AA201" s="15">
        <v>3.075484037399292</v>
      </c>
      <c r="AB201" s="15">
        <v>1</v>
      </c>
      <c r="AC201" s="15">
        <v>2.483166666666667</v>
      </c>
      <c r="AD201" s="15">
        <v>1</v>
      </c>
      <c r="AE201" s="15">
        <v>2.1147619047619051</v>
      </c>
    </row>
    <row r="202" spans="2:31" x14ac:dyDescent="0.2">
      <c r="B202" s="15">
        <v>5</v>
      </c>
      <c r="C202" s="15">
        <v>3.1982570219191482</v>
      </c>
      <c r="D202" s="15">
        <v>5</v>
      </c>
      <c r="E202" s="15">
        <v>2.5499999999999998</v>
      </c>
      <c r="F202" s="15">
        <v>5</v>
      </c>
      <c r="G202" s="15">
        <v>1.718717010622915</v>
      </c>
      <c r="H202" s="15">
        <v>5</v>
      </c>
      <c r="I202" s="15">
        <v>1.5542122</v>
      </c>
      <c r="J202" s="15">
        <v>5</v>
      </c>
      <c r="K202" s="15">
        <v>3.1982570219191482</v>
      </c>
      <c r="L202" s="15">
        <v>5</v>
      </c>
      <c r="M202" s="15">
        <v>1.7392996108949419</v>
      </c>
      <c r="N202" s="15">
        <v>5</v>
      </c>
      <c r="O202" s="15">
        <v>3.4288188217799802</v>
      </c>
      <c r="P202" s="15">
        <v>5</v>
      </c>
      <c r="Q202" s="15">
        <v>3.7618484941594108</v>
      </c>
      <c r="R202" s="15">
        <v>5</v>
      </c>
      <c r="S202" s="15">
        <v>4.1079329082929803</v>
      </c>
      <c r="T202" s="15">
        <v>5</v>
      </c>
      <c r="U202" s="15">
        <v>3.7839266328309811</v>
      </c>
      <c r="V202" s="15">
        <v>5</v>
      </c>
      <c r="W202" s="15">
        <v>3.6763653755187988</v>
      </c>
      <c r="X202" s="15">
        <v>5</v>
      </c>
      <c r="Y202" s="15">
        <v>3.404328564055759</v>
      </c>
      <c r="Z202" s="15">
        <v>5</v>
      </c>
      <c r="AA202" s="15">
        <v>3.3151431083679199</v>
      </c>
      <c r="AB202" s="15">
        <v>5</v>
      </c>
      <c r="AC202" s="15">
        <v>3.5813095238095229</v>
      </c>
      <c r="AD202" s="15">
        <v>5</v>
      </c>
      <c r="AE202" s="15">
        <v>4.200674603174603</v>
      </c>
    </row>
    <row r="203" spans="2:31" x14ac:dyDescent="0.2">
      <c r="B203" s="15">
        <v>1</v>
      </c>
      <c r="C203" s="15">
        <v>3.7514204231399271</v>
      </c>
      <c r="D203" s="15">
        <v>1</v>
      </c>
      <c r="E203" s="15">
        <v>3.66</v>
      </c>
      <c r="F203" s="15">
        <v>1</v>
      </c>
      <c r="G203" s="15">
        <v>3.9806488720173192</v>
      </c>
      <c r="H203" s="15">
        <v>1</v>
      </c>
      <c r="I203" s="15">
        <v>4.0616390000000004</v>
      </c>
      <c r="J203" s="15">
        <v>1</v>
      </c>
      <c r="K203" s="15">
        <v>3.7514204231399271</v>
      </c>
      <c r="L203" s="15">
        <v>1</v>
      </c>
      <c r="M203" s="15">
        <v>3.831386441976254</v>
      </c>
      <c r="N203" s="15">
        <v>1</v>
      </c>
      <c r="O203" s="15">
        <v>2.6800892710296291</v>
      </c>
      <c r="P203" s="15">
        <v>1</v>
      </c>
      <c r="Q203" s="15">
        <v>3.024775393897801</v>
      </c>
      <c r="R203" s="15">
        <v>1</v>
      </c>
      <c r="S203" s="15">
        <v>2.7397625985551559</v>
      </c>
      <c r="T203" s="15">
        <v>1</v>
      </c>
      <c r="U203" s="15">
        <v>2.61903938835759</v>
      </c>
      <c r="V203" s="15">
        <v>2</v>
      </c>
      <c r="W203" s="15">
        <v>3.4658129215240479</v>
      </c>
      <c r="X203" s="15">
        <v>1</v>
      </c>
      <c r="Y203" s="15">
        <v>2.690276608527971</v>
      </c>
      <c r="Z203" s="15">
        <v>1</v>
      </c>
      <c r="AA203" s="15">
        <v>2.2129280567169189</v>
      </c>
      <c r="AB203" s="15">
        <v>1</v>
      </c>
      <c r="AC203" s="15">
        <v>2.733452380952381</v>
      </c>
      <c r="AD203" s="15">
        <v>1</v>
      </c>
      <c r="AE203" s="15">
        <v>2.5747103174603172</v>
      </c>
    </row>
    <row r="204" spans="2:31" x14ac:dyDescent="0.2">
      <c r="B204" s="15">
        <v>1</v>
      </c>
      <c r="C204" s="15">
        <v>3.1043318092961978</v>
      </c>
      <c r="D204" s="15">
        <v>1</v>
      </c>
      <c r="E204" s="15">
        <v>1.83</v>
      </c>
      <c r="F204" s="15">
        <v>1</v>
      </c>
      <c r="G204" s="15">
        <v>1.8839312108437369</v>
      </c>
      <c r="H204" s="15">
        <v>1</v>
      </c>
      <c r="I204" s="15">
        <v>2.0402</v>
      </c>
      <c r="J204" s="15">
        <v>1</v>
      </c>
      <c r="K204" s="15">
        <v>3.1043318092961978</v>
      </c>
      <c r="L204" s="15">
        <v>1</v>
      </c>
      <c r="M204" s="15">
        <v>1.839285714285714</v>
      </c>
      <c r="N204" s="15">
        <v>1</v>
      </c>
      <c r="O204" s="15">
        <v>3.5318987712359422</v>
      </c>
      <c r="P204" s="15">
        <v>1</v>
      </c>
      <c r="Q204" s="15">
        <v>2.6264379912364908</v>
      </c>
      <c r="R204" s="15">
        <v>1</v>
      </c>
      <c r="S204" s="15">
        <v>2.745470737979832</v>
      </c>
      <c r="T204" s="15">
        <v>1</v>
      </c>
      <c r="U204" s="15">
        <v>3.524708976507497</v>
      </c>
      <c r="V204" s="15">
        <v>2</v>
      </c>
      <c r="W204" s="15">
        <v>2.815515279769897</v>
      </c>
      <c r="X204" s="15">
        <v>1</v>
      </c>
      <c r="Y204" s="15">
        <v>3.4900416377387922</v>
      </c>
      <c r="Z204" s="15">
        <v>1</v>
      </c>
      <c r="AA204" s="15">
        <v>3.3674032688140869</v>
      </c>
      <c r="AB204" s="15">
        <v>1</v>
      </c>
      <c r="AC204" s="15">
        <v>2.180511904761905</v>
      </c>
      <c r="AD204" s="15">
        <v>1</v>
      </c>
      <c r="AE204" s="15">
        <v>3.2539761904761901</v>
      </c>
    </row>
    <row r="205" spans="2:31" x14ac:dyDescent="0.2">
      <c r="B205" s="15">
        <v>4</v>
      </c>
      <c r="C205" s="15">
        <v>3.9744016902124768</v>
      </c>
      <c r="D205" s="15">
        <v>4</v>
      </c>
      <c r="E205" s="15">
        <v>3.87</v>
      </c>
      <c r="F205" s="15">
        <v>4</v>
      </c>
      <c r="G205" s="15">
        <v>3.7541986944733861</v>
      </c>
      <c r="H205" s="15">
        <v>4</v>
      </c>
      <c r="I205" s="15">
        <v>4.0600804999999998</v>
      </c>
      <c r="J205" s="15">
        <v>4</v>
      </c>
      <c r="K205" s="15">
        <v>3.9744016902124759</v>
      </c>
      <c r="L205" s="15">
        <v>4</v>
      </c>
      <c r="M205" s="15">
        <v>3.7552812071330588</v>
      </c>
      <c r="N205" s="15">
        <v>4</v>
      </c>
      <c r="O205" s="15">
        <v>3.7112536833390091</v>
      </c>
      <c r="P205" s="15">
        <v>4</v>
      </c>
      <c r="Q205" s="15">
        <v>2.9651116607719872</v>
      </c>
      <c r="R205" s="15">
        <v>4</v>
      </c>
      <c r="S205" s="15">
        <v>2.796288787232236</v>
      </c>
      <c r="T205" s="15">
        <v>4</v>
      </c>
      <c r="U205" s="15">
        <v>3.6536911692456542</v>
      </c>
      <c r="V205" s="15">
        <v>5</v>
      </c>
      <c r="W205" s="15">
        <v>4.2040867805480957</v>
      </c>
      <c r="X205" s="15">
        <v>4</v>
      </c>
      <c r="Y205" s="15">
        <v>4.0281722218984219</v>
      </c>
      <c r="Z205" s="15">
        <v>4</v>
      </c>
      <c r="AA205" s="15">
        <v>4.0492367744445801</v>
      </c>
      <c r="AB205" s="15">
        <v>4</v>
      </c>
      <c r="AC205" s="15">
        <v>3.1721111111111111</v>
      </c>
      <c r="AD205" s="15">
        <v>4</v>
      </c>
      <c r="AE205" s="15">
        <v>3.2223571428571431</v>
      </c>
    </row>
    <row r="206" spans="2:31" x14ac:dyDescent="0.2">
      <c r="B206" s="15">
        <v>4</v>
      </c>
      <c r="C206" s="15">
        <v>3.5520180465757871</v>
      </c>
      <c r="D206" s="15">
        <v>4</v>
      </c>
      <c r="E206" s="15">
        <v>2.23</v>
      </c>
      <c r="F206" s="15">
        <v>4</v>
      </c>
      <c r="G206" s="15">
        <v>1.977948494410632</v>
      </c>
      <c r="H206" s="15">
        <v>4</v>
      </c>
      <c r="I206" s="15">
        <v>2.0103054</v>
      </c>
      <c r="J206" s="15">
        <v>4</v>
      </c>
      <c r="K206" s="15">
        <v>3.5520180465757871</v>
      </c>
      <c r="L206" s="15">
        <v>4</v>
      </c>
      <c r="M206" s="15">
        <v>2.1582278481012662</v>
      </c>
      <c r="N206" s="15">
        <v>4</v>
      </c>
      <c r="O206" s="15">
        <v>3.789189000003617</v>
      </c>
      <c r="P206" s="15">
        <v>4</v>
      </c>
      <c r="Q206" s="15">
        <v>2.8960315674988881</v>
      </c>
      <c r="R206" s="15">
        <v>4</v>
      </c>
      <c r="S206" s="15">
        <v>2.4430679304938869</v>
      </c>
      <c r="T206" s="15">
        <v>4</v>
      </c>
      <c r="U206" s="15">
        <v>3.7482446388559341</v>
      </c>
      <c r="V206" s="15">
        <v>5</v>
      </c>
      <c r="W206" s="15">
        <v>4.5221281051635742</v>
      </c>
      <c r="X206" s="15">
        <v>4</v>
      </c>
      <c r="Y206" s="15">
        <v>3.9029239137561968</v>
      </c>
      <c r="Z206" s="15">
        <v>4</v>
      </c>
      <c r="AA206" s="15">
        <v>4.0474543571472168</v>
      </c>
      <c r="AB206" s="15">
        <v>4</v>
      </c>
      <c r="AC206" s="15">
        <v>2.262916666666666</v>
      </c>
      <c r="AD206" s="15">
        <v>4</v>
      </c>
      <c r="AE206" s="15">
        <v>2.5523571428571419</v>
      </c>
    </row>
    <row r="207" spans="2:31" x14ac:dyDescent="0.2">
      <c r="B207" s="15">
        <v>5</v>
      </c>
      <c r="C207" s="15">
        <v>3.7332784849675269</v>
      </c>
      <c r="D207" s="15">
        <v>5</v>
      </c>
      <c r="E207" s="15">
        <v>4.29</v>
      </c>
      <c r="F207" s="15">
        <v>5</v>
      </c>
      <c r="G207" s="15">
        <v>4.1445115698863289</v>
      </c>
      <c r="H207" s="15">
        <v>5</v>
      </c>
      <c r="I207" s="15">
        <v>4.2049279999999998</v>
      </c>
      <c r="J207" s="15">
        <v>5</v>
      </c>
      <c r="K207" s="15">
        <v>3.7332784849675269</v>
      </c>
      <c r="L207" s="15">
        <v>5</v>
      </c>
      <c r="M207" s="15">
        <v>3.859941844364442</v>
      </c>
      <c r="N207" s="15">
        <v>5</v>
      </c>
      <c r="O207" s="15">
        <v>3.8615171062396239</v>
      </c>
      <c r="P207" s="15">
        <v>5</v>
      </c>
      <c r="Q207" s="15">
        <v>3.937003292161398</v>
      </c>
      <c r="R207" s="15">
        <v>5</v>
      </c>
      <c r="S207" s="15">
        <v>3.8475292030248358</v>
      </c>
      <c r="T207" s="15">
        <v>5</v>
      </c>
      <c r="U207" s="15">
        <v>3.8780273988825962</v>
      </c>
      <c r="V207" s="15">
        <v>2</v>
      </c>
      <c r="W207" s="15">
        <v>2.7685377597808838</v>
      </c>
      <c r="X207" s="15">
        <v>5</v>
      </c>
      <c r="Y207" s="15">
        <v>3.7993986147580729</v>
      </c>
      <c r="Z207" s="15">
        <v>5</v>
      </c>
      <c r="AA207" s="15">
        <v>3.7203559875488281</v>
      </c>
      <c r="AB207" s="15">
        <v>5</v>
      </c>
      <c r="AC207" s="15">
        <v>4.1026904761904772</v>
      </c>
      <c r="AD207" s="15">
        <v>5</v>
      </c>
      <c r="AE207" s="15">
        <v>4.0472222222222216</v>
      </c>
    </row>
    <row r="208" spans="2:31" x14ac:dyDescent="0.2">
      <c r="B208" s="15">
        <v>2</v>
      </c>
      <c r="C208" s="15">
        <v>3.4850934784507648</v>
      </c>
      <c r="D208" s="15">
        <v>2</v>
      </c>
      <c r="E208" s="15">
        <v>3.88</v>
      </c>
      <c r="F208" s="15">
        <v>2</v>
      </c>
      <c r="G208" s="15">
        <v>3.8720892911915081</v>
      </c>
      <c r="H208" s="15">
        <v>2</v>
      </c>
      <c r="I208" s="15">
        <v>3.8762194999999999</v>
      </c>
      <c r="J208" s="15">
        <v>2</v>
      </c>
      <c r="K208" s="15">
        <v>3.4850934784507648</v>
      </c>
      <c r="L208" s="15">
        <v>2</v>
      </c>
      <c r="M208" s="15">
        <v>4.0839303991811668</v>
      </c>
      <c r="N208" s="15">
        <v>2</v>
      </c>
      <c r="O208" s="15">
        <v>3.3154661744401221</v>
      </c>
      <c r="P208" s="15">
        <v>2</v>
      </c>
      <c r="Q208" s="15">
        <v>3.3247066730881039</v>
      </c>
      <c r="R208" s="15">
        <v>2</v>
      </c>
      <c r="S208" s="15">
        <v>3.2944284279447129</v>
      </c>
      <c r="T208" s="15">
        <v>2</v>
      </c>
      <c r="U208" s="15">
        <v>3.6821213650049081</v>
      </c>
      <c r="V208" s="15">
        <v>4</v>
      </c>
      <c r="W208" s="15">
        <v>3.4188745021820068</v>
      </c>
      <c r="X208" s="15">
        <v>2</v>
      </c>
      <c r="Y208" s="15">
        <v>3.2553110505474718</v>
      </c>
      <c r="Z208" s="15">
        <v>2</v>
      </c>
      <c r="AA208" s="15">
        <v>3.8266770839691162</v>
      </c>
      <c r="AB208" s="15">
        <v>2</v>
      </c>
      <c r="AC208" s="15">
        <v>3.673309523809523</v>
      </c>
      <c r="AD208" s="15">
        <v>2</v>
      </c>
      <c r="AE208" s="15">
        <v>3.4087142857142858</v>
      </c>
    </row>
    <row r="209" spans="2:31" x14ac:dyDescent="0.2">
      <c r="B209" s="15">
        <v>4</v>
      </c>
      <c r="C209" s="15">
        <v>3.9548390813772389</v>
      </c>
      <c r="D209" s="15">
        <v>4</v>
      </c>
      <c r="E209" s="15">
        <v>4.4400000000000004</v>
      </c>
      <c r="F209" s="15">
        <v>4</v>
      </c>
      <c r="G209" s="15">
        <v>4.5123822058542862</v>
      </c>
      <c r="H209" s="15">
        <v>4</v>
      </c>
      <c r="I209" s="15">
        <v>4.7075032999999999</v>
      </c>
      <c r="J209" s="15">
        <v>4</v>
      </c>
      <c r="K209" s="15">
        <v>3.9548390813772381</v>
      </c>
      <c r="L209" s="15">
        <v>4</v>
      </c>
      <c r="M209" s="15">
        <v>4.297595585337012</v>
      </c>
      <c r="N209" s="15">
        <v>4</v>
      </c>
      <c r="O209" s="15">
        <v>3.9976900570041041</v>
      </c>
      <c r="P209" s="15">
        <v>4</v>
      </c>
      <c r="Q209" s="15">
        <v>4.0553028125581774</v>
      </c>
      <c r="R209" s="15">
        <v>4</v>
      </c>
      <c r="S209" s="15">
        <v>3.9407599075436641</v>
      </c>
      <c r="T209" s="15">
        <v>4</v>
      </c>
      <c r="U209" s="15">
        <v>3.8838181921588029</v>
      </c>
      <c r="V209" s="15">
        <v>3</v>
      </c>
      <c r="W209" s="15">
        <v>3.4201812744140621</v>
      </c>
      <c r="X209" s="15">
        <v>4</v>
      </c>
      <c r="Y209" s="15">
        <v>4.0211355345701874</v>
      </c>
      <c r="Z209" s="15">
        <v>4</v>
      </c>
      <c r="AA209" s="15">
        <v>4.3241267204284668</v>
      </c>
      <c r="AB209" s="15">
        <v>4</v>
      </c>
      <c r="AC209" s="15">
        <v>4.4220952380952374</v>
      </c>
      <c r="AD209" s="15">
        <v>4</v>
      </c>
      <c r="AE209" s="15">
        <v>4.3443809523809529</v>
      </c>
    </row>
    <row r="210" spans="2:31" x14ac:dyDescent="0.2">
      <c r="B210" s="15">
        <v>3</v>
      </c>
      <c r="C210" s="15">
        <v>3.7286059043918942</v>
      </c>
      <c r="D210" s="15">
        <v>3</v>
      </c>
      <c r="E210" s="15">
        <v>3.94</v>
      </c>
      <c r="F210" s="15">
        <v>3</v>
      </c>
      <c r="G210" s="15">
        <v>3.8113771448767322</v>
      </c>
      <c r="H210" s="15">
        <v>3</v>
      </c>
      <c r="I210" s="15">
        <v>4.0710059999999997</v>
      </c>
      <c r="J210" s="15">
        <v>3</v>
      </c>
      <c r="K210" s="15">
        <v>3.7286059043918942</v>
      </c>
      <c r="L210" s="15">
        <v>3</v>
      </c>
      <c r="M210" s="15">
        <v>3.7</v>
      </c>
      <c r="N210" s="15">
        <v>3</v>
      </c>
      <c r="O210" s="15">
        <v>3.1870526794511109</v>
      </c>
      <c r="P210" s="15">
        <v>3</v>
      </c>
      <c r="Q210" s="15">
        <v>3.243528038452554</v>
      </c>
      <c r="R210" s="15">
        <v>3</v>
      </c>
      <c r="S210" s="15">
        <v>2.1571131142703099</v>
      </c>
      <c r="T210" s="15">
        <v>3</v>
      </c>
      <c r="U210" s="15">
        <v>3.4897748745029462</v>
      </c>
      <c r="V210" s="15">
        <v>5</v>
      </c>
      <c r="W210" s="15">
        <v>3.2489891052246089</v>
      </c>
      <c r="X210" s="15">
        <v>3</v>
      </c>
      <c r="Y210" s="15">
        <v>3.105089632116897</v>
      </c>
      <c r="Z210" s="15">
        <v>3</v>
      </c>
      <c r="AA210" s="15">
        <v>3.007569313049316</v>
      </c>
      <c r="AB210" s="15">
        <v>3</v>
      </c>
      <c r="AC210" s="15">
        <v>3.1435595238095231</v>
      </c>
      <c r="AD210" s="15">
        <v>3</v>
      </c>
      <c r="AE210" s="15">
        <v>2.9162301587301589</v>
      </c>
    </row>
    <row r="211" spans="2:31" x14ac:dyDescent="0.2">
      <c r="B211" s="15">
        <v>3</v>
      </c>
      <c r="C211" s="15">
        <v>4.1175860839242304</v>
      </c>
      <c r="D211" s="15">
        <v>3</v>
      </c>
      <c r="E211" s="15">
        <v>4.22</v>
      </c>
      <c r="F211" s="15">
        <v>3</v>
      </c>
      <c r="G211" s="15">
        <v>4.6131984554252803</v>
      </c>
      <c r="H211" s="15">
        <v>3</v>
      </c>
      <c r="I211" s="15">
        <v>4.6051289999999998</v>
      </c>
      <c r="J211" s="15">
        <v>3</v>
      </c>
      <c r="K211" s="15">
        <v>4.1175860839242304</v>
      </c>
      <c r="L211" s="15">
        <v>3</v>
      </c>
      <c r="M211" s="15">
        <v>4.6203007518796992</v>
      </c>
      <c r="N211" s="15">
        <v>3</v>
      </c>
      <c r="O211" s="15">
        <v>3.7515272394939632</v>
      </c>
      <c r="P211" s="15">
        <v>3</v>
      </c>
      <c r="Q211" s="15">
        <v>4.0770160277895382</v>
      </c>
      <c r="R211" s="15">
        <v>3</v>
      </c>
      <c r="S211" s="15">
        <v>4.0899974136946664</v>
      </c>
      <c r="T211" s="15">
        <v>3</v>
      </c>
      <c r="U211" s="15">
        <v>4.0345907752158352</v>
      </c>
      <c r="V211" s="15">
        <v>4</v>
      </c>
      <c r="W211" s="15">
        <v>4.5441436767578116</v>
      </c>
      <c r="X211" s="15">
        <v>3</v>
      </c>
      <c r="Y211" s="15">
        <v>3.5709458146503201</v>
      </c>
      <c r="Z211" s="15">
        <v>3</v>
      </c>
      <c r="AA211" s="15">
        <v>3.6907253265380859</v>
      </c>
      <c r="AB211" s="15">
        <v>3</v>
      </c>
      <c r="AC211" s="15">
        <v>3.8594761904761898</v>
      </c>
      <c r="AD211" s="15">
        <v>3</v>
      </c>
      <c r="AE211" s="15">
        <v>4.1860714285714282</v>
      </c>
    </row>
    <row r="212" spans="2:31" x14ac:dyDescent="0.2">
      <c r="B212" s="15">
        <v>5</v>
      </c>
      <c r="C212" s="15">
        <v>3.6493374727315731</v>
      </c>
      <c r="D212" s="15">
        <v>5</v>
      </c>
      <c r="E212" s="15">
        <v>4.22</v>
      </c>
      <c r="F212" s="15">
        <v>5</v>
      </c>
      <c r="G212" s="15">
        <v>3.8750672551165248</v>
      </c>
      <c r="H212" s="15">
        <v>5</v>
      </c>
      <c r="I212" s="15">
        <v>4.0269430000000002</v>
      </c>
      <c r="J212" s="15">
        <v>5</v>
      </c>
      <c r="K212" s="15">
        <v>3.6493374727315731</v>
      </c>
      <c r="L212" s="15">
        <v>5</v>
      </c>
      <c r="M212" s="15">
        <v>3.607255948611237</v>
      </c>
      <c r="N212" s="15">
        <v>5</v>
      </c>
      <c r="O212" s="15">
        <v>4.180171715092432</v>
      </c>
      <c r="P212" s="15">
        <v>5</v>
      </c>
      <c r="Q212" s="15">
        <v>4.6573360662011796</v>
      </c>
      <c r="R212" s="15">
        <v>5</v>
      </c>
      <c r="S212" s="15">
        <v>4.8849622215998743</v>
      </c>
      <c r="T212" s="15">
        <v>5</v>
      </c>
      <c r="U212" s="15">
        <v>4.4521179078962598</v>
      </c>
      <c r="V212" s="15">
        <v>4</v>
      </c>
      <c r="W212" s="15">
        <v>4.7899374961853027</v>
      </c>
      <c r="X212" s="15">
        <v>5</v>
      </c>
      <c r="Y212" s="15">
        <v>4.3175588085356784</v>
      </c>
      <c r="Z212" s="15">
        <v>5</v>
      </c>
      <c r="AA212" s="15">
        <v>4.316622257232666</v>
      </c>
      <c r="AB212" s="15">
        <v>5</v>
      </c>
      <c r="AC212" s="15">
        <v>4.6226666666666674</v>
      </c>
      <c r="AD212" s="15">
        <v>5</v>
      </c>
      <c r="AE212" s="15">
        <v>4.8</v>
      </c>
    </row>
    <row r="213" spans="2:31" x14ac:dyDescent="0.2">
      <c r="B213" s="15">
        <v>3</v>
      </c>
      <c r="C213" s="15">
        <v>3.407369997041338</v>
      </c>
      <c r="D213" s="15">
        <v>3</v>
      </c>
      <c r="E213" s="15">
        <v>3.53</v>
      </c>
      <c r="F213" s="15">
        <v>3</v>
      </c>
      <c r="G213" s="15">
        <v>3.2659236931534248</v>
      </c>
      <c r="H213" s="15">
        <v>3</v>
      </c>
      <c r="I213" s="15">
        <v>3.3003979999999999</v>
      </c>
      <c r="J213" s="15">
        <v>3</v>
      </c>
      <c r="K213" s="15">
        <v>3.407369997041338</v>
      </c>
      <c r="L213" s="15">
        <v>3</v>
      </c>
      <c r="M213" s="15">
        <v>3.4732775273663878</v>
      </c>
      <c r="N213" s="15">
        <v>3</v>
      </c>
      <c r="O213" s="15">
        <v>3.2860870769896899</v>
      </c>
      <c r="P213" s="15">
        <v>3</v>
      </c>
      <c r="Q213" s="15">
        <v>3.2307622221683729</v>
      </c>
      <c r="R213" s="15">
        <v>3</v>
      </c>
      <c r="S213" s="15">
        <v>3.1501209740977041</v>
      </c>
      <c r="T213" s="15">
        <v>3</v>
      </c>
      <c r="U213" s="15">
        <v>3.3164812878541419</v>
      </c>
      <c r="V213" s="15">
        <v>1</v>
      </c>
      <c r="W213" s="15">
        <v>3.020247220993042</v>
      </c>
      <c r="X213" s="15">
        <v>3</v>
      </c>
      <c r="Y213" s="15">
        <v>3.0842963208507919</v>
      </c>
      <c r="Z213" s="15">
        <v>3</v>
      </c>
      <c r="AA213" s="15">
        <v>3.442224502563477</v>
      </c>
      <c r="AB213" s="15">
        <v>3</v>
      </c>
      <c r="AC213" s="15">
        <v>3.5113571428571428</v>
      </c>
      <c r="AD213" s="15">
        <v>3</v>
      </c>
      <c r="AE213" s="15">
        <v>3.3410588023088028</v>
      </c>
    </row>
    <row r="214" spans="2:31" x14ac:dyDescent="0.2">
      <c r="B214" s="15">
        <v>5</v>
      </c>
      <c r="C214" s="15">
        <v>3.820465278708256</v>
      </c>
      <c r="D214" s="15">
        <v>5</v>
      </c>
      <c r="E214" s="15">
        <v>3.92</v>
      </c>
      <c r="F214" s="15">
        <v>5</v>
      </c>
      <c r="G214" s="15">
        <v>3.9994833259314002</v>
      </c>
      <c r="H214" s="15">
        <v>5</v>
      </c>
      <c r="I214" s="15">
        <v>4.188383</v>
      </c>
      <c r="J214" s="15">
        <v>5</v>
      </c>
      <c r="K214" s="15">
        <v>3.820465278708256</v>
      </c>
      <c r="L214" s="15">
        <v>5</v>
      </c>
      <c r="M214" s="15">
        <v>4.1486227721313886</v>
      </c>
      <c r="N214" s="15">
        <v>5</v>
      </c>
      <c r="O214" s="15">
        <v>4.0104974299747598</v>
      </c>
      <c r="P214" s="15">
        <v>5</v>
      </c>
      <c r="Q214" s="15">
        <v>3.6695470115957129</v>
      </c>
      <c r="R214" s="15">
        <v>5</v>
      </c>
      <c r="S214" s="15">
        <v>3.773952351441868</v>
      </c>
      <c r="T214" s="15">
        <v>5</v>
      </c>
      <c r="U214" s="15">
        <v>3.7809225534844151</v>
      </c>
      <c r="V214" s="15">
        <v>5</v>
      </c>
      <c r="W214" s="15">
        <v>4.2177109718322754</v>
      </c>
      <c r="X214" s="15">
        <v>5</v>
      </c>
      <c r="Y214" s="15">
        <v>4.009385646111828</v>
      </c>
      <c r="Z214" s="15">
        <v>5</v>
      </c>
      <c r="AA214" s="15">
        <v>4.0479722023010254</v>
      </c>
      <c r="AB214" s="15">
        <v>5</v>
      </c>
      <c r="AC214" s="15">
        <v>4.1937539682539686</v>
      </c>
      <c r="AD214" s="15">
        <v>5</v>
      </c>
      <c r="AE214" s="15">
        <v>3.8710714285714278</v>
      </c>
    </row>
    <row r="215" spans="2:31" x14ac:dyDescent="0.2">
      <c r="B215" s="15">
        <v>1</v>
      </c>
      <c r="C215" s="15">
        <v>2.32217484175654</v>
      </c>
      <c r="D215" s="15">
        <v>1</v>
      </c>
      <c r="E215" s="15">
        <v>1.75</v>
      </c>
      <c r="F215" s="15">
        <v>1</v>
      </c>
      <c r="G215" s="15">
        <v>1.646265003791026</v>
      </c>
      <c r="H215" s="15">
        <v>1</v>
      </c>
      <c r="I215" s="15">
        <v>1.6619832999999999</v>
      </c>
      <c r="J215" s="15">
        <v>1</v>
      </c>
      <c r="K215" s="15">
        <v>2.32217484175654</v>
      </c>
      <c r="L215" s="15">
        <v>1</v>
      </c>
      <c r="M215" s="15">
        <v>1.6890756302521011</v>
      </c>
      <c r="N215" s="15">
        <v>1</v>
      </c>
      <c r="O215" s="15">
        <v>2.5436328337630218</v>
      </c>
      <c r="P215" s="15">
        <v>1</v>
      </c>
      <c r="Q215" s="15">
        <v>1.755891248818944</v>
      </c>
      <c r="R215" s="15">
        <v>1</v>
      </c>
      <c r="S215" s="15">
        <v>2.406034171125393</v>
      </c>
      <c r="T215" s="15">
        <v>1</v>
      </c>
      <c r="U215" s="15">
        <v>2.63029898815399</v>
      </c>
      <c r="V215" s="15">
        <v>2</v>
      </c>
      <c r="W215" s="15">
        <v>2.3459591865539551</v>
      </c>
      <c r="X215" s="15">
        <v>1</v>
      </c>
      <c r="Y215" s="15">
        <v>1.766263580630175</v>
      </c>
      <c r="Z215" s="15">
        <v>1</v>
      </c>
      <c r="AA215" s="15">
        <v>1.8248336315155029</v>
      </c>
      <c r="AB215" s="15">
        <v>1</v>
      </c>
      <c r="AC215" s="15">
        <v>1.589666666666667</v>
      </c>
      <c r="AD215" s="15">
        <v>1</v>
      </c>
      <c r="AE215" s="15">
        <v>2.0216666666666669</v>
      </c>
    </row>
    <row r="216" spans="2:31" x14ac:dyDescent="0.2">
      <c r="B216" s="15">
        <v>3</v>
      </c>
      <c r="C216" s="15">
        <v>3.59312012804053</v>
      </c>
      <c r="D216" s="15">
        <v>3</v>
      </c>
      <c r="E216" s="15">
        <v>3.8</v>
      </c>
      <c r="F216" s="15">
        <v>3</v>
      </c>
      <c r="G216" s="15">
        <v>3.9415620062963388</v>
      </c>
      <c r="H216" s="15">
        <v>3</v>
      </c>
      <c r="I216" s="15">
        <v>3.8747007999999998</v>
      </c>
      <c r="J216" s="15">
        <v>3</v>
      </c>
      <c r="K216" s="15">
        <v>3.59312012804053</v>
      </c>
      <c r="L216" s="15">
        <v>3</v>
      </c>
      <c r="M216" s="15">
        <v>4.1937967914438499</v>
      </c>
      <c r="N216" s="15">
        <v>3</v>
      </c>
      <c r="O216" s="15">
        <v>3.0948851114313052</v>
      </c>
      <c r="P216" s="15">
        <v>3</v>
      </c>
      <c r="Q216" s="15">
        <v>3.5463102076985038</v>
      </c>
      <c r="R216" s="15">
        <v>3</v>
      </c>
      <c r="S216" s="15">
        <v>3.4836612191533058</v>
      </c>
      <c r="T216" s="15">
        <v>3</v>
      </c>
      <c r="U216" s="15">
        <v>3.6868148917575678</v>
      </c>
      <c r="V216" s="15">
        <v>4</v>
      </c>
      <c r="W216" s="15">
        <v>3.2197468280792241</v>
      </c>
      <c r="X216" s="15">
        <v>3</v>
      </c>
      <c r="Y216" s="15">
        <v>2.7788765923031402</v>
      </c>
      <c r="Z216" s="15">
        <v>3</v>
      </c>
      <c r="AA216" s="15">
        <v>2.9675791263580318</v>
      </c>
      <c r="AB216" s="15">
        <v>3</v>
      </c>
      <c r="AC216" s="15">
        <v>3.5914285714285712</v>
      </c>
      <c r="AD216" s="15">
        <v>3</v>
      </c>
      <c r="AE216" s="15">
        <v>3.6922261904761911</v>
      </c>
    </row>
    <row r="217" spans="2:31" x14ac:dyDescent="0.2">
      <c r="B217" s="15">
        <v>4</v>
      </c>
      <c r="C217" s="15">
        <v>3.7312708620910802</v>
      </c>
      <c r="D217" s="15">
        <v>4</v>
      </c>
      <c r="E217" s="15">
        <v>3.74</v>
      </c>
      <c r="F217" s="15">
        <v>4</v>
      </c>
      <c r="G217" s="15">
        <v>3.8555561210447959</v>
      </c>
      <c r="H217" s="15">
        <v>4</v>
      </c>
      <c r="I217" s="15">
        <v>3.9364316000000001</v>
      </c>
      <c r="J217" s="15">
        <v>4</v>
      </c>
      <c r="K217" s="15">
        <v>3.7312708620910802</v>
      </c>
      <c r="L217" s="15">
        <v>4</v>
      </c>
      <c r="M217" s="15">
        <v>3.831386441976254</v>
      </c>
      <c r="N217" s="15">
        <v>4</v>
      </c>
      <c r="O217" s="15">
        <v>3.7991160275569622</v>
      </c>
      <c r="P217" s="15">
        <v>4</v>
      </c>
      <c r="Q217" s="15">
        <v>3.2521274765302501</v>
      </c>
      <c r="R217" s="15">
        <v>4</v>
      </c>
      <c r="S217" s="15">
        <v>3.1179857101675998</v>
      </c>
      <c r="T217" s="15">
        <v>4</v>
      </c>
      <c r="U217" s="15">
        <v>3.959247873778537</v>
      </c>
      <c r="V217" s="15">
        <v>4</v>
      </c>
      <c r="W217" s="15">
        <v>3.944520235061646</v>
      </c>
      <c r="X217" s="15">
        <v>4</v>
      </c>
      <c r="Y217" s="15">
        <v>4.220477009696225</v>
      </c>
      <c r="Z217" s="15">
        <v>4</v>
      </c>
      <c r="AA217" s="15">
        <v>3.9813079833984379</v>
      </c>
      <c r="AB217" s="15">
        <v>4</v>
      </c>
      <c r="AC217" s="15">
        <v>3.5539444444444439</v>
      </c>
      <c r="AD217" s="15">
        <v>4</v>
      </c>
      <c r="AE217" s="15">
        <v>3.3099047619047619</v>
      </c>
    </row>
    <row r="218" spans="2:31" x14ac:dyDescent="0.2">
      <c r="B218" s="15">
        <v>5</v>
      </c>
      <c r="C218" s="15">
        <v>3.8313319136136008</v>
      </c>
      <c r="D218" s="15">
        <v>5</v>
      </c>
      <c r="E218" s="15">
        <v>4.2</v>
      </c>
      <c r="F218" s="15">
        <v>5</v>
      </c>
      <c r="G218" s="15">
        <v>4.4182211951344623</v>
      </c>
      <c r="H218" s="15">
        <v>5</v>
      </c>
      <c r="I218" s="15">
        <v>4.2644380000000002</v>
      </c>
      <c r="J218" s="15">
        <v>5</v>
      </c>
      <c r="K218" s="15">
        <v>3.8313319136136008</v>
      </c>
      <c r="L218" s="15">
        <v>5</v>
      </c>
      <c r="M218" s="15">
        <v>4.2791702679343127</v>
      </c>
      <c r="N218" s="15">
        <v>5</v>
      </c>
      <c r="O218" s="15">
        <v>3.5227922880976821</v>
      </c>
      <c r="P218" s="15">
        <v>5</v>
      </c>
      <c r="Q218" s="15">
        <v>3.5328337149642381</v>
      </c>
      <c r="R218" s="15">
        <v>5</v>
      </c>
      <c r="S218" s="15">
        <v>3.394820360265109</v>
      </c>
      <c r="T218" s="15">
        <v>5</v>
      </c>
      <c r="U218" s="15">
        <v>3.5826852859624321</v>
      </c>
      <c r="V218" s="15">
        <v>5</v>
      </c>
      <c r="W218" s="15">
        <v>4.4894042015075684</v>
      </c>
      <c r="X218" s="15">
        <v>5</v>
      </c>
      <c r="Y218" s="15">
        <v>3.747484441987702</v>
      </c>
      <c r="Z218" s="15">
        <v>5</v>
      </c>
      <c r="AA218" s="15">
        <v>3.953332901000977</v>
      </c>
      <c r="AB218" s="15">
        <v>5</v>
      </c>
      <c r="AC218" s="15">
        <v>3.8226190476190478</v>
      </c>
      <c r="AD218" s="15">
        <v>5</v>
      </c>
      <c r="AE218" s="15">
        <v>3.620964285714285</v>
      </c>
    </row>
    <row r="219" spans="2:31" x14ac:dyDescent="0.2">
      <c r="B219" s="15">
        <v>4</v>
      </c>
      <c r="C219" s="15">
        <v>3.803786304050313</v>
      </c>
      <c r="D219" s="15">
        <v>4</v>
      </c>
      <c r="E219" s="15">
        <v>3.84</v>
      </c>
      <c r="F219" s="15">
        <v>4</v>
      </c>
      <c r="G219" s="15">
        <v>3.765168665853265</v>
      </c>
      <c r="H219" s="15">
        <v>4</v>
      </c>
      <c r="I219" s="15">
        <v>3.8367083000000002</v>
      </c>
      <c r="J219" s="15">
        <v>4</v>
      </c>
      <c r="K219" s="15">
        <v>3.803786304050313</v>
      </c>
      <c r="L219" s="15">
        <v>4</v>
      </c>
      <c r="M219" s="15">
        <v>3.607255948611237</v>
      </c>
      <c r="N219" s="15">
        <v>4</v>
      </c>
      <c r="O219" s="15">
        <v>4.7717027300396744</v>
      </c>
      <c r="P219" s="15">
        <v>4</v>
      </c>
      <c r="Q219" s="15">
        <v>4.5567432720265479</v>
      </c>
      <c r="R219" s="15">
        <v>4</v>
      </c>
      <c r="S219" s="15">
        <v>4.7844144622492513</v>
      </c>
      <c r="T219" s="15">
        <v>4</v>
      </c>
      <c r="U219" s="15">
        <v>3.9527304656187709</v>
      </c>
      <c r="V219" s="15">
        <v>2</v>
      </c>
      <c r="W219" s="15">
        <v>2.210701704025269</v>
      </c>
      <c r="X219" s="15">
        <v>4</v>
      </c>
      <c r="Y219" s="15">
        <v>4.0139583689555742</v>
      </c>
      <c r="Z219" s="15">
        <v>4</v>
      </c>
      <c r="AA219" s="15">
        <v>3.8385739326477051</v>
      </c>
      <c r="AB219" s="15">
        <v>4</v>
      </c>
      <c r="AC219" s="15">
        <v>4.0689285714285708</v>
      </c>
      <c r="AD219" s="15">
        <v>4</v>
      </c>
      <c r="AE219" s="15">
        <v>4.3575833333333334</v>
      </c>
    </row>
    <row r="220" spans="2:31" x14ac:dyDescent="0.2">
      <c r="B220" s="15">
        <v>4</v>
      </c>
      <c r="C220" s="15">
        <v>4.2187138848788734</v>
      </c>
      <c r="D220" s="15">
        <v>4</v>
      </c>
      <c r="E220" s="15">
        <v>4.6100000000000003</v>
      </c>
      <c r="F220" s="15">
        <v>4</v>
      </c>
      <c r="G220" s="15">
        <v>4.515763751590157</v>
      </c>
      <c r="H220" s="15">
        <v>4</v>
      </c>
      <c r="I220" s="15">
        <v>4.5718082999999998</v>
      </c>
      <c r="J220" s="15">
        <v>4</v>
      </c>
      <c r="K220" s="15">
        <v>4.2187138848788734</v>
      </c>
      <c r="L220" s="15">
        <v>4</v>
      </c>
      <c r="M220" s="15">
        <v>4.3198225757112274</v>
      </c>
      <c r="N220" s="15">
        <v>4</v>
      </c>
      <c r="O220" s="15">
        <v>3.6312928400968829</v>
      </c>
      <c r="P220" s="15">
        <v>4</v>
      </c>
      <c r="Q220" s="15">
        <v>4.109112477131152</v>
      </c>
      <c r="R220" s="15">
        <v>4</v>
      </c>
      <c r="S220" s="15">
        <v>4.3739986272059879</v>
      </c>
      <c r="T220" s="15">
        <v>4</v>
      </c>
      <c r="U220" s="15">
        <v>4.0875936270642121</v>
      </c>
      <c r="V220" s="15">
        <v>1</v>
      </c>
      <c r="W220" s="15">
        <v>3.241081714630127</v>
      </c>
      <c r="X220" s="15">
        <v>4</v>
      </c>
      <c r="Y220" s="15">
        <v>3.9895716285674609</v>
      </c>
      <c r="Z220" s="15">
        <v>4</v>
      </c>
      <c r="AA220" s="15">
        <v>3.536221027374268</v>
      </c>
      <c r="AB220" s="15">
        <v>4</v>
      </c>
      <c r="AC220" s="15">
        <v>4.2602619047619044</v>
      </c>
      <c r="AD220" s="15">
        <v>4</v>
      </c>
      <c r="AE220" s="15">
        <v>4.1846190476190479</v>
      </c>
    </row>
    <row r="221" spans="2:31" x14ac:dyDescent="0.2">
      <c r="B221" s="15">
        <v>3</v>
      </c>
      <c r="C221" s="15">
        <v>3.8225733266241839</v>
      </c>
      <c r="D221" s="15">
        <v>3</v>
      </c>
      <c r="E221" s="15">
        <v>4.4400000000000004</v>
      </c>
      <c r="F221" s="15">
        <v>3</v>
      </c>
      <c r="G221" s="15">
        <v>4.4124546876356829</v>
      </c>
      <c r="H221" s="15">
        <v>3</v>
      </c>
      <c r="I221" s="15">
        <v>4.3972892999999997</v>
      </c>
      <c r="J221" s="15">
        <v>3</v>
      </c>
      <c r="K221" s="15">
        <v>3.8225733266241839</v>
      </c>
      <c r="L221" s="15">
        <v>3</v>
      </c>
      <c r="M221" s="15">
        <v>4.3198225757112274</v>
      </c>
      <c r="N221" s="15">
        <v>3</v>
      </c>
      <c r="O221" s="15">
        <v>3.6577558942695889</v>
      </c>
      <c r="P221" s="15">
        <v>3</v>
      </c>
      <c r="Q221" s="15">
        <v>3.6711955834782599</v>
      </c>
      <c r="R221" s="15">
        <v>3</v>
      </c>
      <c r="S221" s="15">
        <v>3.3428460843986771</v>
      </c>
      <c r="T221" s="15">
        <v>3</v>
      </c>
      <c r="U221" s="15">
        <v>3.866921343576847</v>
      </c>
      <c r="V221" s="15">
        <v>4</v>
      </c>
      <c r="W221" s="15">
        <v>4.4128727912902832</v>
      </c>
      <c r="X221" s="15">
        <v>3</v>
      </c>
      <c r="Y221" s="15">
        <v>3.5324377010700481</v>
      </c>
      <c r="Z221" s="15">
        <v>3</v>
      </c>
      <c r="AA221" s="15">
        <v>3.372635126113892</v>
      </c>
      <c r="AB221" s="15">
        <v>3</v>
      </c>
      <c r="AC221" s="15">
        <v>3.704619047619047</v>
      </c>
      <c r="AD221" s="15">
        <v>3</v>
      </c>
      <c r="AE221" s="15">
        <v>3.2068809523809518</v>
      </c>
    </row>
    <row r="222" spans="2:31" x14ac:dyDescent="0.2">
      <c r="B222" s="15">
        <v>2</v>
      </c>
      <c r="C222" s="15">
        <v>2.4006189582916728</v>
      </c>
      <c r="D222" s="15">
        <v>2</v>
      </c>
      <c r="E222" s="15">
        <v>1.62</v>
      </c>
      <c r="F222" s="15">
        <v>2</v>
      </c>
      <c r="G222" s="15">
        <v>1.4349457277223769</v>
      </c>
      <c r="H222" s="15">
        <v>2</v>
      </c>
      <c r="I222" s="15">
        <v>1.2904367000000001</v>
      </c>
      <c r="J222" s="15">
        <v>2</v>
      </c>
      <c r="K222" s="15">
        <v>2.4006189582916728</v>
      </c>
      <c r="L222" s="15">
        <v>2</v>
      </c>
      <c r="M222" s="15">
        <v>1.5931863727454909</v>
      </c>
      <c r="N222" s="15">
        <v>2</v>
      </c>
      <c r="O222" s="15">
        <v>3.217149349519258</v>
      </c>
      <c r="P222" s="15">
        <v>2</v>
      </c>
      <c r="Q222" s="15">
        <v>2.006630034148392</v>
      </c>
      <c r="R222" s="15">
        <v>2</v>
      </c>
      <c r="S222" s="15">
        <v>3.0392946133290191</v>
      </c>
      <c r="T222" s="15">
        <v>2</v>
      </c>
      <c r="U222" s="15">
        <v>3.5526448228473928</v>
      </c>
      <c r="V222" s="15">
        <v>3</v>
      </c>
      <c r="W222" s="15">
        <v>4.2166743278503418</v>
      </c>
      <c r="X222" s="15">
        <v>2</v>
      </c>
      <c r="Y222" s="15">
        <v>3.7901639817960322</v>
      </c>
      <c r="Z222" s="15">
        <v>2</v>
      </c>
      <c r="AA222" s="15">
        <v>3.471288681030273</v>
      </c>
      <c r="AB222" s="15">
        <v>2</v>
      </c>
      <c r="AC222" s="15">
        <v>1.525595238095238</v>
      </c>
      <c r="AD222" s="15">
        <v>2</v>
      </c>
      <c r="AE222" s="15">
        <v>2.68825</v>
      </c>
    </row>
    <row r="223" spans="2:31" x14ac:dyDescent="0.2">
      <c r="B223" s="15">
        <v>5</v>
      </c>
      <c r="C223" s="15">
        <v>3.9493950474967958</v>
      </c>
      <c r="D223" s="15">
        <v>5</v>
      </c>
      <c r="E223" s="15">
        <v>4.4000000000000004</v>
      </c>
      <c r="F223" s="15">
        <v>5</v>
      </c>
      <c r="G223" s="15">
        <v>4.5122094822286831</v>
      </c>
      <c r="H223" s="15">
        <v>5</v>
      </c>
      <c r="I223" s="15">
        <v>4.5427074000000003</v>
      </c>
      <c r="J223" s="15">
        <v>5</v>
      </c>
      <c r="K223" s="15">
        <v>3.9493950474967958</v>
      </c>
      <c r="L223" s="15">
        <v>5</v>
      </c>
      <c r="M223" s="15">
        <v>4.4168314035583167</v>
      </c>
      <c r="N223" s="15">
        <v>5</v>
      </c>
      <c r="O223" s="15">
        <v>3.9361198672098729</v>
      </c>
      <c r="P223" s="15">
        <v>5</v>
      </c>
      <c r="Q223" s="15">
        <v>4.2759998512437294</v>
      </c>
      <c r="R223" s="15">
        <v>5</v>
      </c>
      <c r="S223" s="15">
        <v>4.2022583569293754</v>
      </c>
      <c r="T223" s="15">
        <v>5</v>
      </c>
      <c r="U223" s="15">
        <v>4.3096180079411939</v>
      </c>
      <c r="V223" s="15">
        <v>2</v>
      </c>
      <c r="W223" s="15">
        <v>2.472415685653687</v>
      </c>
      <c r="X223" s="15">
        <v>5</v>
      </c>
      <c r="Y223" s="15">
        <v>4.5080077263984899</v>
      </c>
      <c r="Z223" s="15">
        <v>5</v>
      </c>
      <c r="AA223" s="15">
        <v>4.3922219276428223</v>
      </c>
      <c r="AB223" s="15">
        <v>5</v>
      </c>
      <c r="AC223" s="15">
        <v>4.5567301587301587</v>
      </c>
      <c r="AD223" s="15">
        <v>5</v>
      </c>
      <c r="AE223" s="15">
        <v>4.4044285714285714</v>
      </c>
    </row>
    <row r="224" spans="2:31" x14ac:dyDescent="0.2">
      <c r="B224" s="15">
        <v>2</v>
      </c>
      <c r="C224" s="15">
        <v>3.2364663034126449</v>
      </c>
      <c r="D224" s="15">
        <v>2</v>
      </c>
      <c r="E224" s="15">
        <v>2.61</v>
      </c>
      <c r="F224" s="15">
        <v>2</v>
      </c>
      <c r="G224" s="15">
        <v>2.8250311982614078</v>
      </c>
      <c r="H224" s="15">
        <v>2</v>
      </c>
      <c r="I224" s="15">
        <v>2.6398556000000002</v>
      </c>
      <c r="J224" s="15">
        <v>2</v>
      </c>
      <c r="K224" s="15">
        <v>3.2364663034126449</v>
      </c>
      <c r="L224" s="15">
        <v>2</v>
      </c>
      <c r="M224" s="15">
        <v>2.8340395480225991</v>
      </c>
      <c r="N224" s="15">
        <v>2</v>
      </c>
      <c r="O224" s="15">
        <v>2.2143902333721859</v>
      </c>
      <c r="P224" s="15">
        <v>2</v>
      </c>
      <c r="Q224" s="15">
        <v>1.871254420387213</v>
      </c>
      <c r="R224" s="15">
        <v>2</v>
      </c>
      <c r="S224" s="15">
        <v>1.6672269663740831</v>
      </c>
      <c r="T224" s="15">
        <v>2</v>
      </c>
      <c r="U224" s="15">
        <v>2.651505067085874</v>
      </c>
      <c r="V224" s="15">
        <v>3</v>
      </c>
      <c r="W224" s="15">
        <v>3.8516678810119629</v>
      </c>
      <c r="X224" s="15">
        <v>2</v>
      </c>
      <c r="Y224" s="15">
        <v>2.0698596445354038</v>
      </c>
      <c r="Z224" s="15">
        <v>2</v>
      </c>
      <c r="AA224" s="15">
        <v>2.3998172283172612</v>
      </c>
      <c r="AB224" s="15">
        <v>2</v>
      </c>
      <c r="AC224" s="15">
        <v>2.1152976190476189</v>
      </c>
      <c r="AD224" s="15">
        <v>2</v>
      </c>
      <c r="AE224" s="15">
        <v>1.681</v>
      </c>
    </row>
    <row r="225" spans="2:31" x14ac:dyDescent="0.2">
      <c r="B225" s="15">
        <v>1</v>
      </c>
      <c r="C225" s="15">
        <v>-1.118435186992101</v>
      </c>
      <c r="D225" s="15">
        <v>1</v>
      </c>
      <c r="E225" s="15">
        <v>1.32</v>
      </c>
      <c r="F225" s="15">
        <v>1</v>
      </c>
      <c r="G225" s="15">
        <v>1.3270138193818679</v>
      </c>
      <c r="H225" s="15">
        <v>1</v>
      </c>
      <c r="I225" s="15">
        <v>1.2928991000000001</v>
      </c>
      <c r="J225" s="15">
        <v>1</v>
      </c>
      <c r="K225" s="15">
        <v>-1.118435186992101</v>
      </c>
      <c r="L225" s="15">
        <v>1</v>
      </c>
      <c r="M225" s="15">
        <v>1.3855670103092781</v>
      </c>
      <c r="N225" s="15">
        <v>1</v>
      </c>
      <c r="O225" s="15">
        <v>2.0363415176109489</v>
      </c>
      <c r="P225" s="15">
        <v>1</v>
      </c>
      <c r="Q225" s="15">
        <v>-0.41867540506615081</v>
      </c>
      <c r="R225" s="15">
        <v>1</v>
      </c>
      <c r="S225" s="15">
        <v>2.930316991662008</v>
      </c>
      <c r="T225" s="15">
        <v>1</v>
      </c>
      <c r="U225" s="15">
        <v>2.403912632931958</v>
      </c>
      <c r="V225" s="15">
        <v>3</v>
      </c>
      <c r="W225" s="15">
        <v>3.8440191745758061</v>
      </c>
      <c r="X225" s="15">
        <v>1</v>
      </c>
      <c r="Y225" s="15">
        <v>2.0063020753496348</v>
      </c>
      <c r="Z225" s="15">
        <v>1</v>
      </c>
      <c r="AA225" s="15">
        <v>0.61598634719848633</v>
      </c>
      <c r="AB225" s="15">
        <v>1</v>
      </c>
      <c r="AC225" s="15">
        <v>1.809666666666667</v>
      </c>
      <c r="AD225" s="15">
        <v>1</v>
      </c>
      <c r="AE225" s="15">
        <v>3.4384365079365078</v>
      </c>
    </row>
    <row r="226" spans="2:31" x14ac:dyDescent="0.2">
      <c r="B226" s="15">
        <v>4</v>
      </c>
      <c r="C226" s="15">
        <v>3.5780711169566972</v>
      </c>
      <c r="D226" s="15">
        <v>4</v>
      </c>
      <c r="E226" s="15">
        <v>3.77</v>
      </c>
      <c r="F226" s="15">
        <v>4</v>
      </c>
      <c r="G226" s="15">
        <v>4.0091688141124244</v>
      </c>
      <c r="H226" s="15">
        <v>4</v>
      </c>
      <c r="I226" s="15">
        <v>4.0517782999999996</v>
      </c>
      <c r="J226" s="15">
        <v>4</v>
      </c>
      <c r="K226" s="15">
        <v>3.5780711169566972</v>
      </c>
      <c r="L226" s="15">
        <v>4</v>
      </c>
      <c r="M226" s="15">
        <v>4.0839303991811668</v>
      </c>
      <c r="N226" s="15">
        <v>4</v>
      </c>
      <c r="O226" s="15">
        <v>3.4664314964149869</v>
      </c>
      <c r="P226" s="15">
        <v>4</v>
      </c>
      <c r="Q226" s="15">
        <v>3.2116088813095001</v>
      </c>
      <c r="R226" s="15">
        <v>4</v>
      </c>
      <c r="S226" s="15">
        <v>3.4550303155539059</v>
      </c>
      <c r="T226" s="15">
        <v>4</v>
      </c>
      <c r="U226" s="15">
        <v>3.429673271202891</v>
      </c>
      <c r="V226" s="15">
        <v>4</v>
      </c>
      <c r="W226" s="15">
        <v>3.070850133895874</v>
      </c>
      <c r="X226" s="15">
        <v>4</v>
      </c>
      <c r="Y226" s="15">
        <v>3.4311329692236772</v>
      </c>
      <c r="Z226" s="15">
        <v>4</v>
      </c>
      <c r="AA226" s="15">
        <v>3.3836393356323242</v>
      </c>
      <c r="AB226" s="15">
        <v>4</v>
      </c>
      <c r="AC226" s="15">
        <v>4.0198769841269844</v>
      </c>
      <c r="AD226" s="15">
        <v>4</v>
      </c>
      <c r="AE226" s="15">
        <v>3.186722222222222</v>
      </c>
    </row>
    <row r="227" spans="2:31" x14ac:dyDescent="0.2">
      <c r="B227" s="15">
        <v>1</v>
      </c>
      <c r="C227" s="15">
        <v>3.5560986802550878</v>
      </c>
      <c r="D227" s="15">
        <v>1</v>
      </c>
      <c r="E227" s="15">
        <v>2.98</v>
      </c>
      <c r="F227" s="15">
        <v>1</v>
      </c>
      <c r="G227" s="15">
        <v>3.1308893237610409</v>
      </c>
      <c r="H227" s="15">
        <v>1</v>
      </c>
      <c r="I227" s="15">
        <v>2.8682055000000002</v>
      </c>
      <c r="J227" s="15">
        <v>1</v>
      </c>
      <c r="K227" s="15">
        <v>3.5560986802550878</v>
      </c>
      <c r="L227" s="15">
        <v>1</v>
      </c>
      <c r="M227" s="15">
        <v>3</v>
      </c>
      <c r="N227" s="15">
        <v>1</v>
      </c>
      <c r="O227" s="15">
        <v>3.57838435050069</v>
      </c>
      <c r="P227" s="15">
        <v>1</v>
      </c>
      <c r="Q227" s="15">
        <v>3.2105008325382189</v>
      </c>
      <c r="R227" s="15">
        <v>1</v>
      </c>
      <c r="S227" s="15">
        <v>3.0390325092986141</v>
      </c>
      <c r="T227" s="15">
        <v>1</v>
      </c>
      <c r="U227" s="15">
        <v>3.3627209045574991</v>
      </c>
      <c r="V227" s="15">
        <v>4</v>
      </c>
      <c r="W227" s="15">
        <v>3.731095552444458</v>
      </c>
      <c r="X227" s="15">
        <v>1</v>
      </c>
      <c r="Y227" s="15">
        <v>3.5453784186337449</v>
      </c>
      <c r="Z227" s="15">
        <v>1</v>
      </c>
      <c r="AA227" s="15">
        <v>3.5943746566772461</v>
      </c>
      <c r="AB227" s="15">
        <v>1</v>
      </c>
      <c r="AC227" s="15">
        <v>2.904928571428572</v>
      </c>
      <c r="AD227" s="15">
        <v>1</v>
      </c>
      <c r="AE227" s="15">
        <v>3.153202380952381</v>
      </c>
    </row>
    <row r="228" spans="2:31" x14ac:dyDescent="0.2">
      <c r="B228" s="15">
        <v>5</v>
      </c>
      <c r="C228" s="15">
        <v>3.5134336157385819</v>
      </c>
      <c r="D228" s="15">
        <v>5</v>
      </c>
      <c r="E228" s="15">
        <v>3.6</v>
      </c>
      <c r="F228" s="15">
        <v>5</v>
      </c>
      <c r="G228" s="15">
        <v>3.2395089441807641</v>
      </c>
      <c r="H228" s="15">
        <v>5</v>
      </c>
      <c r="I228" s="15">
        <v>3.3514545</v>
      </c>
      <c r="J228" s="15">
        <v>5</v>
      </c>
      <c r="K228" s="15">
        <v>3.5134336157385819</v>
      </c>
      <c r="L228" s="15">
        <v>5</v>
      </c>
      <c r="M228" s="15">
        <v>3.859941844364442</v>
      </c>
      <c r="N228" s="15">
        <v>5</v>
      </c>
      <c r="O228" s="15">
        <v>4.6783029454944547</v>
      </c>
      <c r="P228" s="15">
        <v>5</v>
      </c>
      <c r="Q228" s="15">
        <v>4.802984898132177</v>
      </c>
      <c r="R228" s="15">
        <v>5</v>
      </c>
      <c r="S228" s="15">
        <v>4.6036189430962526</v>
      </c>
      <c r="T228" s="15">
        <v>5</v>
      </c>
      <c r="U228" s="15">
        <v>4.5961520237744207</v>
      </c>
      <c r="V228" s="15">
        <v>3</v>
      </c>
      <c r="W228" s="15">
        <v>2.6835873126983638</v>
      </c>
      <c r="X228" s="15">
        <v>5</v>
      </c>
      <c r="Y228" s="15">
        <v>4.5491326148556066</v>
      </c>
      <c r="Z228" s="15">
        <v>5</v>
      </c>
      <c r="AA228" s="15">
        <v>4.1464166641235352</v>
      </c>
      <c r="AB228" s="15">
        <v>5</v>
      </c>
      <c r="AC228" s="15">
        <v>4.2894523809523806</v>
      </c>
      <c r="AD228" s="15">
        <v>5</v>
      </c>
      <c r="AE228" s="15">
        <v>4.1934444444444434</v>
      </c>
    </row>
    <row r="229" spans="2:31" x14ac:dyDescent="0.2">
      <c r="B229" s="15">
        <v>2</v>
      </c>
      <c r="C229" s="15">
        <v>3.6589194189219518</v>
      </c>
      <c r="D229" s="15">
        <v>2</v>
      </c>
      <c r="E229" s="15">
        <v>3.62</v>
      </c>
      <c r="F229" s="15">
        <v>2</v>
      </c>
      <c r="G229" s="15">
        <v>3.6666745504854972</v>
      </c>
      <c r="H229" s="15">
        <v>2</v>
      </c>
      <c r="I229" s="15">
        <v>3.6463263000000001</v>
      </c>
      <c r="J229" s="15">
        <v>2</v>
      </c>
      <c r="K229" s="15">
        <v>3.6589194189219518</v>
      </c>
      <c r="L229" s="15">
        <v>2</v>
      </c>
      <c r="M229" s="15">
        <v>3.607255948611237</v>
      </c>
      <c r="N229" s="15">
        <v>2</v>
      </c>
      <c r="O229" s="15">
        <v>4.245141898222454</v>
      </c>
      <c r="P229" s="15">
        <v>2</v>
      </c>
      <c r="Q229" s="15">
        <v>3.3769344875191019</v>
      </c>
      <c r="R229" s="15">
        <v>2</v>
      </c>
      <c r="S229" s="15">
        <v>3.3357360708432102</v>
      </c>
      <c r="T229" s="15">
        <v>2</v>
      </c>
      <c r="U229" s="15">
        <v>3.909391032215507</v>
      </c>
      <c r="V229" s="15">
        <v>5</v>
      </c>
      <c r="W229" s="15">
        <v>4.5226712226867676</v>
      </c>
      <c r="X229" s="15">
        <v>2</v>
      </c>
      <c r="Y229" s="15">
        <v>4.0104532350832676</v>
      </c>
      <c r="Z229" s="15">
        <v>2</v>
      </c>
      <c r="AA229" s="15">
        <v>3.6994056701660161</v>
      </c>
      <c r="AB229" s="15">
        <v>2</v>
      </c>
      <c r="AC229" s="15">
        <v>3.343035714285715</v>
      </c>
      <c r="AD229" s="15">
        <v>2</v>
      </c>
      <c r="AE229" s="15">
        <v>3.3983614718614721</v>
      </c>
    </row>
    <row r="230" spans="2:31" x14ac:dyDescent="0.2">
      <c r="B230" s="15">
        <v>4</v>
      </c>
      <c r="C230" s="15">
        <v>4.1326182874667809</v>
      </c>
      <c r="D230" s="15">
        <v>4</v>
      </c>
      <c r="E230" s="15">
        <v>4.25</v>
      </c>
      <c r="F230" s="15">
        <v>4</v>
      </c>
      <c r="G230" s="15">
        <v>4.4082549032615717</v>
      </c>
      <c r="H230" s="15">
        <v>4</v>
      </c>
      <c r="I230" s="15">
        <v>4.4447856000000003</v>
      </c>
      <c r="J230" s="15">
        <v>4</v>
      </c>
      <c r="K230" s="15">
        <v>4.1326182874667809</v>
      </c>
      <c r="L230" s="15">
        <v>4</v>
      </c>
      <c r="M230" s="15">
        <v>4.1486227721313886</v>
      </c>
      <c r="N230" s="15">
        <v>4</v>
      </c>
      <c r="O230" s="15">
        <v>3.8788330727187419</v>
      </c>
      <c r="P230" s="15">
        <v>4</v>
      </c>
      <c r="Q230" s="15">
        <v>4.3728830990196972</v>
      </c>
      <c r="R230" s="15">
        <v>4</v>
      </c>
      <c r="S230" s="15">
        <v>4.5048172197929022</v>
      </c>
      <c r="T230" s="15">
        <v>4</v>
      </c>
      <c r="U230" s="15">
        <v>3.9252987354393869</v>
      </c>
      <c r="V230" s="15">
        <v>2</v>
      </c>
      <c r="W230" s="15">
        <v>2.1437489986419682</v>
      </c>
      <c r="X230" s="15">
        <v>4</v>
      </c>
      <c r="Y230" s="15">
        <v>4.0690578841473544</v>
      </c>
      <c r="Z230" s="15">
        <v>4</v>
      </c>
      <c r="AA230" s="15">
        <v>4.2072005271911621</v>
      </c>
      <c r="AB230" s="15">
        <v>4</v>
      </c>
      <c r="AC230" s="15">
        <v>4.4740238095238096</v>
      </c>
      <c r="AD230" s="15">
        <v>4</v>
      </c>
      <c r="AE230" s="15">
        <v>4.1774880952380951</v>
      </c>
    </row>
    <row r="231" spans="2:31" x14ac:dyDescent="0.2">
      <c r="B231" s="15">
        <v>1</v>
      </c>
      <c r="C231" s="15">
        <v>3.734440017158219</v>
      </c>
      <c r="D231" s="15">
        <v>1</v>
      </c>
      <c r="E231" s="15">
        <v>3.81</v>
      </c>
      <c r="F231" s="15">
        <v>1</v>
      </c>
      <c r="G231" s="15">
        <v>3.926587029847266</v>
      </c>
      <c r="H231" s="15">
        <v>1</v>
      </c>
      <c r="I231" s="15">
        <v>3.6418504999999999</v>
      </c>
      <c r="J231" s="15">
        <v>1</v>
      </c>
      <c r="K231" s="15">
        <v>3.734440017158219</v>
      </c>
      <c r="L231" s="15">
        <v>1</v>
      </c>
      <c r="M231" s="15">
        <v>4.1937967914438499</v>
      </c>
      <c r="N231" s="15">
        <v>1</v>
      </c>
      <c r="O231" s="15">
        <v>3.4182054567378062</v>
      </c>
      <c r="P231" s="15">
        <v>1</v>
      </c>
      <c r="Q231" s="15">
        <v>3.2556905832893919</v>
      </c>
      <c r="R231" s="15">
        <v>1</v>
      </c>
      <c r="S231" s="15">
        <v>3.072472229774255</v>
      </c>
      <c r="T231" s="15">
        <v>1</v>
      </c>
      <c r="U231" s="15">
        <v>3.6072399337407028</v>
      </c>
      <c r="V231" s="15">
        <v>3</v>
      </c>
      <c r="W231" s="15">
        <v>3.4491674900054932</v>
      </c>
      <c r="X231" s="15">
        <v>1</v>
      </c>
      <c r="Y231" s="15">
        <v>3.3268448370591388</v>
      </c>
      <c r="Z231" s="15">
        <v>1</v>
      </c>
      <c r="AA231" s="15">
        <v>3.3695344924926758</v>
      </c>
      <c r="AB231" s="15">
        <v>1</v>
      </c>
      <c r="AC231" s="15">
        <v>3.1591785714285718</v>
      </c>
      <c r="AD231" s="15">
        <v>1</v>
      </c>
      <c r="AE231" s="15">
        <v>2.7461071428571429</v>
      </c>
    </row>
    <row r="232" spans="2:31" x14ac:dyDescent="0.2">
      <c r="B232" s="15">
        <v>5</v>
      </c>
      <c r="C232" s="15">
        <v>3.994785573930169</v>
      </c>
      <c r="D232" s="15">
        <v>5</v>
      </c>
      <c r="E232" s="15">
        <v>3.91</v>
      </c>
      <c r="F232" s="15">
        <v>5</v>
      </c>
      <c r="G232" s="15">
        <v>4.172005134851811</v>
      </c>
      <c r="H232" s="15">
        <v>5</v>
      </c>
      <c r="I232" s="15">
        <v>4.0005755000000001</v>
      </c>
      <c r="J232" s="15">
        <v>5</v>
      </c>
      <c r="K232" s="15">
        <v>3.9947855739301699</v>
      </c>
      <c r="L232" s="15">
        <v>5</v>
      </c>
      <c r="M232" s="15">
        <v>3.8338108882521489</v>
      </c>
      <c r="N232" s="15">
        <v>5</v>
      </c>
      <c r="O232" s="15">
        <v>3.9513279373194021</v>
      </c>
      <c r="P232" s="15">
        <v>5</v>
      </c>
      <c r="Q232" s="15">
        <v>4.5691488169655212</v>
      </c>
      <c r="R232" s="15">
        <v>5</v>
      </c>
      <c r="S232" s="15">
        <v>4.4764271953338337</v>
      </c>
      <c r="T232" s="15">
        <v>5</v>
      </c>
      <c r="U232" s="15">
        <v>4.0602488599653119</v>
      </c>
      <c r="V232" s="15">
        <v>1</v>
      </c>
      <c r="W232" s="15">
        <v>2.6989655494689941</v>
      </c>
      <c r="X232" s="15">
        <v>5</v>
      </c>
      <c r="Y232" s="15">
        <v>4.1719383961114609</v>
      </c>
      <c r="Z232" s="15">
        <v>5</v>
      </c>
      <c r="AA232" s="15">
        <v>3.690203189849854</v>
      </c>
      <c r="AB232" s="15">
        <v>5</v>
      </c>
      <c r="AC232" s="15">
        <v>4.3708333333333336</v>
      </c>
      <c r="AD232" s="15">
        <v>5</v>
      </c>
      <c r="AE232" s="15">
        <v>4.4211666666666662</v>
      </c>
    </row>
    <row r="233" spans="2:31" x14ac:dyDescent="0.2">
      <c r="B233" s="15">
        <v>5</v>
      </c>
      <c r="C233" s="15">
        <v>3.9031637561935089</v>
      </c>
      <c r="D233" s="15">
        <v>5</v>
      </c>
      <c r="E233" s="15">
        <v>3.63</v>
      </c>
      <c r="F233" s="15">
        <v>5</v>
      </c>
      <c r="G233" s="15">
        <v>3.5694409817514239</v>
      </c>
      <c r="H233" s="15">
        <v>5</v>
      </c>
      <c r="I233" s="15">
        <v>3.7060882999999998</v>
      </c>
      <c r="J233" s="15">
        <v>5</v>
      </c>
      <c r="K233" s="15">
        <v>3.9031637561935089</v>
      </c>
      <c r="L233" s="15">
        <v>5</v>
      </c>
      <c r="M233" s="15">
        <v>3.7283003633427532</v>
      </c>
      <c r="N233" s="15">
        <v>5</v>
      </c>
      <c r="O233" s="15">
        <v>4.42728376778041</v>
      </c>
      <c r="P233" s="15">
        <v>5</v>
      </c>
      <c r="Q233" s="15">
        <v>3.990856039003293</v>
      </c>
      <c r="R233" s="15">
        <v>5</v>
      </c>
      <c r="S233" s="15">
        <v>3.883107942770835</v>
      </c>
      <c r="T233" s="15">
        <v>5</v>
      </c>
      <c r="U233" s="15">
        <v>4.1226079711508277</v>
      </c>
      <c r="V233" s="15">
        <v>4</v>
      </c>
      <c r="W233" s="15">
        <v>3.917217493057251</v>
      </c>
      <c r="X233" s="15">
        <v>5</v>
      </c>
      <c r="Y233" s="15">
        <v>4.1497422810678772</v>
      </c>
      <c r="Z233" s="15">
        <v>5</v>
      </c>
      <c r="AA233" s="15">
        <v>4.4057083129882812</v>
      </c>
      <c r="AB233" s="15">
        <v>5</v>
      </c>
      <c r="AC233" s="15">
        <v>3.808619047619048</v>
      </c>
      <c r="AD233" s="15">
        <v>5</v>
      </c>
      <c r="AE233" s="15">
        <v>3.6972936507936498</v>
      </c>
    </row>
    <row r="234" spans="2:31" x14ac:dyDescent="0.2">
      <c r="B234" s="15">
        <v>4</v>
      </c>
      <c r="C234" s="15">
        <v>3.7983291375447221</v>
      </c>
      <c r="D234" s="15">
        <v>4</v>
      </c>
      <c r="E234" s="15">
        <v>3.36</v>
      </c>
      <c r="F234" s="15">
        <v>4</v>
      </c>
      <c r="G234" s="15">
        <v>3.938675961716684</v>
      </c>
      <c r="H234" s="15">
        <v>4</v>
      </c>
      <c r="I234" s="15">
        <v>3.7152047000000001</v>
      </c>
      <c r="J234" s="15">
        <v>4</v>
      </c>
      <c r="K234" s="15">
        <v>3.7983291375447221</v>
      </c>
      <c r="L234" s="15">
        <v>4</v>
      </c>
      <c r="M234" s="15">
        <v>3.859941844364442</v>
      </c>
      <c r="N234" s="15">
        <v>4</v>
      </c>
      <c r="O234" s="15">
        <v>3.1807869032401279</v>
      </c>
      <c r="P234" s="15">
        <v>4</v>
      </c>
      <c r="Q234" s="15">
        <v>3.032530664312445</v>
      </c>
      <c r="R234" s="15">
        <v>4</v>
      </c>
      <c r="S234" s="15">
        <v>2.6992660230539438</v>
      </c>
      <c r="T234" s="15">
        <v>4</v>
      </c>
      <c r="U234" s="15">
        <v>3.755454413568736</v>
      </c>
      <c r="V234" s="15">
        <v>4</v>
      </c>
      <c r="W234" s="15">
        <v>3.0627040863037109</v>
      </c>
      <c r="X234" s="15">
        <v>4</v>
      </c>
      <c r="Y234" s="15">
        <v>3.4763863433848541</v>
      </c>
      <c r="Z234" s="15">
        <v>4</v>
      </c>
      <c r="AA234" s="15">
        <v>2.6078400611877441</v>
      </c>
      <c r="AB234" s="15">
        <v>4</v>
      </c>
      <c r="AC234" s="15">
        <v>2.85402380952381</v>
      </c>
      <c r="AD234" s="15">
        <v>4</v>
      </c>
      <c r="AE234" s="15">
        <v>3.0691071428571428</v>
      </c>
    </row>
    <row r="235" spans="2:31" x14ac:dyDescent="0.2">
      <c r="B235" s="15">
        <v>4</v>
      </c>
      <c r="C235" s="15">
        <v>3.5958128447171789</v>
      </c>
      <c r="D235" s="15">
        <v>4</v>
      </c>
      <c r="E235" s="15">
        <v>3.62</v>
      </c>
      <c r="F235" s="15">
        <v>4</v>
      </c>
      <c r="G235" s="15">
        <v>3.228972237817251</v>
      </c>
      <c r="H235" s="15">
        <v>4</v>
      </c>
      <c r="I235" s="15">
        <v>3.2977354999999999</v>
      </c>
      <c r="J235" s="15">
        <v>4</v>
      </c>
      <c r="K235" s="15">
        <v>3.5958128447171789</v>
      </c>
      <c r="L235" s="15">
        <v>4</v>
      </c>
      <c r="M235" s="15">
        <v>3</v>
      </c>
      <c r="N235" s="15">
        <v>4</v>
      </c>
      <c r="O235" s="15">
        <v>3.9700061469108481</v>
      </c>
      <c r="P235" s="15">
        <v>4</v>
      </c>
      <c r="Q235" s="15">
        <v>3.1420476496257859</v>
      </c>
      <c r="R235" s="15">
        <v>4</v>
      </c>
      <c r="S235" s="15">
        <v>3.4055808561741769</v>
      </c>
      <c r="T235" s="15">
        <v>4</v>
      </c>
      <c r="U235" s="15">
        <v>4.1348652566145576</v>
      </c>
      <c r="V235" s="15">
        <v>4</v>
      </c>
      <c r="W235" s="15">
        <v>4.4081201553344727</v>
      </c>
      <c r="X235" s="15">
        <v>4</v>
      </c>
      <c r="Y235" s="15">
        <v>4.1677758973312153</v>
      </c>
      <c r="Z235" s="15">
        <v>4</v>
      </c>
      <c r="AA235" s="15">
        <v>3.8411035537719731</v>
      </c>
      <c r="AB235" s="15">
        <v>4</v>
      </c>
      <c r="AC235" s="15">
        <v>3.4680833333333339</v>
      </c>
      <c r="AD235" s="15">
        <v>4</v>
      </c>
      <c r="AE235" s="15">
        <v>3.7555833333333331</v>
      </c>
    </row>
    <row r="236" spans="2:31" x14ac:dyDescent="0.2">
      <c r="B236" s="15">
        <v>4</v>
      </c>
      <c r="C236" s="15">
        <v>3.827579219947689</v>
      </c>
      <c r="D236" s="15">
        <v>4</v>
      </c>
      <c r="E236" s="15">
        <v>4.21</v>
      </c>
      <c r="F236" s="15">
        <v>4</v>
      </c>
      <c r="G236" s="15">
        <v>4.0866613918160848</v>
      </c>
      <c r="H236" s="15">
        <v>4</v>
      </c>
      <c r="I236" s="15">
        <v>4.0950046000000002</v>
      </c>
      <c r="J236" s="15">
        <v>4</v>
      </c>
      <c r="K236" s="15">
        <v>3.8275792199476899</v>
      </c>
      <c r="L236" s="15">
        <v>4</v>
      </c>
      <c r="M236" s="15">
        <v>4.2636709069882706</v>
      </c>
      <c r="N236" s="15">
        <v>4</v>
      </c>
      <c r="O236" s="15">
        <v>4.2211895088531497</v>
      </c>
      <c r="P236" s="15">
        <v>4</v>
      </c>
      <c r="Q236" s="15">
        <v>4.4122269797724956</v>
      </c>
      <c r="R236" s="15">
        <v>4</v>
      </c>
      <c r="S236" s="15">
        <v>4.4402271623960923</v>
      </c>
      <c r="T236" s="15">
        <v>4</v>
      </c>
      <c r="U236" s="15">
        <v>4.0286524846141303</v>
      </c>
      <c r="V236" s="15">
        <v>3</v>
      </c>
      <c r="W236" s="15">
        <v>3.5768890380859379</v>
      </c>
      <c r="X236" s="15">
        <v>4</v>
      </c>
      <c r="Y236" s="15">
        <v>4.070316676664909</v>
      </c>
      <c r="Z236" s="15">
        <v>4</v>
      </c>
      <c r="AA236" s="15">
        <v>4.0653786659240723</v>
      </c>
      <c r="AB236" s="15">
        <v>4</v>
      </c>
      <c r="AC236" s="15">
        <v>4.2165202020202024</v>
      </c>
      <c r="AD236" s="15">
        <v>4</v>
      </c>
      <c r="AE236" s="15">
        <v>4.1235634920634912</v>
      </c>
    </row>
    <row r="237" spans="2:31" x14ac:dyDescent="0.2">
      <c r="B237" s="15">
        <v>3</v>
      </c>
      <c r="C237" s="15">
        <v>3.7514266325816341</v>
      </c>
      <c r="D237" s="15">
        <v>3</v>
      </c>
      <c r="E237" s="15">
        <v>2.8</v>
      </c>
      <c r="F237" s="15">
        <v>3</v>
      </c>
      <c r="G237" s="15">
        <v>3.215378661498725</v>
      </c>
      <c r="H237" s="15">
        <v>3</v>
      </c>
      <c r="I237" s="15">
        <v>3.0546669999999998</v>
      </c>
      <c r="J237" s="15">
        <v>3</v>
      </c>
      <c r="K237" s="15">
        <v>3.7514266325816341</v>
      </c>
      <c r="L237" s="15">
        <v>3</v>
      </c>
      <c r="M237" s="15">
        <v>3.33158201984822</v>
      </c>
      <c r="N237" s="15">
        <v>3</v>
      </c>
      <c r="O237" s="15">
        <v>3.471163542786964</v>
      </c>
      <c r="P237" s="15">
        <v>3</v>
      </c>
      <c r="Q237" s="15">
        <v>3.1491077489775172</v>
      </c>
      <c r="R237" s="15">
        <v>3</v>
      </c>
      <c r="S237" s="15">
        <v>2.963424741064868</v>
      </c>
      <c r="T237" s="15">
        <v>3</v>
      </c>
      <c r="U237" s="15">
        <v>3.6205793952855929</v>
      </c>
      <c r="V237" s="15">
        <v>5</v>
      </c>
      <c r="W237" s="15">
        <v>3.9534215927124019</v>
      </c>
      <c r="X237" s="15">
        <v>3</v>
      </c>
      <c r="Y237" s="15">
        <v>3.883258452035625</v>
      </c>
      <c r="Z237" s="15">
        <v>3</v>
      </c>
      <c r="AA237" s="15">
        <v>3.308840274810791</v>
      </c>
      <c r="AB237" s="15">
        <v>3</v>
      </c>
      <c r="AC237" s="15">
        <v>2.9921547619047622</v>
      </c>
      <c r="AD237" s="15">
        <v>3</v>
      </c>
      <c r="AE237" s="15">
        <v>3.0305952380952381</v>
      </c>
    </row>
    <row r="238" spans="2:31" x14ac:dyDescent="0.2">
      <c r="B238" s="15">
        <v>1</v>
      </c>
      <c r="C238" s="15">
        <v>3.8411859785291611</v>
      </c>
      <c r="D238" s="15">
        <v>1</v>
      </c>
      <c r="E238" s="15">
        <v>3.91</v>
      </c>
      <c r="F238" s="15">
        <v>1</v>
      </c>
      <c r="G238" s="15">
        <v>4.1855635460467671</v>
      </c>
      <c r="H238" s="15">
        <v>1</v>
      </c>
      <c r="I238" s="15">
        <v>4.1752669999999998</v>
      </c>
      <c r="J238" s="15">
        <v>1</v>
      </c>
      <c r="K238" s="15">
        <v>3.8411859785291611</v>
      </c>
      <c r="L238" s="15">
        <v>1</v>
      </c>
      <c r="M238" s="15">
        <v>4.1691297208538591</v>
      </c>
      <c r="N238" s="15">
        <v>1</v>
      </c>
      <c r="O238" s="15">
        <v>3.648279998143007</v>
      </c>
      <c r="P238" s="15">
        <v>1</v>
      </c>
      <c r="Q238" s="15">
        <v>4.1735778512960824</v>
      </c>
      <c r="R238" s="15">
        <v>1</v>
      </c>
      <c r="S238" s="15">
        <v>3.8973699136191051</v>
      </c>
      <c r="T238" s="15">
        <v>1</v>
      </c>
      <c r="U238" s="15">
        <v>4.0521202672696726</v>
      </c>
      <c r="V238" s="15">
        <v>5</v>
      </c>
      <c r="W238" s="15">
        <v>3.750871896743774</v>
      </c>
      <c r="X238" s="15">
        <v>1</v>
      </c>
      <c r="Y238" s="15">
        <v>3.5238689411508921</v>
      </c>
      <c r="Z238" s="15">
        <v>1</v>
      </c>
      <c r="AA238" s="15">
        <v>2.9137837886810298</v>
      </c>
      <c r="AB238" s="15">
        <v>1</v>
      </c>
      <c r="AC238" s="15">
        <v>4.15572077922078</v>
      </c>
      <c r="AD238" s="15">
        <v>1</v>
      </c>
      <c r="AE238" s="15">
        <v>4.2476666666666674</v>
      </c>
    </row>
    <row r="239" spans="2:31" x14ac:dyDescent="0.2">
      <c r="B239" s="15">
        <v>4</v>
      </c>
      <c r="C239" s="15">
        <v>3.658786494044167</v>
      </c>
      <c r="D239" s="15">
        <v>4</v>
      </c>
      <c r="E239" s="15">
        <v>3.76</v>
      </c>
      <c r="F239" s="15">
        <v>4</v>
      </c>
      <c r="G239" s="15">
        <v>3.6288902391963722</v>
      </c>
      <c r="H239" s="15">
        <v>4</v>
      </c>
      <c r="I239" s="15">
        <v>3.4548206000000001</v>
      </c>
      <c r="J239" s="15">
        <v>4</v>
      </c>
      <c r="K239" s="15">
        <v>3.658786494044167</v>
      </c>
      <c r="L239" s="15">
        <v>4</v>
      </c>
      <c r="M239" s="15">
        <v>3.5161290322580649</v>
      </c>
      <c r="N239" s="15">
        <v>4</v>
      </c>
      <c r="O239" s="15">
        <v>4.215191195390279</v>
      </c>
      <c r="P239" s="15">
        <v>4</v>
      </c>
      <c r="Q239" s="15">
        <v>3.8970224898929748</v>
      </c>
      <c r="R239" s="15">
        <v>4</v>
      </c>
      <c r="S239" s="15">
        <v>3.846683486827684</v>
      </c>
      <c r="T239" s="15">
        <v>4</v>
      </c>
      <c r="U239" s="15">
        <v>4.0144761577295611</v>
      </c>
      <c r="V239" s="15">
        <v>2</v>
      </c>
      <c r="W239" s="15">
        <v>2.3712682723999019</v>
      </c>
      <c r="X239" s="15">
        <v>4</v>
      </c>
      <c r="Y239" s="15">
        <v>4.6199416145139898</v>
      </c>
      <c r="Z239" s="15">
        <v>4</v>
      </c>
      <c r="AA239" s="15">
        <v>4.6089663505554199</v>
      </c>
      <c r="AB239" s="15">
        <v>4</v>
      </c>
      <c r="AC239" s="15">
        <v>3.851579365079365</v>
      </c>
      <c r="AD239" s="15">
        <v>4</v>
      </c>
      <c r="AE239" s="15">
        <v>3.5371547619047612</v>
      </c>
    </row>
    <row r="240" spans="2:31" x14ac:dyDescent="0.2">
      <c r="B240" s="15">
        <v>2</v>
      </c>
      <c r="C240" s="15">
        <v>3.4436414986642441</v>
      </c>
      <c r="D240" s="15">
        <v>2</v>
      </c>
      <c r="E240" s="15">
        <v>3.87</v>
      </c>
      <c r="F240" s="15">
        <v>2</v>
      </c>
      <c r="G240" s="15">
        <v>3.749698611792101</v>
      </c>
      <c r="H240" s="15">
        <v>2</v>
      </c>
      <c r="I240" s="15">
        <v>3.787115</v>
      </c>
      <c r="J240" s="15">
        <v>2</v>
      </c>
      <c r="K240" s="15">
        <v>3.4436414986642441</v>
      </c>
      <c r="L240" s="15">
        <v>2</v>
      </c>
      <c r="M240" s="15">
        <v>4.0956156716417906</v>
      </c>
      <c r="N240" s="15">
        <v>2</v>
      </c>
      <c r="O240" s="15">
        <v>3.888662568580262</v>
      </c>
      <c r="P240" s="15">
        <v>2</v>
      </c>
      <c r="Q240" s="15">
        <v>4.1207376508278379</v>
      </c>
      <c r="R240" s="15">
        <v>2</v>
      </c>
      <c r="S240" s="15">
        <v>4.059200287407875</v>
      </c>
      <c r="T240" s="15">
        <v>2</v>
      </c>
      <c r="U240" s="15">
        <v>4.1782299386579584</v>
      </c>
      <c r="V240" s="15">
        <v>5</v>
      </c>
      <c r="W240" s="15">
        <v>4.358309268951416</v>
      </c>
      <c r="X240" s="15">
        <v>2</v>
      </c>
      <c r="Y240" s="15">
        <v>4.1146027185261396</v>
      </c>
      <c r="Z240" s="15">
        <v>2</v>
      </c>
      <c r="AA240" s="15">
        <v>4.1982645988464364</v>
      </c>
      <c r="AB240" s="15">
        <v>2</v>
      </c>
      <c r="AC240" s="15">
        <v>3.9868333333333328</v>
      </c>
      <c r="AD240" s="15">
        <v>2</v>
      </c>
      <c r="AE240" s="15">
        <v>4.3944047619047613</v>
      </c>
    </row>
    <row r="241" spans="2:31" x14ac:dyDescent="0.2">
      <c r="B241" s="15">
        <v>2</v>
      </c>
      <c r="C241" s="15">
        <v>3.3431203701355909</v>
      </c>
      <c r="D241" s="15">
        <v>2</v>
      </c>
      <c r="E241" s="15">
        <v>2.92</v>
      </c>
      <c r="F241" s="15">
        <v>2</v>
      </c>
      <c r="G241" s="15">
        <v>2.9193673967080618</v>
      </c>
      <c r="H241" s="15">
        <v>2</v>
      </c>
      <c r="I241" s="15">
        <v>2.8300106999999999</v>
      </c>
      <c r="J241" s="15">
        <v>2</v>
      </c>
      <c r="K241" s="15">
        <v>3.3431203701355909</v>
      </c>
      <c r="L241" s="15">
        <v>2</v>
      </c>
      <c r="M241" s="15">
        <v>2.8340395480225991</v>
      </c>
      <c r="N241" s="15">
        <v>2</v>
      </c>
      <c r="O241" s="15">
        <v>2.8091541016303809</v>
      </c>
      <c r="P241" s="15">
        <v>2</v>
      </c>
      <c r="Q241" s="15">
        <v>2.8232295537965708</v>
      </c>
      <c r="R241" s="15">
        <v>2</v>
      </c>
      <c r="S241" s="15">
        <v>2.6476087249255671</v>
      </c>
      <c r="T241" s="15">
        <v>2</v>
      </c>
      <c r="U241" s="15">
        <v>3.0892472179248078</v>
      </c>
      <c r="V241" s="15">
        <v>3</v>
      </c>
      <c r="W241" s="15">
        <v>3.2928838729858398</v>
      </c>
      <c r="X241" s="15">
        <v>2</v>
      </c>
      <c r="Y241" s="15">
        <v>2.661352336297599</v>
      </c>
      <c r="Z241" s="15">
        <v>2</v>
      </c>
      <c r="AA241" s="15">
        <v>2.6685831546783452</v>
      </c>
      <c r="AB241" s="15">
        <v>2</v>
      </c>
      <c r="AC241" s="15">
        <v>2.7559999999999998</v>
      </c>
      <c r="AD241" s="15">
        <v>2</v>
      </c>
      <c r="AE241" s="15">
        <v>2.1947619047619051</v>
      </c>
    </row>
    <row r="242" spans="2:31" x14ac:dyDescent="0.2">
      <c r="B242" s="15">
        <v>5</v>
      </c>
      <c r="C242" s="15">
        <v>4.0125698318717822</v>
      </c>
      <c r="D242" s="15">
        <v>5</v>
      </c>
      <c r="E242" s="15">
        <v>4.26</v>
      </c>
      <c r="F242" s="15">
        <v>5</v>
      </c>
      <c r="G242" s="15">
        <v>4.1521176828863222</v>
      </c>
      <c r="H242" s="15">
        <v>5</v>
      </c>
      <c r="I242" s="15">
        <v>4.4455070000000001</v>
      </c>
      <c r="J242" s="15">
        <v>5</v>
      </c>
      <c r="K242" s="15">
        <v>4.0125698318717822</v>
      </c>
      <c r="L242" s="15">
        <v>5</v>
      </c>
      <c r="M242" s="15">
        <v>3.7990622906898861</v>
      </c>
      <c r="N242" s="15">
        <v>5</v>
      </c>
      <c r="O242" s="15">
        <v>4.1488380740584692</v>
      </c>
      <c r="P242" s="15">
        <v>5</v>
      </c>
      <c r="Q242" s="15">
        <v>3.8458886062011279</v>
      </c>
      <c r="R242" s="15">
        <v>5</v>
      </c>
      <c r="S242" s="15">
        <v>3.9605266967566188</v>
      </c>
      <c r="T242" s="15">
        <v>5</v>
      </c>
      <c r="U242" s="15">
        <v>3.9247257412862449</v>
      </c>
      <c r="V242" s="15">
        <v>3</v>
      </c>
      <c r="W242" s="15">
        <v>2.6826848983764648</v>
      </c>
      <c r="X242" s="15">
        <v>5</v>
      </c>
      <c r="Y242" s="15">
        <v>4.0649205784437852</v>
      </c>
      <c r="Z242" s="15">
        <v>5</v>
      </c>
      <c r="AA242" s="15">
        <v>3.9990842342376709</v>
      </c>
      <c r="AB242" s="15">
        <v>5</v>
      </c>
      <c r="AC242" s="15">
        <v>3.967428571428572</v>
      </c>
      <c r="AD242" s="15">
        <v>5</v>
      </c>
      <c r="AE242" s="15">
        <v>4.0814285714285718</v>
      </c>
    </row>
    <row r="243" spans="2:31" x14ac:dyDescent="0.2">
      <c r="B243" s="15">
        <v>1</v>
      </c>
      <c r="C243" s="15">
        <v>1.7093897571401091</v>
      </c>
      <c r="D243" s="15">
        <v>1</v>
      </c>
      <c r="E243" s="15">
        <v>2.12</v>
      </c>
      <c r="F243" s="15">
        <v>1</v>
      </c>
      <c r="G243" s="15">
        <v>2.35740633034884</v>
      </c>
      <c r="H243" s="15">
        <v>1</v>
      </c>
      <c r="I243" s="15">
        <v>2.4301192999999999</v>
      </c>
      <c r="J243" s="15">
        <v>1</v>
      </c>
      <c r="K243" s="15">
        <v>1.7093897571401091</v>
      </c>
      <c r="L243" s="15">
        <v>1</v>
      </c>
      <c r="M243" s="15">
        <v>2.0183066361556059</v>
      </c>
      <c r="N243" s="15">
        <v>1</v>
      </c>
      <c r="O243" s="15">
        <v>3.4015907608264921</v>
      </c>
      <c r="P243" s="15">
        <v>1</v>
      </c>
      <c r="Q243" s="15">
        <v>2.179023447374882</v>
      </c>
      <c r="R243" s="15">
        <v>1</v>
      </c>
      <c r="S243" s="15">
        <v>2.8252108495355288</v>
      </c>
      <c r="T243" s="15">
        <v>1</v>
      </c>
      <c r="U243" s="15">
        <v>3.259300296004024</v>
      </c>
      <c r="V243" s="15">
        <v>5</v>
      </c>
      <c r="W243" s="15">
        <v>3.5482528209686279</v>
      </c>
      <c r="X243" s="15">
        <v>1</v>
      </c>
      <c r="Y243" s="15">
        <v>2.3525626501000829</v>
      </c>
      <c r="Z243" s="15">
        <v>1</v>
      </c>
      <c r="AA243" s="15">
        <v>2.744519710540771</v>
      </c>
      <c r="AB243" s="15">
        <v>1</v>
      </c>
      <c r="AC243" s="15">
        <v>2.2015952380952379</v>
      </c>
      <c r="AD243" s="15">
        <v>1</v>
      </c>
      <c r="AE243" s="15">
        <v>2.6230476190476191</v>
      </c>
    </row>
    <row r="244" spans="2:31" x14ac:dyDescent="0.2">
      <c r="B244" s="15">
        <v>3</v>
      </c>
      <c r="C244" s="15">
        <v>3.4579626928381768</v>
      </c>
      <c r="D244" s="15">
        <v>3</v>
      </c>
      <c r="E244" s="15">
        <v>3.59</v>
      </c>
      <c r="F244" s="15">
        <v>3</v>
      </c>
      <c r="G244" s="15">
        <v>3.5070946816488262</v>
      </c>
      <c r="H244" s="15">
        <v>3</v>
      </c>
      <c r="I244" s="15">
        <v>3.5994842</v>
      </c>
      <c r="J244" s="15">
        <v>3</v>
      </c>
      <c r="K244" s="15">
        <v>3.4579626928381768</v>
      </c>
      <c r="L244" s="15">
        <v>3</v>
      </c>
      <c r="M244" s="15">
        <v>3.5721343873517788</v>
      </c>
      <c r="N244" s="15">
        <v>3</v>
      </c>
      <c r="O244" s="15">
        <v>2.9386102302558448</v>
      </c>
      <c r="P244" s="15">
        <v>3</v>
      </c>
      <c r="Q244" s="15">
        <v>2.8962249910757771</v>
      </c>
      <c r="R244" s="15">
        <v>3</v>
      </c>
      <c r="S244" s="15">
        <v>2.8739876092718029</v>
      </c>
      <c r="T244" s="15">
        <v>3</v>
      </c>
      <c r="U244" s="15">
        <v>3.680871874587432</v>
      </c>
      <c r="V244" s="15">
        <v>3</v>
      </c>
      <c r="W244" s="15">
        <v>3.8402113914489751</v>
      </c>
      <c r="X244" s="15">
        <v>3</v>
      </c>
      <c r="Y244" s="15">
        <v>3.81230404989557</v>
      </c>
      <c r="Z244" s="15">
        <v>3</v>
      </c>
      <c r="AA244" s="15">
        <v>3.3916478157043461</v>
      </c>
      <c r="AB244" s="15">
        <v>3</v>
      </c>
      <c r="AC244" s="15">
        <v>3.375166666666666</v>
      </c>
      <c r="AD244" s="15">
        <v>3</v>
      </c>
      <c r="AE244" s="15">
        <v>3.1953095238095242</v>
      </c>
    </row>
    <row r="245" spans="2:31" x14ac:dyDescent="0.2">
      <c r="B245" s="15">
        <v>4</v>
      </c>
      <c r="C245" s="15">
        <v>3.1984080443799279</v>
      </c>
      <c r="D245" s="15">
        <v>4</v>
      </c>
      <c r="E245" s="15">
        <v>3.77</v>
      </c>
      <c r="F245" s="15">
        <v>4</v>
      </c>
      <c r="G245" s="15">
        <v>3.5654156975725222</v>
      </c>
      <c r="H245" s="15">
        <v>4</v>
      </c>
      <c r="I245" s="15">
        <v>3.6084228</v>
      </c>
      <c r="J245" s="15">
        <v>4</v>
      </c>
      <c r="K245" s="15">
        <v>3.1984080443799279</v>
      </c>
      <c r="L245" s="15">
        <v>4</v>
      </c>
      <c r="M245" s="15">
        <v>3.8529062870699882</v>
      </c>
      <c r="N245" s="15">
        <v>4</v>
      </c>
      <c r="O245" s="15">
        <v>2.6923471305608748</v>
      </c>
      <c r="P245" s="15">
        <v>4</v>
      </c>
      <c r="Q245" s="15">
        <v>3.2462144570796938</v>
      </c>
      <c r="R245" s="15">
        <v>4</v>
      </c>
      <c r="S245" s="15">
        <v>3.1457709009073072</v>
      </c>
      <c r="T245" s="15">
        <v>4</v>
      </c>
      <c r="U245" s="15">
        <v>2.9730487051751782</v>
      </c>
      <c r="V245" s="15">
        <v>5</v>
      </c>
      <c r="W245" s="15">
        <v>4.1751675605773926</v>
      </c>
      <c r="X245" s="15">
        <v>4</v>
      </c>
      <c r="Y245" s="15">
        <v>3.1784321492702539</v>
      </c>
      <c r="Z245" s="15">
        <v>4</v>
      </c>
      <c r="AA245" s="15">
        <v>2.8977775573730469</v>
      </c>
      <c r="AB245" s="15">
        <v>4</v>
      </c>
      <c r="AC245" s="15">
        <v>3.7686944444444448</v>
      </c>
      <c r="AD245" s="15">
        <v>4</v>
      </c>
      <c r="AE245" s="15">
        <v>3.6311111111111112</v>
      </c>
    </row>
    <row r="246" spans="2:31" x14ac:dyDescent="0.2">
      <c r="B246" s="15">
        <v>4</v>
      </c>
      <c r="C246" s="15">
        <v>3.806334503764524</v>
      </c>
      <c r="D246" s="15">
        <v>4</v>
      </c>
      <c r="E246" s="15">
        <v>3.83</v>
      </c>
      <c r="F246" s="15">
        <v>4</v>
      </c>
      <c r="G246" s="15">
        <v>4.0807438336182997</v>
      </c>
      <c r="H246" s="15">
        <v>4</v>
      </c>
      <c r="I246" s="15">
        <v>4.0399094</v>
      </c>
      <c r="J246" s="15">
        <v>4</v>
      </c>
      <c r="K246" s="15">
        <v>3.806334503764524</v>
      </c>
      <c r="L246" s="15">
        <v>4</v>
      </c>
      <c r="M246" s="15">
        <v>3.7283003633427532</v>
      </c>
      <c r="N246" s="15">
        <v>4</v>
      </c>
      <c r="O246" s="15">
        <v>3.4653859617752509</v>
      </c>
      <c r="P246" s="15">
        <v>4</v>
      </c>
      <c r="Q246" s="15">
        <v>3.5688460905614612</v>
      </c>
      <c r="R246" s="15">
        <v>4</v>
      </c>
      <c r="S246" s="15">
        <v>3.64797272073822</v>
      </c>
      <c r="T246" s="15">
        <v>4</v>
      </c>
      <c r="U246" s="15">
        <v>3.595729316471838</v>
      </c>
      <c r="V246" s="15">
        <v>3</v>
      </c>
      <c r="W246" s="15">
        <v>3.246038436889648</v>
      </c>
      <c r="X246" s="15">
        <v>4</v>
      </c>
      <c r="Y246" s="15">
        <v>3.2403233226554589</v>
      </c>
      <c r="Z246" s="15">
        <v>4</v>
      </c>
      <c r="AA246" s="15">
        <v>3.4360685348510742</v>
      </c>
      <c r="AB246" s="15">
        <v>4</v>
      </c>
      <c r="AC246" s="15">
        <v>4.1611111111111114</v>
      </c>
      <c r="AD246" s="15">
        <v>4</v>
      </c>
      <c r="AE246" s="15">
        <v>4.2167142857142874</v>
      </c>
    </row>
    <row r="247" spans="2:31" x14ac:dyDescent="0.2">
      <c r="B247" s="15">
        <v>5</v>
      </c>
      <c r="C247" s="15">
        <v>4.9729741274186674</v>
      </c>
      <c r="D247" s="15">
        <v>5</v>
      </c>
      <c r="E247" s="15">
        <v>4.71</v>
      </c>
      <c r="F247" s="15">
        <v>5</v>
      </c>
      <c r="G247" s="15">
        <v>4.6854350451408902</v>
      </c>
      <c r="H247" s="15">
        <v>5</v>
      </c>
      <c r="I247" s="15">
        <v>4.6329136000000002</v>
      </c>
      <c r="J247" s="15">
        <v>5</v>
      </c>
      <c r="K247" s="15">
        <v>4.9729741274186674</v>
      </c>
      <c r="L247" s="15">
        <v>5</v>
      </c>
      <c r="M247" s="15">
        <v>4.6177241740954376</v>
      </c>
      <c r="N247" s="15">
        <v>5</v>
      </c>
      <c r="O247" s="15">
        <v>2.928619650597037</v>
      </c>
      <c r="P247" s="15">
        <v>5</v>
      </c>
      <c r="Q247" s="15">
        <v>5.1053793926589686</v>
      </c>
      <c r="R247" s="15">
        <v>5</v>
      </c>
      <c r="S247" s="15">
        <v>3.6918109249673021</v>
      </c>
      <c r="T247" s="15">
        <v>5</v>
      </c>
      <c r="U247" s="15">
        <v>3.2256383616982669</v>
      </c>
      <c r="V247" s="15">
        <v>1</v>
      </c>
      <c r="W247" s="15">
        <v>2.290339469909668</v>
      </c>
      <c r="X247" s="15">
        <v>5</v>
      </c>
      <c r="Y247" s="15">
        <v>3.6961667201160489</v>
      </c>
      <c r="Z247" s="15">
        <v>5</v>
      </c>
      <c r="AA247" s="15">
        <v>3.482380628585815</v>
      </c>
      <c r="AB247" s="15">
        <v>5</v>
      </c>
      <c r="AC247" s="15">
        <v>4.5250000000000004</v>
      </c>
      <c r="AD247" s="15">
        <v>5</v>
      </c>
      <c r="AE247" s="15">
        <v>4.3456904761904758</v>
      </c>
    </row>
    <row r="248" spans="2:31" x14ac:dyDescent="0.2">
      <c r="B248" s="15">
        <v>1</v>
      </c>
      <c r="C248" s="15">
        <v>2.8409946756383779</v>
      </c>
      <c r="D248" s="15">
        <v>1</v>
      </c>
      <c r="E248" s="15">
        <v>2.73</v>
      </c>
      <c r="F248" s="15">
        <v>1</v>
      </c>
      <c r="G248" s="15">
        <v>2.5824372396368749</v>
      </c>
      <c r="H248" s="15">
        <v>1</v>
      </c>
      <c r="I248" s="15">
        <v>2.8013029999999999</v>
      </c>
      <c r="J248" s="15">
        <v>1</v>
      </c>
      <c r="K248" s="15">
        <v>2.8409946756383779</v>
      </c>
      <c r="L248" s="15">
        <v>1</v>
      </c>
      <c r="M248" s="15">
        <v>2.6521084337349401</v>
      </c>
      <c r="N248" s="15">
        <v>1</v>
      </c>
      <c r="O248" s="15">
        <v>3.2364308795945371</v>
      </c>
      <c r="P248" s="15">
        <v>1</v>
      </c>
      <c r="Q248" s="15">
        <v>2.6995298043891598</v>
      </c>
      <c r="R248" s="15">
        <v>1</v>
      </c>
      <c r="S248" s="15">
        <v>2.342080346605806</v>
      </c>
      <c r="T248" s="15">
        <v>1</v>
      </c>
      <c r="U248" s="15">
        <v>3.542773297256721</v>
      </c>
      <c r="V248" s="15">
        <v>3</v>
      </c>
      <c r="W248" s="15">
        <v>3.355971097946167</v>
      </c>
      <c r="X248" s="15">
        <v>1</v>
      </c>
      <c r="Y248" s="15">
        <v>3.6414012347217941</v>
      </c>
      <c r="Z248" s="15">
        <v>1</v>
      </c>
      <c r="AA248" s="15">
        <v>3.6402747631072998</v>
      </c>
      <c r="AB248" s="15">
        <v>1</v>
      </c>
      <c r="AC248" s="15">
        <v>2.6505476190476189</v>
      </c>
      <c r="AD248" s="15">
        <v>1</v>
      </c>
      <c r="AE248" s="15">
        <v>2.4655</v>
      </c>
    </row>
    <row r="249" spans="2:31" x14ac:dyDescent="0.2">
      <c r="B249" s="15">
        <v>2</v>
      </c>
      <c r="C249" s="15">
        <v>3.7548710805508749</v>
      </c>
      <c r="D249" s="15">
        <v>2</v>
      </c>
      <c r="E249" s="15">
        <v>3.51</v>
      </c>
      <c r="F249" s="15">
        <v>2</v>
      </c>
      <c r="G249" s="15">
        <v>3.716152166497773</v>
      </c>
      <c r="H249" s="15">
        <v>2</v>
      </c>
      <c r="I249" s="15">
        <v>3.5841590999999999</v>
      </c>
      <c r="J249" s="15">
        <v>2</v>
      </c>
      <c r="K249" s="15">
        <v>3.7548710805508749</v>
      </c>
      <c r="L249" s="15">
        <v>2</v>
      </c>
      <c r="M249" s="15">
        <v>3.3430637386181039</v>
      </c>
      <c r="N249" s="15">
        <v>2</v>
      </c>
      <c r="O249" s="15">
        <v>3.764258939073347</v>
      </c>
      <c r="P249" s="15">
        <v>2</v>
      </c>
      <c r="Q249" s="15">
        <v>3.1540904390127942</v>
      </c>
      <c r="R249" s="15">
        <v>2</v>
      </c>
      <c r="S249" s="15">
        <v>3.254843968755603</v>
      </c>
      <c r="T249" s="15">
        <v>2</v>
      </c>
      <c r="U249" s="15">
        <v>3.8453024180664239</v>
      </c>
      <c r="V249" s="15">
        <v>3</v>
      </c>
      <c r="W249" s="15">
        <v>2.9144704341888432</v>
      </c>
      <c r="X249" s="15">
        <v>2</v>
      </c>
      <c r="Y249" s="15">
        <v>3.654898195370091</v>
      </c>
      <c r="Z249" s="15">
        <v>2</v>
      </c>
      <c r="AA249" s="15">
        <v>3.612674474716187</v>
      </c>
      <c r="AB249" s="15">
        <v>2</v>
      </c>
      <c r="AC249" s="15">
        <v>3.2391428571428582</v>
      </c>
      <c r="AD249" s="15">
        <v>2</v>
      </c>
      <c r="AE249" s="15">
        <v>3.3824761904761909</v>
      </c>
    </row>
    <row r="250" spans="2:31" x14ac:dyDescent="0.2">
      <c r="B250" s="15">
        <v>3</v>
      </c>
      <c r="C250" s="15">
        <v>2.122894756791172</v>
      </c>
      <c r="D250" s="15">
        <v>3</v>
      </c>
      <c r="E250" s="15">
        <v>1.89</v>
      </c>
      <c r="F250" s="15">
        <v>3</v>
      </c>
      <c r="G250" s="15">
        <v>2.2115975409057529</v>
      </c>
      <c r="H250" s="15">
        <v>3</v>
      </c>
      <c r="I250" s="15">
        <v>2.1010222000000001</v>
      </c>
      <c r="J250" s="15">
        <v>3</v>
      </c>
      <c r="K250" s="15">
        <v>2.122894756791172</v>
      </c>
      <c r="L250" s="15">
        <v>3</v>
      </c>
      <c r="M250" s="15">
        <v>2.0060422960725082</v>
      </c>
      <c r="N250" s="15">
        <v>3</v>
      </c>
      <c r="O250" s="15">
        <v>3.606798999025735</v>
      </c>
      <c r="P250" s="15">
        <v>3</v>
      </c>
      <c r="Q250" s="15">
        <v>2.482336985442203</v>
      </c>
      <c r="R250" s="15">
        <v>3</v>
      </c>
      <c r="S250" s="15">
        <v>2.9835865453284862</v>
      </c>
      <c r="T250" s="15">
        <v>3</v>
      </c>
      <c r="U250" s="15">
        <v>3.066637266062632</v>
      </c>
      <c r="V250" s="15">
        <v>4</v>
      </c>
      <c r="W250" s="15">
        <v>3.300032377243042</v>
      </c>
      <c r="X250" s="15">
        <v>3</v>
      </c>
      <c r="Y250" s="15">
        <v>2.3299935649524821</v>
      </c>
      <c r="Z250" s="15">
        <v>3</v>
      </c>
      <c r="AA250" s="15">
        <v>1.976982951164246</v>
      </c>
      <c r="AB250" s="15">
        <v>3</v>
      </c>
      <c r="AC250" s="15">
        <v>2.0443055555555549</v>
      </c>
      <c r="AD250" s="15">
        <v>3</v>
      </c>
      <c r="AE250" s="15">
        <v>1.734142857142857</v>
      </c>
    </row>
    <row r="251" spans="2:31" x14ac:dyDescent="0.2">
      <c r="B251" s="15">
        <v>2</v>
      </c>
      <c r="C251" s="15">
        <v>3.8440673275805559</v>
      </c>
      <c r="D251" s="15">
        <v>2</v>
      </c>
      <c r="E251" s="15">
        <v>3.03</v>
      </c>
      <c r="F251" s="15">
        <v>2</v>
      </c>
      <c r="G251" s="15">
        <v>3.73953188531768</v>
      </c>
      <c r="H251" s="15">
        <v>2</v>
      </c>
      <c r="I251" s="15">
        <v>3.5055350000000001</v>
      </c>
      <c r="J251" s="15">
        <v>2</v>
      </c>
      <c r="K251" s="15">
        <v>3.8440673275805559</v>
      </c>
      <c r="L251" s="15">
        <v>2</v>
      </c>
      <c r="M251" s="15">
        <v>3.466986351899668</v>
      </c>
      <c r="N251" s="15">
        <v>2</v>
      </c>
      <c r="O251" s="15">
        <v>3.511115011204708</v>
      </c>
      <c r="P251" s="15">
        <v>2</v>
      </c>
      <c r="Q251" s="15">
        <v>2.9340847160786709</v>
      </c>
      <c r="R251" s="15">
        <v>2</v>
      </c>
      <c r="S251" s="15">
        <v>3.292745160106739</v>
      </c>
      <c r="T251" s="15">
        <v>2</v>
      </c>
      <c r="U251" s="15">
        <v>3.8036152579108098</v>
      </c>
      <c r="V251" s="15">
        <v>4</v>
      </c>
      <c r="W251" s="15">
        <v>3.428216695785522</v>
      </c>
      <c r="X251" s="15">
        <v>2</v>
      </c>
      <c r="Y251" s="15">
        <v>3.711664018825771</v>
      </c>
      <c r="Z251" s="15">
        <v>2</v>
      </c>
      <c r="AA251" s="15">
        <v>3.9860718250274658</v>
      </c>
      <c r="AB251" s="15">
        <v>2</v>
      </c>
      <c r="AC251" s="15">
        <v>3.4569285714285711</v>
      </c>
      <c r="AD251" s="15">
        <v>2</v>
      </c>
      <c r="AE251" s="15">
        <v>3.2040000000000002</v>
      </c>
    </row>
    <row r="252" spans="2:31" x14ac:dyDescent="0.2">
      <c r="B252" s="15">
        <v>4</v>
      </c>
      <c r="C252" s="15">
        <v>4.1449633382564643</v>
      </c>
      <c r="D252" s="15">
        <v>4</v>
      </c>
      <c r="E252" s="15">
        <v>4.17</v>
      </c>
      <c r="F252" s="15">
        <v>4</v>
      </c>
      <c r="G252" s="15">
        <v>4.0738493245099514</v>
      </c>
      <c r="H252" s="15">
        <v>4</v>
      </c>
      <c r="I252" s="15">
        <v>3.9781718000000001</v>
      </c>
      <c r="J252" s="15">
        <v>4</v>
      </c>
      <c r="K252" s="15">
        <v>4.1449633382564643</v>
      </c>
      <c r="L252" s="15">
        <v>4</v>
      </c>
      <c r="M252" s="15">
        <v>4.0839303991811668</v>
      </c>
      <c r="N252" s="15">
        <v>4</v>
      </c>
      <c r="O252" s="15">
        <v>3.8184561952407989</v>
      </c>
      <c r="P252" s="15">
        <v>4</v>
      </c>
      <c r="Q252" s="15">
        <v>4.2846941285526032</v>
      </c>
      <c r="R252" s="15">
        <v>4</v>
      </c>
      <c r="S252" s="15">
        <v>4.5124541294886873</v>
      </c>
      <c r="T252" s="15">
        <v>4</v>
      </c>
      <c r="U252" s="15">
        <v>3.9125278596021502</v>
      </c>
      <c r="V252" s="15">
        <v>5</v>
      </c>
      <c r="W252" s="15">
        <v>3.0880095958709721</v>
      </c>
      <c r="X252" s="15">
        <v>4</v>
      </c>
      <c r="Y252" s="15">
        <v>3.7515577387644261</v>
      </c>
      <c r="Z252" s="15">
        <v>4</v>
      </c>
      <c r="AA252" s="15">
        <v>3.454098224639893</v>
      </c>
      <c r="AB252" s="15">
        <v>4</v>
      </c>
      <c r="AC252" s="15">
        <v>4.3310476190476184</v>
      </c>
      <c r="AD252" s="15">
        <v>4</v>
      </c>
      <c r="AE252" s="15">
        <v>4.1984999999999992</v>
      </c>
    </row>
    <row r="253" spans="2:31" x14ac:dyDescent="0.2">
      <c r="B253" s="15">
        <v>4</v>
      </c>
      <c r="C253" s="15">
        <v>3.390343817564728</v>
      </c>
      <c r="D253" s="15">
        <v>4</v>
      </c>
      <c r="E253" s="15">
        <v>3.67</v>
      </c>
      <c r="F253" s="15">
        <v>4</v>
      </c>
      <c r="G253" s="15">
        <v>3.0412426210536911</v>
      </c>
      <c r="H253" s="15">
        <v>4</v>
      </c>
      <c r="I253" s="15">
        <v>2.9668450000000002</v>
      </c>
      <c r="J253" s="15">
        <v>4</v>
      </c>
      <c r="K253" s="15">
        <v>3.390343817564728</v>
      </c>
      <c r="L253" s="15">
        <v>4</v>
      </c>
      <c r="M253" s="15">
        <v>3.607255948611237</v>
      </c>
      <c r="N253" s="15">
        <v>4</v>
      </c>
      <c r="O253" s="15">
        <v>3.4174017982398661</v>
      </c>
      <c r="P253" s="15">
        <v>4</v>
      </c>
      <c r="Q253" s="15">
        <v>3.5932680886214978</v>
      </c>
      <c r="R253" s="15">
        <v>4</v>
      </c>
      <c r="S253" s="15">
        <v>3.4939720289859242</v>
      </c>
      <c r="T253" s="15">
        <v>4</v>
      </c>
      <c r="U253" s="15">
        <v>3.9570149058958721</v>
      </c>
      <c r="V253" s="15">
        <v>5</v>
      </c>
      <c r="W253" s="15">
        <v>3.9642045497894292</v>
      </c>
      <c r="X253" s="15">
        <v>4</v>
      </c>
      <c r="Y253" s="15">
        <v>3.4590166369687809</v>
      </c>
      <c r="Z253" s="15">
        <v>4</v>
      </c>
      <c r="AA253" s="15">
        <v>3.3929791450500488</v>
      </c>
      <c r="AB253" s="15">
        <v>4</v>
      </c>
      <c r="AC253" s="15">
        <v>3.9289166666666668</v>
      </c>
      <c r="AD253" s="15">
        <v>4</v>
      </c>
      <c r="AE253" s="15">
        <v>3.7559126984126978</v>
      </c>
    </row>
    <row r="254" spans="2:31" x14ac:dyDescent="0.2">
      <c r="B254" s="15">
        <v>5</v>
      </c>
      <c r="C254" s="15">
        <v>3.8329955403473259</v>
      </c>
      <c r="D254" s="15">
        <v>5</v>
      </c>
      <c r="E254" s="15">
        <v>4.18</v>
      </c>
      <c r="F254" s="15">
        <v>5</v>
      </c>
      <c r="G254" s="15">
        <v>4.4471405457732063</v>
      </c>
      <c r="H254" s="15">
        <v>5</v>
      </c>
      <c r="I254" s="15">
        <v>4.4510736</v>
      </c>
      <c r="J254" s="15">
        <v>5</v>
      </c>
      <c r="K254" s="15">
        <v>3.8329955403473259</v>
      </c>
      <c r="L254" s="15">
        <v>5</v>
      </c>
      <c r="M254" s="15">
        <v>4.1691297208538591</v>
      </c>
      <c r="N254" s="15">
        <v>5</v>
      </c>
      <c r="O254" s="15">
        <v>4.2449471746188996</v>
      </c>
      <c r="P254" s="15">
        <v>5</v>
      </c>
      <c r="Q254" s="15">
        <v>4.0827451880292864</v>
      </c>
      <c r="R254" s="15">
        <v>5</v>
      </c>
      <c r="S254" s="15">
        <v>4.3815963766707142</v>
      </c>
      <c r="T254" s="15">
        <v>5</v>
      </c>
      <c r="U254" s="15">
        <v>4.563900925666581</v>
      </c>
      <c r="V254" s="15">
        <v>3</v>
      </c>
      <c r="W254" s="15">
        <v>3.5188004970550542</v>
      </c>
      <c r="X254" s="15">
        <v>5</v>
      </c>
      <c r="Y254" s="15">
        <v>4.3366114110388434</v>
      </c>
      <c r="Z254" s="15">
        <v>5</v>
      </c>
      <c r="AA254" s="15">
        <v>4.2648611068725586</v>
      </c>
      <c r="AB254" s="15">
        <v>5</v>
      </c>
      <c r="AC254" s="15">
        <v>4.2805</v>
      </c>
      <c r="AD254" s="15">
        <v>5</v>
      </c>
      <c r="AE254" s="15">
        <v>4.202145743145743</v>
      </c>
    </row>
    <row r="255" spans="2:31" x14ac:dyDescent="0.2">
      <c r="B255" s="15">
        <v>3</v>
      </c>
      <c r="C255" s="15">
        <v>3.7505112811754211</v>
      </c>
      <c r="D255" s="15">
        <v>3</v>
      </c>
      <c r="E255" s="15">
        <v>3.78</v>
      </c>
      <c r="F255" s="15">
        <v>3</v>
      </c>
      <c r="G255" s="15">
        <v>3.8502965592677341</v>
      </c>
      <c r="H255" s="15">
        <v>3</v>
      </c>
      <c r="I255" s="15">
        <v>3.7539872999999999</v>
      </c>
      <c r="J255" s="15">
        <v>3</v>
      </c>
      <c r="K255" s="15">
        <v>3.7505112811754211</v>
      </c>
      <c r="L255" s="15">
        <v>3</v>
      </c>
      <c r="M255" s="15">
        <v>3.859941844364442</v>
      </c>
      <c r="N255" s="15">
        <v>3</v>
      </c>
      <c r="O255" s="15">
        <v>4.3729573912118349</v>
      </c>
      <c r="P255" s="15">
        <v>3</v>
      </c>
      <c r="Q255" s="15">
        <v>3.462765030841366</v>
      </c>
      <c r="R255" s="15">
        <v>3</v>
      </c>
      <c r="S255" s="15">
        <v>3.7901870184658368</v>
      </c>
      <c r="T255" s="15">
        <v>3</v>
      </c>
      <c r="U255" s="15">
        <v>4.2073860770316989</v>
      </c>
      <c r="V255" s="15">
        <v>3</v>
      </c>
      <c r="W255" s="15">
        <v>2.3753142356872559</v>
      </c>
      <c r="X255" s="15">
        <v>3</v>
      </c>
      <c r="Y255" s="15">
        <v>4.0152752506594744</v>
      </c>
      <c r="Z255" s="15">
        <v>3</v>
      </c>
      <c r="AA255" s="15">
        <v>3.7873010635375981</v>
      </c>
      <c r="AB255" s="15">
        <v>3</v>
      </c>
      <c r="AC255" s="15">
        <v>3.7220714285714291</v>
      </c>
      <c r="AD255" s="15">
        <v>3</v>
      </c>
      <c r="AE255" s="15">
        <v>3.7992857142857139</v>
      </c>
    </row>
    <row r="256" spans="2:31" x14ac:dyDescent="0.2">
      <c r="B256" s="15">
        <v>4</v>
      </c>
      <c r="C256" s="15">
        <v>3.5505285806363882</v>
      </c>
      <c r="D256" s="15">
        <v>4</v>
      </c>
      <c r="E256" s="15">
        <v>2.93</v>
      </c>
      <c r="F256" s="15">
        <v>4</v>
      </c>
      <c r="G256" s="15">
        <v>2.8410344016627378</v>
      </c>
      <c r="H256" s="15">
        <v>4</v>
      </c>
      <c r="I256" s="15">
        <v>2.7997565</v>
      </c>
      <c r="J256" s="15">
        <v>4</v>
      </c>
      <c r="K256" s="15">
        <v>3.5505285806363882</v>
      </c>
      <c r="L256" s="15">
        <v>4</v>
      </c>
      <c r="M256" s="15">
        <v>2.5587188612099649</v>
      </c>
      <c r="N256" s="15">
        <v>4</v>
      </c>
      <c r="O256" s="15">
        <v>4.1998216031925217</v>
      </c>
      <c r="P256" s="15">
        <v>4</v>
      </c>
      <c r="Q256" s="15">
        <v>3.8594522673520779</v>
      </c>
      <c r="R256" s="15">
        <v>4</v>
      </c>
      <c r="S256" s="15">
        <v>4.0044526135018508</v>
      </c>
      <c r="T256" s="15">
        <v>4</v>
      </c>
      <c r="U256" s="15">
        <v>4.5111994510521409</v>
      </c>
      <c r="V256" s="15">
        <v>5</v>
      </c>
      <c r="W256" s="15">
        <v>4.2201099395751953</v>
      </c>
      <c r="X256" s="15">
        <v>4</v>
      </c>
      <c r="Y256" s="15">
        <v>4.160911558749909</v>
      </c>
      <c r="Z256" s="15">
        <v>4</v>
      </c>
      <c r="AA256" s="15">
        <v>3.983522891998291</v>
      </c>
      <c r="AB256" s="15">
        <v>4</v>
      </c>
      <c r="AC256" s="15">
        <v>3.837619047619047</v>
      </c>
      <c r="AD256" s="15">
        <v>4</v>
      </c>
      <c r="AE256" s="15">
        <v>4.0530238095238103</v>
      </c>
    </row>
    <row r="257" spans="2:31" x14ac:dyDescent="0.2">
      <c r="B257" s="15">
        <v>4</v>
      </c>
      <c r="C257" s="15">
        <v>3.7364282755210869</v>
      </c>
      <c r="D257" s="15">
        <v>4</v>
      </c>
      <c r="E257" s="15">
        <v>3.78</v>
      </c>
      <c r="F257" s="15">
        <v>4</v>
      </c>
      <c r="G257" s="15">
        <v>3.7710261578611561</v>
      </c>
      <c r="H257" s="15">
        <v>4</v>
      </c>
      <c r="I257" s="15">
        <v>3.7106626</v>
      </c>
      <c r="J257" s="15">
        <v>4</v>
      </c>
      <c r="K257" s="15">
        <v>3.736428275521086</v>
      </c>
      <c r="L257" s="15">
        <v>4</v>
      </c>
      <c r="M257" s="15">
        <v>3.584545454545454</v>
      </c>
      <c r="N257" s="15">
        <v>4</v>
      </c>
      <c r="O257" s="15">
        <v>3.7900645365699579</v>
      </c>
      <c r="P257" s="15">
        <v>4</v>
      </c>
      <c r="Q257" s="15">
        <v>4.1128223750651172</v>
      </c>
      <c r="R257" s="15">
        <v>4</v>
      </c>
      <c r="S257" s="15">
        <v>4.0281942415224608</v>
      </c>
      <c r="T257" s="15">
        <v>4</v>
      </c>
      <c r="U257" s="15">
        <v>3.979367608378551</v>
      </c>
      <c r="V257" s="15">
        <v>3</v>
      </c>
      <c r="W257" s="15">
        <v>2.9831678867340088</v>
      </c>
      <c r="X257" s="15">
        <v>4</v>
      </c>
      <c r="Y257" s="15">
        <v>3.9796130746696199</v>
      </c>
      <c r="Z257" s="15">
        <v>4</v>
      </c>
      <c r="AA257" s="15">
        <v>4.1493320465087891</v>
      </c>
      <c r="AB257" s="15">
        <v>4</v>
      </c>
      <c r="AC257" s="15">
        <v>3.9990833333333331</v>
      </c>
      <c r="AD257" s="15">
        <v>4</v>
      </c>
      <c r="AE257" s="15">
        <v>4.1824285714285718</v>
      </c>
    </row>
    <row r="258" spans="2:31" x14ac:dyDescent="0.2">
      <c r="B258" s="15">
        <v>5</v>
      </c>
      <c r="C258" s="15">
        <v>4.3486150415596141</v>
      </c>
      <c r="D258" s="15">
        <v>5</v>
      </c>
      <c r="E258" s="15">
        <v>4.5599999999999996</v>
      </c>
      <c r="F258" s="15">
        <v>5</v>
      </c>
      <c r="G258" s="15">
        <v>4.7001094498231843</v>
      </c>
      <c r="H258" s="15">
        <v>5</v>
      </c>
      <c r="I258" s="15">
        <v>4.7398559999999996</v>
      </c>
      <c r="J258" s="15">
        <v>5</v>
      </c>
      <c r="K258" s="15">
        <v>4.3486150415596141</v>
      </c>
      <c r="L258" s="15">
        <v>5</v>
      </c>
      <c r="M258" s="15">
        <v>4.6756756756756754</v>
      </c>
      <c r="N258" s="15">
        <v>5</v>
      </c>
      <c r="O258" s="15">
        <v>3.0338455222844432</v>
      </c>
      <c r="P258" s="15">
        <v>5</v>
      </c>
      <c r="Q258" s="15">
        <v>3.795743015551055</v>
      </c>
      <c r="R258" s="15">
        <v>5</v>
      </c>
      <c r="S258" s="15">
        <v>3.893285888849443</v>
      </c>
      <c r="T258" s="15">
        <v>5</v>
      </c>
      <c r="U258" s="15">
        <v>3.213108751346105</v>
      </c>
      <c r="V258" s="15">
        <v>3</v>
      </c>
      <c r="W258" s="15">
        <v>3.1295685768127441</v>
      </c>
      <c r="X258" s="15">
        <v>5</v>
      </c>
      <c r="Y258" s="15">
        <v>3.3097739905241119</v>
      </c>
      <c r="Z258" s="15">
        <v>5</v>
      </c>
      <c r="AA258" s="15">
        <v>3.317999124526978</v>
      </c>
      <c r="AB258" s="15">
        <v>5</v>
      </c>
      <c r="AC258" s="15">
        <v>4.3422619047619051</v>
      </c>
      <c r="AD258" s="15">
        <v>5</v>
      </c>
      <c r="AE258" s="15">
        <v>4.5194047619047613</v>
      </c>
    </row>
    <row r="259" spans="2:31" x14ac:dyDescent="0.2">
      <c r="B259" s="15">
        <v>5</v>
      </c>
      <c r="C259" s="15">
        <v>3.6080703791332569</v>
      </c>
      <c r="D259" s="15">
        <v>5</v>
      </c>
      <c r="E259" s="15">
        <v>4.1900000000000004</v>
      </c>
      <c r="F259" s="15">
        <v>5</v>
      </c>
      <c r="G259" s="15">
        <v>3.9728687120288408</v>
      </c>
      <c r="H259" s="15">
        <v>5</v>
      </c>
      <c r="I259" s="15">
        <v>4.2080735999999996</v>
      </c>
      <c r="J259" s="15">
        <v>5</v>
      </c>
      <c r="K259" s="15">
        <v>3.6080703791332569</v>
      </c>
      <c r="L259" s="15">
        <v>5</v>
      </c>
      <c r="M259" s="15">
        <v>4.0956156716417906</v>
      </c>
      <c r="N259" s="15">
        <v>5</v>
      </c>
      <c r="O259" s="15">
        <v>4.1955542539230466</v>
      </c>
      <c r="P259" s="15">
        <v>5</v>
      </c>
      <c r="Q259" s="15">
        <v>4.0718339545164346</v>
      </c>
      <c r="R259" s="15">
        <v>5</v>
      </c>
      <c r="S259" s="15">
        <v>4.1976312930205406</v>
      </c>
      <c r="T259" s="15">
        <v>5</v>
      </c>
      <c r="U259" s="15">
        <v>3.7639716014488318</v>
      </c>
      <c r="V259" s="15">
        <v>4</v>
      </c>
      <c r="W259" s="15">
        <v>4.3045873641967773</v>
      </c>
      <c r="X259" s="15">
        <v>5</v>
      </c>
      <c r="Y259" s="15">
        <v>3.8984754229471119</v>
      </c>
      <c r="Z259" s="15">
        <v>5</v>
      </c>
      <c r="AA259" s="15">
        <v>4.0063104629516602</v>
      </c>
      <c r="AB259" s="15">
        <v>5</v>
      </c>
      <c r="AC259" s="15">
        <v>3.84438961038961</v>
      </c>
      <c r="AD259" s="15">
        <v>5</v>
      </c>
      <c r="AE259" s="15">
        <v>3.5146349206349208</v>
      </c>
    </row>
    <row r="260" spans="2:31" x14ac:dyDescent="0.2">
      <c r="B260" s="15">
        <v>4</v>
      </c>
      <c r="C260" s="15">
        <v>5.0624924260682089</v>
      </c>
      <c r="D260" s="15">
        <v>4</v>
      </c>
      <c r="E260" s="15">
        <v>4.4800000000000004</v>
      </c>
      <c r="F260" s="15">
        <v>4</v>
      </c>
      <c r="G260" s="15">
        <v>4.5187957275652968</v>
      </c>
      <c r="H260" s="15">
        <v>4</v>
      </c>
      <c r="I260" s="15">
        <v>4.7517709999999997</v>
      </c>
      <c r="J260" s="15">
        <v>4</v>
      </c>
      <c r="K260" s="15">
        <v>5.0624924260682089</v>
      </c>
      <c r="L260" s="15">
        <v>4</v>
      </c>
      <c r="M260" s="15">
        <v>4.5077308817384036</v>
      </c>
      <c r="N260" s="15">
        <v>4</v>
      </c>
      <c r="O260" s="15">
        <v>3.748429316496817</v>
      </c>
      <c r="P260" s="15">
        <v>4</v>
      </c>
      <c r="Q260" s="15">
        <v>4.389862336879915</v>
      </c>
      <c r="R260" s="15">
        <v>4</v>
      </c>
      <c r="S260" s="15">
        <v>3.6393851718197729</v>
      </c>
      <c r="T260" s="15">
        <v>4</v>
      </c>
      <c r="U260" s="15">
        <v>4.1054695475186103</v>
      </c>
      <c r="V260" s="15">
        <v>4</v>
      </c>
      <c r="W260" s="15">
        <v>3.148350715637207</v>
      </c>
      <c r="X260" s="15">
        <v>4</v>
      </c>
      <c r="Y260" s="15">
        <v>3.9702648859802712</v>
      </c>
      <c r="Z260" s="15">
        <v>4</v>
      </c>
      <c r="AA260" s="15">
        <v>4.3460454940795898</v>
      </c>
      <c r="AB260" s="15">
        <v>4</v>
      </c>
      <c r="AC260" s="15">
        <v>4.3676666666666666</v>
      </c>
      <c r="AD260" s="15">
        <v>4</v>
      </c>
      <c r="AE260" s="15">
        <v>3.9769285714285711</v>
      </c>
    </row>
    <row r="261" spans="2:31" x14ac:dyDescent="0.2">
      <c r="B261" s="15">
        <v>4</v>
      </c>
      <c r="C261" s="15">
        <v>3.6298089821297079</v>
      </c>
      <c r="D261" s="15">
        <v>4</v>
      </c>
      <c r="E261" s="15">
        <v>3.75</v>
      </c>
      <c r="F261" s="15">
        <v>4</v>
      </c>
      <c r="G261" s="15">
        <v>3.8833158391388021</v>
      </c>
      <c r="H261" s="15">
        <v>4</v>
      </c>
      <c r="I261" s="15">
        <v>3.8024127000000001</v>
      </c>
      <c r="J261" s="15">
        <v>4</v>
      </c>
      <c r="K261" s="15">
        <v>3.629808982129707</v>
      </c>
      <c r="L261" s="15">
        <v>4</v>
      </c>
      <c r="M261" s="15">
        <v>4.0155208964264082</v>
      </c>
      <c r="N261" s="15">
        <v>4</v>
      </c>
      <c r="O261" s="15">
        <v>3.716667684812367</v>
      </c>
      <c r="P261" s="15">
        <v>4</v>
      </c>
      <c r="Q261" s="15">
        <v>4.6938255051548001</v>
      </c>
      <c r="R261" s="15">
        <v>4</v>
      </c>
      <c r="S261" s="15">
        <v>4.5737437066359172</v>
      </c>
      <c r="T261" s="15">
        <v>4</v>
      </c>
      <c r="U261" s="15">
        <v>3.8080020274456192</v>
      </c>
      <c r="V261" s="15">
        <v>1</v>
      </c>
      <c r="W261" s="15">
        <v>1.7831413745880129</v>
      </c>
      <c r="X261" s="15">
        <v>4</v>
      </c>
      <c r="Y261" s="15">
        <v>4.0938973151988574</v>
      </c>
      <c r="Z261" s="15">
        <v>4</v>
      </c>
      <c r="AA261" s="15">
        <v>4.1113123893737793</v>
      </c>
      <c r="AB261" s="15">
        <v>4</v>
      </c>
      <c r="AC261" s="15">
        <v>4.0353015873015874</v>
      </c>
      <c r="AD261" s="15">
        <v>4</v>
      </c>
      <c r="AE261" s="15">
        <v>3.9292182539682541</v>
      </c>
    </row>
    <row r="262" spans="2:31" x14ac:dyDescent="0.2">
      <c r="B262" s="15">
        <v>3</v>
      </c>
      <c r="C262" s="15">
        <v>3.3839513277917672</v>
      </c>
      <c r="D262" s="15">
        <v>3</v>
      </c>
      <c r="E262" s="15">
        <v>3.1</v>
      </c>
      <c r="F262" s="15">
        <v>3</v>
      </c>
      <c r="G262" s="15">
        <v>2.948431156633553</v>
      </c>
      <c r="H262" s="15">
        <v>3</v>
      </c>
      <c r="I262" s="15">
        <v>2.9966938000000001</v>
      </c>
      <c r="J262" s="15">
        <v>3</v>
      </c>
      <c r="K262" s="15">
        <v>3.3839513277917672</v>
      </c>
      <c r="L262" s="15">
        <v>3</v>
      </c>
      <c r="M262" s="15">
        <v>3.0664652567975832</v>
      </c>
      <c r="N262" s="15">
        <v>3</v>
      </c>
      <c r="O262" s="15">
        <v>3.478818746466529</v>
      </c>
      <c r="P262" s="15">
        <v>3</v>
      </c>
      <c r="Q262" s="15">
        <v>3.2722596031261002</v>
      </c>
      <c r="R262" s="15">
        <v>3</v>
      </c>
      <c r="S262" s="15">
        <v>3.138179598296698</v>
      </c>
      <c r="T262" s="15">
        <v>3</v>
      </c>
      <c r="U262" s="15">
        <v>3.5838478363241051</v>
      </c>
      <c r="V262" s="15">
        <v>5</v>
      </c>
      <c r="W262" s="15">
        <v>4.1446633338928223</v>
      </c>
      <c r="X262" s="15">
        <v>3</v>
      </c>
      <c r="Y262" s="15">
        <v>3.64583886638898</v>
      </c>
      <c r="Z262" s="15">
        <v>3</v>
      </c>
      <c r="AA262" s="15">
        <v>3.5277774333953862</v>
      </c>
      <c r="AB262" s="15">
        <v>3</v>
      </c>
      <c r="AC262" s="15">
        <v>3.2753333333333332</v>
      </c>
      <c r="AD262" s="15">
        <v>3</v>
      </c>
      <c r="AE262" s="15">
        <v>2.955047619047618</v>
      </c>
    </row>
    <row r="263" spans="2:31" x14ac:dyDescent="0.2">
      <c r="B263" s="15">
        <v>5</v>
      </c>
      <c r="C263" s="15">
        <v>3.6626395175654438</v>
      </c>
      <c r="D263" s="15">
        <v>5</v>
      </c>
      <c r="E263" s="15">
        <v>3.72</v>
      </c>
      <c r="F263" s="15">
        <v>5</v>
      </c>
      <c r="G263" s="15">
        <v>3.6478822175415901</v>
      </c>
      <c r="H263" s="15">
        <v>5</v>
      </c>
      <c r="I263" s="15">
        <v>3.7765374</v>
      </c>
      <c r="J263" s="15">
        <v>5</v>
      </c>
      <c r="K263" s="15">
        <v>3.6626395175654438</v>
      </c>
      <c r="L263" s="15">
        <v>5</v>
      </c>
      <c r="M263" s="15">
        <v>3.7283003633427532</v>
      </c>
      <c r="N263" s="15">
        <v>5</v>
      </c>
      <c r="O263" s="15">
        <v>3.591742839381757</v>
      </c>
      <c r="P263" s="15">
        <v>5</v>
      </c>
      <c r="Q263" s="15">
        <v>3.9985655240044742</v>
      </c>
      <c r="R263" s="15">
        <v>5</v>
      </c>
      <c r="S263" s="15">
        <v>4.1839382339778428</v>
      </c>
      <c r="T263" s="15">
        <v>5</v>
      </c>
      <c r="U263" s="15">
        <v>4.2413829625607544</v>
      </c>
      <c r="V263" s="15">
        <v>3</v>
      </c>
      <c r="W263" s="15">
        <v>3.5681300163269039</v>
      </c>
      <c r="X263" s="15">
        <v>5</v>
      </c>
      <c r="Y263" s="15">
        <v>4.1424144913095837</v>
      </c>
      <c r="Z263" s="15">
        <v>5</v>
      </c>
      <c r="AA263" s="15">
        <v>4.1624336242675781</v>
      </c>
      <c r="AB263" s="15">
        <v>5</v>
      </c>
      <c r="AC263" s="15">
        <v>4.3090000000000002</v>
      </c>
      <c r="AD263" s="15">
        <v>5</v>
      </c>
      <c r="AE263" s="15">
        <v>4.5950952380952383</v>
      </c>
    </row>
    <row r="264" spans="2:31" x14ac:dyDescent="0.2">
      <c r="B264" s="15">
        <v>4</v>
      </c>
      <c r="C264" s="15">
        <v>4.2856587805191131</v>
      </c>
      <c r="D264" s="15">
        <v>4</v>
      </c>
      <c r="E264" s="15">
        <v>4.47</v>
      </c>
      <c r="F264" s="15">
        <v>4</v>
      </c>
      <c r="G264" s="15">
        <v>4.5142021528898209</v>
      </c>
      <c r="H264" s="15">
        <v>4</v>
      </c>
      <c r="I264" s="15">
        <v>4.6372565999999997</v>
      </c>
      <c r="J264" s="15">
        <v>4</v>
      </c>
      <c r="K264" s="15">
        <v>4.2856587805191131</v>
      </c>
      <c r="L264" s="15">
        <v>4</v>
      </c>
      <c r="M264" s="15">
        <v>4.3643724696356276</v>
      </c>
      <c r="N264" s="15">
        <v>4</v>
      </c>
      <c r="O264" s="15">
        <v>4.134903659444384</v>
      </c>
      <c r="P264" s="15">
        <v>4</v>
      </c>
      <c r="Q264" s="15">
        <v>4.91490198368645</v>
      </c>
      <c r="R264" s="15">
        <v>4</v>
      </c>
      <c r="S264" s="15">
        <v>4.6732898398507778</v>
      </c>
      <c r="T264" s="15">
        <v>4</v>
      </c>
      <c r="U264" s="15">
        <v>4.0449171181032986</v>
      </c>
      <c r="V264" s="15">
        <v>5</v>
      </c>
      <c r="W264" s="15">
        <v>3.8069145679473881</v>
      </c>
      <c r="X264" s="15">
        <v>4</v>
      </c>
      <c r="Y264" s="15">
        <v>3.6744264764578078</v>
      </c>
      <c r="Z264" s="15">
        <v>4</v>
      </c>
      <c r="AA264" s="15">
        <v>4.0111184120178223</v>
      </c>
      <c r="AB264" s="15">
        <v>4</v>
      </c>
      <c r="AC264" s="15">
        <v>4.3974047619047614</v>
      </c>
      <c r="AD264" s="15">
        <v>4</v>
      </c>
      <c r="AE264" s="15">
        <v>4.4511190476190476</v>
      </c>
    </row>
    <row r="265" spans="2:31" x14ac:dyDescent="0.2">
      <c r="B265" s="15">
        <v>3</v>
      </c>
      <c r="C265" s="15">
        <v>3.623646383070513</v>
      </c>
      <c r="D265" s="15">
        <v>3</v>
      </c>
      <c r="E265" s="15">
        <v>3.64</v>
      </c>
      <c r="F265" s="15">
        <v>3</v>
      </c>
      <c r="G265" s="15">
        <v>3.3252703921492461</v>
      </c>
      <c r="H265" s="15">
        <v>3</v>
      </c>
      <c r="I265" s="15">
        <v>3.3596249</v>
      </c>
      <c r="J265" s="15">
        <v>3</v>
      </c>
      <c r="K265" s="15">
        <v>3.623646383070513</v>
      </c>
      <c r="L265" s="15">
        <v>3</v>
      </c>
      <c r="M265" s="15">
        <v>3.584545454545454</v>
      </c>
      <c r="N265" s="15">
        <v>3</v>
      </c>
      <c r="O265" s="15">
        <v>4.2273567766864062</v>
      </c>
      <c r="P265" s="15">
        <v>3</v>
      </c>
      <c r="Q265" s="15">
        <v>3.6230481140983581</v>
      </c>
      <c r="R265" s="15">
        <v>3</v>
      </c>
      <c r="S265" s="15">
        <v>3.6059664359703891</v>
      </c>
      <c r="T265" s="15">
        <v>3</v>
      </c>
      <c r="U265" s="15">
        <v>4.0095230173274983</v>
      </c>
      <c r="V265" s="15">
        <v>4</v>
      </c>
      <c r="W265" s="15">
        <v>3.0696918964385991</v>
      </c>
      <c r="X265" s="15">
        <v>3</v>
      </c>
      <c r="Y265" s="15">
        <v>4.2403918362271309</v>
      </c>
      <c r="Z265" s="15">
        <v>3</v>
      </c>
      <c r="AA265" s="15">
        <v>4.271456241607666</v>
      </c>
      <c r="AB265" s="15">
        <v>3</v>
      </c>
      <c r="AC265" s="15">
        <v>3.9398690476190472</v>
      </c>
      <c r="AD265" s="15">
        <v>3</v>
      </c>
      <c r="AE265" s="15">
        <v>3.9359956709956712</v>
      </c>
    </row>
    <row r="266" spans="2:31" x14ac:dyDescent="0.2">
      <c r="B266" s="15">
        <v>4</v>
      </c>
      <c r="C266" s="15">
        <v>3.5619098658221628</v>
      </c>
      <c r="D266" s="15">
        <v>4</v>
      </c>
      <c r="E266" s="15">
        <v>3.98</v>
      </c>
      <c r="F266" s="15">
        <v>4</v>
      </c>
      <c r="G266" s="15">
        <v>3.5292909767536802</v>
      </c>
      <c r="H266" s="15">
        <v>4</v>
      </c>
      <c r="I266" s="15">
        <v>3.5444217</v>
      </c>
      <c r="J266" s="15">
        <v>4</v>
      </c>
      <c r="K266" s="15">
        <v>3.5619098658221628</v>
      </c>
      <c r="L266" s="15">
        <v>4</v>
      </c>
      <c r="M266" s="15">
        <v>4.1486227721313886</v>
      </c>
      <c r="N266" s="15">
        <v>4</v>
      </c>
      <c r="O266" s="15">
        <v>3.6972522618207</v>
      </c>
      <c r="P266" s="15">
        <v>4</v>
      </c>
      <c r="Q266" s="15">
        <v>3.7331573441056518</v>
      </c>
      <c r="R266" s="15">
        <v>4</v>
      </c>
      <c r="S266" s="15">
        <v>3.707352214110422</v>
      </c>
      <c r="T266" s="15">
        <v>4</v>
      </c>
      <c r="U266" s="15">
        <v>4.0643097093297866</v>
      </c>
      <c r="V266" s="15">
        <v>1</v>
      </c>
      <c r="W266" s="15">
        <v>2.3215041160583501</v>
      </c>
      <c r="X266" s="15">
        <v>4</v>
      </c>
      <c r="Y266" s="15">
        <v>3.3473532794112981</v>
      </c>
      <c r="Z266" s="15">
        <v>4</v>
      </c>
      <c r="AA266" s="15">
        <v>3.8301599025726318</v>
      </c>
      <c r="AB266" s="15">
        <v>4</v>
      </c>
      <c r="AC266" s="15">
        <v>3.583103174603175</v>
      </c>
      <c r="AD266" s="15">
        <v>4</v>
      </c>
      <c r="AE266" s="15">
        <v>3.5056349206349209</v>
      </c>
    </row>
    <row r="267" spans="2:31" x14ac:dyDescent="0.2">
      <c r="B267" s="15">
        <v>4</v>
      </c>
      <c r="C267" s="15">
        <v>3.6175075998332091</v>
      </c>
      <c r="D267" s="15">
        <v>4</v>
      </c>
      <c r="E267" s="15">
        <v>3.44</v>
      </c>
      <c r="F267" s="15">
        <v>4</v>
      </c>
      <c r="G267" s="15">
        <v>3.2988055816930149</v>
      </c>
      <c r="H267" s="15">
        <v>4</v>
      </c>
      <c r="I267" s="15">
        <v>3.2053535000000002</v>
      </c>
      <c r="J267" s="15">
        <v>4</v>
      </c>
      <c r="K267" s="15">
        <v>3.6175075998332091</v>
      </c>
      <c r="L267" s="15">
        <v>4</v>
      </c>
      <c r="M267" s="15">
        <v>3.607255948611237</v>
      </c>
      <c r="N267" s="15">
        <v>4</v>
      </c>
      <c r="O267" s="15">
        <v>3.459602154985439</v>
      </c>
      <c r="P267" s="15">
        <v>4</v>
      </c>
      <c r="Q267" s="15">
        <v>3.8555772186863462</v>
      </c>
      <c r="R267" s="15">
        <v>4</v>
      </c>
      <c r="S267" s="15">
        <v>4.1158590700442801</v>
      </c>
      <c r="T267" s="15">
        <v>4</v>
      </c>
      <c r="U267" s="15">
        <v>3.9766579717573092</v>
      </c>
      <c r="V267" s="15">
        <v>1</v>
      </c>
      <c r="W267" s="15">
        <v>3.627205610275269</v>
      </c>
      <c r="X267" s="15">
        <v>4</v>
      </c>
      <c r="Y267" s="15">
        <v>3.679579144762485</v>
      </c>
      <c r="Z267" s="15">
        <v>4</v>
      </c>
      <c r="AA267" s="15">
        <v>3.1175017356872559</v>
      </c>
      <c r="AB267" s="15">
        <v>4</v>
      </c>
      <c r="AC267" s="15">
        <v>3.973214285714286</v>
      </c>
      <c r="AD267" s="15">
        <v>4</v>
      </c>
      <c r="AE267" s="15">
        <v>3.6820714285714291</v>
      </c>
    </row>
    <row r="268" spans="2:31" x14ac:dyDescent="0.2">
      <c r="B268" s="15">
        <v>4</v>
      </c>
      <c r="C268" s="15">
        <v>3.773254878800183</v>
      </c>
      <c r="D268" s="15">
        <v>4</v>
      </c>
      <c r="E268" s="15">
        <v>4.0599999999999996</v>
      </c>
      <c r="F268" s="15">
        <v>4</v>
      </c>
      <c r="G268" s="15">
        <v>3.9729723393350378</v>
      </c>
      <c r="H268" s="15">
        <v>4</v>
      </c>
      <c r="I268" s="15">
        <v>3.9772850000000002</v>
      </c>
      <c r="J268" s="15">
        <v>4</v>
      </c>
      <c r="K268" s="15">
        <v>3.773254878800183</v>
      </c>
      <c r="L268" s="15">
        <v>4</v>
      </c>
      <c r="M268" s="15">
        <v>3.859941844364442</v>
      </c>
      <c r="N268" s="15">
        <v>4</v>
      </c>
      <c r="O268" s="15">
        <v>3.9336987974441211</v>
      </c>
      <c r="P268" s="15">
        <v>4</v>
      </c>
      <c r="Q268" s="15">
        <v>3.4465243589699339</v>
      </c>
      <c r="R268" s="15">
        <v>4</v>
      </c>
      <c r="S268" s="15">
        <v>3.5248452460306781</v>
      </c>
      <c r="T268" s="15">
        <v>4</v>
      </c>
      <c r="U268" s="15">
        <v>3.924532684142457</v>
      </c>
      <c r="V268" s="15">
        <v>4</v>
      </c>
      <c r="W268" s="15">
        <v>3.8209671974182129</v>
      </c>
      <c r="X268" s="15">
        <v>4</v>
      </c>
      <c r="Y268" s="15">
        <v>4.2306940596645637</v>
      </c>
      <c r="Z268" s="15">
        <v>4</v>
      </c>
      <c r="AA268" s="15">
        <v>4.2975049018859863</v>
      </c>
      <c r="AB268" s="15">
        <v>4</v>
      </c>
      <c r="AC268" s="15">
        <v>3.5804523809523809</v>
      </c>
      <c r="AD268" s="15">
        <v>4</v>
      </c>
      <c r="AE268" s="15">
        <v>3.508087301587302</v>
      </c>
    </row>
    <row r="269" spans="2:31" x14ac:dyDescent="0.2">
      <c r="B269" s="15">
        <v>4</v>
      </c>
      <c r="C269" s="15">
        <v>3.8217623716900051</v>
      </c>
      <c r="D269" s="15">
        <v>4</v>
      </c>
      <c r="E269" s="15">
        <v>3.99</v>
      </c>
      <c r="F269" s="15">
        <v>4</v>
      </c>
      <c r="G269" s="15">
        <v>4.0167923854166174</v>
      </c>
      <c r="H269" s="15">
        <v>4</v>
      </c>
      <c r="I269" s="15">
        <v>3.9808764000000001</v>
      </c>
      <c r="J269" s="15">
        <v>4</v>
      </c>
      <c r="K269" s="15">
        <v>3.8217623716900051</v>
      </c>
      <c r="L269" s="15">
        <v>4</v>
      </c>
      <c r="M269" s="15">
        <v>3.7917898193760262</v>
      </c>
      <c r="N269" s="15">
        <v>4</v>
      </c>
      <c r="O269" s="15">
        <v>3.642087721685999</v>
      </c>
      <c r="P269" s="15">
        <v>4</v>
      </c>
      <c r="Q269" s="15">
        <v>3.2640085297034971</v>
      </c>
      <c r="R269" s="15">
        <v>4</v>
      </c>
      <c r="S269" s="15">
        <v>3.3757515140980492</v>
      </c>
      <c r="T269" s="15">
        <v>4</v>
      </c>
      <c r="U269" s="15">
        <v>3.7457863760345251</v>
      </c>
      <c r="V269" s="15">
        <v>4</v>
      </c>
      <c r="W269" s="15">
        <v>4.7608761787414551</v>
      </c>
      <c r="X269" s="15">
        <v>4</v>
      </c>
      <c r="Y269" s="15">
        <v>3.4778921503277771</v>
      </c>
      <c r="Z269" s="15">
        <v>4</v>
      </c>
      <c r="AA269" s="15">
        <v>3.1820368766784668</v>
      </c>
      <c r="AB269" s="15">
        <v>4</v>
      </c>
      <c r="AC269" s="15">
        <v>3.2699444444444441</v>
      </c>
      <c r="AD269" s="15">
        <v>4</v>
      </c>
      <c r="AE269" s="15">
        <v>3.2182976190476191</v>
      </c>
    </row>
    <row r="270" spans="2:31" x14ac:dyDescent="0.2">
      <c r="B270" s="15">
        <v>4</v>
      </c>
      <c r="C270" s="15">
        <v>3.8549435232620448</v>
      </c>
      <c r="D270" s="15">
        <v>4</v>
      </c>
      <c r="E270" s="15">
        <v>3.7</v>
      </c>
      <c r="F270" s="15">
        <v>4</v>
      </c>
      <c r="G270" s="15">
        <v>3.7284799942767122</v>
      </c>
      <c r="H270" s="15">
        <v>4</v>
      </c>
      <c r="I270" s="15">
        <v>3.9682914999999999</v>
      </c>
      <c r="J270" s="15">
        <v>4</v>
      </c>
      <c r="K270" s="15">
        <v>3.8549435232620448</v>
      </c>
      <c r="L270" s="15">
        <v>4</v>
      </c>
      <c r="M270" s="15">
        <v>3.7</v>
      </c>
      <c r="N270" s="15">
        <v>4</v>
      </c>
      <c r="O270" s="15">
        <v>3.819774825413103</v>
      </c>
      <c r="P270" s="15">
        <v>4</v>
      </c>
      <c r="Q270" s="15">
        <v>3.629626612053523</v>
      </c>
      <c r="R270" s="15">
        <v>4</v>
      </c>
      <c r="S270" s="15">
        <v>4.0864031109134764</v>
      </c>
      <c r="T270" s="15">
        <v>4</v>
      </c>
      <c r="U270" s="15">
        <v>3.7907965427378598</v>
      </c>
      <c r="V270" s="15">
        <v>5</v>
      </c>
      <c r="W270" s="15">
        <v>3.524730920791626</v>
      </c>
      <c r="X270" s="15">
        <v>4</v>
      </c>
      <c r="Y270" s="15">
        <v>3.486397270293772</v>
      </c>
      <c r="Z270" s="15">
        <v>4</v>
      </c>
      <c r="AA270" s="15">
        <v>2.787675142288208</v>
      </c>
      <c r="AB270" s="15">
        <v>4</v>
      </c>
      <c r="AC270" s="15">
        <v>3.6084880952380951</v>
      </c>
      <c r="AD270" s="15">
        <v>4</v>
      </c>
      <c r="AE270" s="15">
        <v>4.1365000000000007</v>
      </c>
    </row>
    <row r="271" spans="2:31" x14ac:dyDescent="0.2">
      <c r="B271" s="15">
        <v>5</v>
      </c>
      <c r="C271" s="15">
        <v>4.3066819469922946</v>
      </c>
      <c r="D271" s="15">
        <v>5</v>
      </c>
      <c r="E271" s="15">
        <v>4.0199999999999996</v>
      </c>
      <c r="F271" s="15">
        <v>5</v>
      </c>
      <c r="G271" s="15">
        <v>4.2228148028199088</v>
      </c>
      <c r="H271" s="15">
        <v>5</v>
      </c>
      <c r="I271" s="15">
        <v>4.1810764999999996</v>
      </c>
      <c r="J271" s="15">
        <v>5</v>
      </c>
      <c r="K271" s="15">
        <v>4.3066819469922946</v>
      </c>
      <c r="L271" s="15">
        <v>5</v>
      </c>
      <c r="M271" s="15">
        <v>3.961636828644501</v>
      </c>
      <c r="N271" s="15">
        <v>5</v>
      </c>
      <c r="O271" s="15">
        <v>3.9507772038337232</v>
      </c>
      <c r="P271" s="15">
        <v>5</v>
      </c>
      <c r="Q271" s="15">
        <v>4.6611543959369763</v>
      </c>
      <c r="R271" s="15">
        <v>5</v>
      </c>
      <c r="S271" s="15">
        <v>4.0904564665762564</v>
      </c>
      <c r="T271" s="15">
        <v>5</v>
      </c>
      <c r="U271" s="15">
        <v>3.6965536681340141</v>
      </c>
      <c r="V271" s="15">
        <v>1</v>
      </c>
      <c r="W271" s="15">
        <v>2.2148370742797852</v>
      </c>
      <c r="X271" s="15">
        <v>5</v>
      </c>
      <c r="Y271" s="15">
        <v>3.9035101120292821</v>
      </c>
      <c r="Z271" s="15">
        <v>5</v>
      </c>
      <c r="AA271" s="15">
        <v>3.8430032730102539</v>
      </c>
      <c r="AB271" s="15">
        <v>5</v>
      </c>
      <c r="AC271" s="15">
        <v>4.5565714285714281</v>
      </c>
      <c r="AD271" s="15">
        <v>5</v>
      </c>
      <c r="AE271" s="15">
        <v>4.1254285714285706</v>
      </c>
    </row>
    <row r="272" spans="2:31" x14ac:dyDescent="0.2">
      <c r="B272" s="15">
        <v>1</v>
      </c>
      <c r="C272" s="15">
        <v>3.7393005165632101</v>
      </c>
      <c r="D272" s="15">
        <v>1</v>
      </c>
      <c r="E272" s="15">
        <v>3.22</v>
      </c>
      <c r="F272" s="15">
        <v>1</v>
      </c>
      <c r="G272" s="15">
        <v>3.503102989526794</v>
      </c>
      <c r="H272" s="15">
        <v>1</v>
      </c>
      <c r="I272" s="15">
        <v>3.343683</v>
      </c>
      <c r="J272" s="15">
        <v>1</v>
      </c>
      <c r="K272" s="15">
        <v>3.7393005165632101</v>
      </c>
      <c r="L272" s="15">
        <v>1</v>
      </c>
      <c r="M272" s="15">
        <v>3.7917898193760262</v>
      </c>
      <c r="N272" s="15">
        <v>1</v>
      </c>
      <c r="O272" s="15">
        <v>3.2332526086226432</v>
      </c>
      <c r="P272" s="15">
        <v>1</v>
      </c>
      <c r="Q272" s="15">
        <v>3.5294416194264162</v>
      </c>
      <c r="R272" s="15">
        <v>1</v>
      </c>
      <c r="S272" s="15">
        <v>3.6587904247586098</v>
      </c>
      <c r="T272" s="15">
        <v>1</v>
      </c>
      <c r="U272" s="15">
        <v>3.5279431981044391</v>
      </c>
      <c r="V272" s="15">
        <v>2</v>
      </c>
      <c r="W272" s="15">
        <v>2.5554554462432861</v>
      </c>
      <c r="X272" s="15">
        <v>1</v>
      </c>
      <c r="Y272" s="15">
        <v>3.5922116851786421</v>
      </c>
      <c r="Z272" s="15">
        <v>1</v>
      </c>
      <c r="AA272" s="15">
        <v>3.3219656944274898</v>
      </c>
      <c r="AB272" s="15">
        <v>1</v>
      </c>
      <c r="AC272" s="15">
        <v>3.9087896825396831</v>
      </c>
      <c r="AD272" s="15">
        <v>1</v>
      </c>
      <c r="AE272" s="15">
        <v>3.7543015873015868</v>
      </c>
    </row>
    <row r="273" spans="2:31" x14ac:dyDescent="0.2">
      <c r="B273" s="15">
        <v>4</v>
      </c>
      <c r="C273" s="15">
        <v>3.4625196184870539</v>
      </c>
      <c r="D273" s="15">
        <v>4</v>
      </c>
      <c r="E273" s="15">
        <v>4.01</v>
      </c>
      <c r="F273" s="15">
        <v>4</v>
      </c>
      <c r="G273" s="15">
        <v>3.796861203777198</v>
      </c>
      <c r="H273" s="15">
        <v>4</v>
      </c>
      <c r="I273" s="15">
        <v>3.6568149999999999</v>
      </c>
      <c r="J273" s="15">
        <v>4</v>
      </c>
      <c r="K273" s="15">
        <v>3.4625196184870539</v>
      </c>
      <c r="L273" s="15">
        <v>4</v>
      </c>
      <c r="M273" s="15">
        <v>4.1486227721313886</v>
      </c>
      <c r="N273" s="15">
        <v>4</v>
      </c>
      <c r="O273" s="15">
        <v>3.629491262887738</v>
      </c>
      <c r="P273" s="15">
        <v>4</v>
      </c>
      <c r="Q273" s="15">
        <v>3.706042761993857</v>
      </c>
      <c r="R273" s="15">
        <v>4</v>
      </c>
      <c r="S273" s="15">
        <v>3.9067222588954151</v>
      </c>
      <c r="T273" s="15">
        <v>4</v>
      </c>
      <c r="U273" s="15">
        <v>3.766380419583558</v>
      </c>
      <c r="V273" s="15">
        <v>5</v>
      </c>
      <c r="W273" s="15">
        <v>4.4469385147094727</v>
      </c>
      <c r="X273" s="15">
        <v>4</v>
      </c>
      <c r="Y273" s="15">
        <v>3.6469057518137662</v>
      </c>
      <c r="Z273" s="15">
        <v>4</v>
      </c>
      <c r="AA273" s="15">
        <v>3.524267435073853</v>
      </c>
      <c r="AB273" s="15">
        <v>4</v>
      </c>
      <c r="AC273" s="15">
        <v>4.2194090909090907</v>
      </c>
      <c r="AD273" s="15">
        <v>4</v>
      </c>
      <c r="AE273" s="15">
        <v>4.3009285714285719</v>
      </c>
    </row>
    <row r="274" spans="2:31" x14ac:dyDescent="0.2">
      <c r="B274" s="15">
        <v>5</v>
      </c>
      <c r="C274" s="15">
        <v>4.1859508290349501</v>
      </c>
      <c r="D274" s="15">
        <v>5</v>
      </c>
      <c r="E274" s="15">
        <v>4.3899999999999997</v>
      </c>
      <c r="F274" s="15">
        <v>5</v>
      </c>
      <c r="G274" s="15">
        <v>4.3730712728794314</v>
      </c>
      <c r="H274" s="15">
        <v>5</v>
      </c>
      <c r="I274" s="15">
        <v>4.2823114000000002</v>
      </c>
      <c r="J274" s="15">
        <v>5</v>
      </c>
      <c r="K274" s="15">
        <v>4.1859508290349501</v>
      </c>
      <c r="L274" s="15">
        <v>5</v>
      </c>
      <c r="M274" s="15">
        <v>4.1486227721313886</v>
      </c>
      <c r="N274" s="15">
        <v>5</v>
      </c>
      <c r="O274" s="15">
        <v>3.6209060646159168</v>
      </c>
      <c r="P274" s="15">
        <v>5</v>
      </c>
      <c r="Q274" s="15">
        <v>3.44877950104387</v>
      </c>
      <c r="R274" s="15">
        <v>5</v>
      </c>
      <c r="S274" s="15">
        <v>3.303616502328655</v>
      </c>
      <c r="T274" s="15">
        <v>5</v>
      </c>
      <c r="U274" s="15">
        <v>3.9082232992190589</v>
      </c>
      <c r="V274" s="15">
        <v>3</v>
      </c>
      <c r="W274" s="15">
        <v>4.5215582847595206</v>
      </c>
      <c r="X274" s="15">
        <v>5</v>
      </c>
      <c r="Y274" s="15">
        <v>3.1384947298890178</v>
      </c>
      <c r="Z274" s="15">
        <v>5</v>
      </c>
      <c r="AA274" s="15">
        <v>3.105844259262085</v>
      </c>
      <c r="AB274" s="15">
        <v>5</v>
      </c>
      <c r="AC274" s="15">
        <v>3.9209999999999998</v>
      </c>
      <c r="AD274" s="15">
        <v>5</v>
      </c>
      <c r="AE274" s="15">
        <v>3.1377532467532472</v>
      </c>
    </row>
    <row r="275" spans="2:31" x14ac:dyDescent="0.2">
      <c r="B275" s="15">
        <v>1</v>
      </c>
      <c r="C275" s="15">
        <v>3.766437901152818</v>
      </c>
      <c r="D275" s="15">
        <v>1</v>
      </c>
      <c r="E275" s="15">
        <v>3.75</v>
      </c>
      <c r="F275" s="15">
        <v>1</v>
      </c>
      <c r="G275" s="15">
        <v>4.2277660028373738</v>
      </c>
      <c r="H275" s="15">
        <v>1</v>
      </c>
      <c r="I275" s="15">
        <v>4.3566336999999997</v>
      </c>
      <c r="J275" s="15">
        <v>1</v>
      </c>
      <c r="K275" s="15">
        <v>3.766437901152818</v>
      </c>
      <c r="L275" s="15">
        <v>1</v>
      </c>
      <c r="M275" s="15">
        <v>4.4168314035583167</v>
      </c>
      <c r="N275" s="15">
        <v>1</v>
      </c>
      <c r="O275" s="15">
        <v>3.9723141109638158</v>
      </c>
      <c r="P275" s="15">
        <v>1</v>
      </c>
      <c r="Q275" s="15">
        <v>4.1786649928115143</v>
      </c>
      <c r="R275" s="15">
        <v>1</v>
      </c>
      <c r="S275" s="15">
        <v>4.076759579391446</v>
      </c>
      <c r="T275" s="15">
        <v>1</v>
      </c>
      <c r="U275" s="15">
        <v>3.9080607953977671</v>
      </c>
      <c r="V275" s="15">
        <v>4</v>
      </c>
      <c r="W275" s="15">
        <v>4.4577498435974121</v>
      </c>
      <c r="X275" s="15">
        <v>1</v>
      </c>
      <c r="Y275" s="15">
        <v>4.0425028832275496</v>
      </c>
      <c r="Z275" s="15">
        <v>1</v>
      </c>
      <c r="AA275" s="15">
        <v>3.7615690231323242</v>
      </c>
      <c r="AB275" s="15">
        <v>1</v>
      </c>
      <c r="AC275" s="15">
        <v>4.1370952380952382</v>
      </c>
      <c r="AD275" s="15">
        <v>1</v>
      </c>
      <c r="AE275" s="15">
        <v>4.2136428571428564</v>
      </c>
    </row>
    <row r="276" spans="2:31" x14ac:dyDescent="0.2">
      <c r="B276" s="15">
        <v>2</v>
      </c>
      <c r="C276" s="15">
        <v>3.6192268727627952</v>
      </c>
      <c r="D276" s="15">
        <v>2</v>
      </c>
      <c r="E276" s="15">
        <v>3.63</v>
      </c>
      <c r="F276" s="15">
        <v>2</v>
      </c>
      <c r="G276" s="15">
        <v>3.3868546572206739</v>
      </c>
      <c r="H276" s="15">
        <v>2</v>
      </c>
      <c r="I276" s="15">
        <v>3.3205464</v>
      </c>
      <c r="J276" s="15">
        <v>2</v>
      </c>
      <c r="K276" s="15">
        <v>3.6192268727627952</v>
      </c>
      <c r="L276" s="15">
        <v>2</v>
      </c>
      <c r="M276" s="15">
        <v>3</v>
      </c>
      <c r="N276" s="15">
        <v>2</v>
      </c>
      <c r="O276" s="15">
        <v>3.4477283983225209</v>
      </c>
      <c r="P276" s="15">
        <v>2</v>
      </c>
      <c r="Q276" s="15">
        <v>3.260648060107366</v>
      </c>
      <c r="R276" s="15">
        <v>2</v>
      </c>
      <c r="S276" s="15">
        <v>2.9582914526406738</v>
      </c>
      <c r="T276" s="15">
        <v>2</v>
      </c>
      <c r="U276" s="15">
        <v>3.3497354017868668</v>
      </c>
      <c r="V276" s="15">
        <v>2</v>
      </c>
      <c r="W276" s="15">
        <v>3.376838207244873</v>
      </c>
      <c r="X276" s="15">
        <v>2</v>
      </c>
      <c r="Y276" s="15">
        <v>3.2297850033153588</v>
      </c>
      <c r="Z276" s="15">
        <v>2</v>
      </c>
      <c r="AA276" s="15">
        <v>3.220359086990356</v>
      </c>
      <c r="AB276" s="15">
        <v>2</v>
      </c>
      <c r="AC276" s="15">
        <v>3.4051666666666658</v>
      </c>
      <c r="AD276" s="15">
        <v>2</v>
      </c>
      <c r="AE276" s="15">
        <v>2.8849999999999989</v>
      </c>
    </row>
    <row r="277" spans="2:31" x14ac:dyDescent="0.2">
      <c r="B277" s="15">
        <v>5</v>
      </c>
      <c r="C277" s="15">
        <v>3.9100270563299251</v>
      </c>
      <c r="D277" s="15">
        <v>5</v>
      </c>
      <c r="E277" s="15">
        <v>4.0999999999999996</v>
      </c>
      <c r="F277" s="15">
        <v>5</v>
      </c>
      <c r="G277" s="15">
        <v>4.2550239804347747</v>
      </c>
      <c r="H277" s="15">
        <v>5</v>
      </c>
      <c r="I277" s="15">
        <v>4.1799200000000001</v>
      </c>
      <c r="J277" s="15">
        <v>5</v>
      </c>
      <c r="K277" s="15">
        <v>3.9100270563299251</v>
      </c>
      <c r="L277" s="15">
        <v>5</v>
      </c>
      <c r="M277" s="15">
        <v>4.3198225757112274</v>
      </c>
      <c r="N277" s="15">
        <v>5</v>
      </c>
      <c r="O277" s="15">
        <v>3.730419142713671</v>
      </c>
      <c r="P277" s="15">
        <v>5</v>
      </c>
      <c r="Q277" s="15">
        <v>4.1388750213051537</v>
      </c>
      <c r="R277" s="15">
        <v>5</v>
      </c>
      <c r="S277" s="15">
        <v>4.5381398883595354</v>
      </c>
      <c r="T277" s="15">
        <v>5</v>
      </c>
      <c r="U277" s="15">
        <v>4.2810771208360912</v>
      </c>
      <c r="V277" s="15">
        <v>4</v>
      </c>
      <c r="W277" s="15">
        <v>4.160369873046875</v>
      </c>
      <c r="X277" s="15">
        <v>5</v>
      </c>
      <c r="Y277" s="15">
        <v>4.0115063681464962</v>
      </c>
      <c r="Z277" s="15">
        <v>5</v>
      </c>
      <c r="AA277" s="15">
        <v>3.898863554000854</v>
      </c>
      <c r="AB277" s="15">
        <v>5</v>
      </c>
      <c r="AC277" s="15">
        <v>4.4770000000000003</v>
      </c>
      <c r="AD277" s="15">
        <v>5</v>
      </c>
      <c r="AE277" s="15">
        <v>4.4543690476190481</v>
      </c>
    </row>
    <row r="278" spans="2:31" x14ac:dyDescent="0.2">
      <c r="B278" s="15">
        <v>4</v>
      </c>
      <c r="C278" s="15">
        <v>3.5326393689120761</v>
      </c>
      <c r="D278" s="15">
        <v>4</v>
      </c>
      <c r="E278" s="15">
        <v>3.7</v>
      </c>
      <c r="F278" s="15">
        <v>4</v>
      </c>
      <c r="G278" s="15">
        <v>3.673019064531188</v>
      </c>
      <c r="H278" s="15">
        <v>4</v>
      </c>
      <c r="I278" s="15">
        <v>3.6486209999999999</v>
      </c>
      <c r="J278" s="15">
        <v>4</v>
      </c>
      <c r="K278" s="15">
        <v>3.5326393689120761</v>
      </c>
      <c r="L278" s="15">
        <v>4</v>
      </c>
      <c r="M278" s="15">
        <v>3.9421397379912659</v>
      </c>
      <c r="N278" s="15">
        <v>4</v>
      </c>
      <c r="O278" s="15">
        <v>3.2000896760769368</v>
      </c>
      <c r="P278" s="15">
        <v>4</v>
      </c>
      <c r="Q278" s="15">
        <v>3.4509946837052019</v>
      </c>
      <c r="R278" s="15">
        <v>4</v>
      </c>
      <c r="S278" s="15">
        <v>3.5100233632102849</v>
      </c>
      <c r="T278" s="15">
        <v>4</v>
      </c>
      <c r="U278" s="15">
        <v>3.4411085657875158</v>
      </c>
      <c r="V278" s="15">
        <v>3</v>
      </c>
      <c r="W278" s="15">
        <v>2.5691089630126949</v>
      </c>
      <c r="X278" s="15">
        <v>4</v>
      </c>
      <c r="Y278" s="15">
        <v>3.1647848376314092</v>
      </c>
      <c r="Z278" s="15">
        <v>4</v>
      </c>
      <c r="AA278" s="15">
        <v>2.7303812503814702</v>
      </c>
      <c r="AB278" s="15">
        <v>4</v>
      </c>
      <c r="AC278" s="15">
        <v>3.894714285714286</v>
      </c>
      <c r="AD278" s="15">
        <v>4</v>
      </c>
      <c r="AE278" s="15">
        <v>3.7603730158730162</v>
      </c>
    </row>
    <row r="279" spans="2:31" x14ac:dyDescent="0.2">
      <c r="B279" s="15">
        <v>2</v>
      </c>
      <c r="C279" s="15">
        <v>2.0978356956177282</v>
      </c>
      <c r="D279" s="15">
        <v>2</v>
      </c>
      <c r="E279" s="15">
        <v>2.4500000000000002</v>
      </c>
      <c r="F279" s="15">
        <v>2</v>
      </c>
      <c r="G279" s="15">
        <v>2.223747045050303</v>
      </c>
      <c r="H279" s="15">
        <v>2</v>
      </c>
      <c r="I279" s="15">
        <v>1.9861906</v>
      </c>
      <c r="J279" s="15">
        <v>2</v>
      </c>
      <c r="K279" s="15">
        <v>2.0978356956177282</v>
      </c>
      <c r="L279" s="15">
        <v>2</v>
      </c>
      <c r="M279" s="15">
        <v>2.327402135231317</v>
      </c>
      <c r="N279" s="15">
        <v>2</v>
      </c>
      <c r="O279" s="15">
        <v>3.29219130926769</v>
      </c>
      <c r="P279" s="15">
        <v>2</v>
      </c>
      <c r="Q279" s="15">
        <v>2.8640651427174819</v>
      </c>
      <c r="R279" s="15">
        <v>2</v>
      </c>
      <c r="S279" s="15">
        <v>2.9770277017247859</v>
      </c>
      <c r="T279" s="15">
        <v>2</v>
      </c>
      <c r="U279" s="15">
        <v>3.2222830674417091</v>
      </c>
      <c r="V279" s="15">
        <v>4</v>
      </c>
      <c r="W279" s="15">
        <v>3.887984037399292</v>
      </c>
      <c r="X279" s="15">
        <v>2</v>
      </c>
      <c r="Y279" s="15">
        <v>3.3687738197825539</v>
      </c>
      <c r="Z279" s="15">
        <v>2</v>
      </c>
      <c r="AA279" s="15">
        <v>3.250947237014771</v>
      </c>
      <c r="AB279" s="15">
        <v>2</v>
      </c>
      <c r="AC279" s="15">
        <v>2.5314999999999999</v>
      </c>
      <c r="AD279" s="15">
        <v>2</v>
      </c>
      <c r="AE279" s="15">
        <v>2.6432222222222221</v>
      </c>
    </row>
    <row r="280" spans="2:31" x14ac:dyDescent="0.2">
      <c r="B280" s="15">
        <v>3</v>
      </c>
      <c r="C280" s="15">
        <v>3.2959377436633832</v>
      </c>
      <c r="D280" s="15">
        <v>3</v>
      </c>
      <c r="E280" s="15">
        <v>2.8</v>
      </c>
      <c r="F280" s="15">
        <v>3</v>
      </c>
      <c r="G280" s="15">
        <v>3.1366445593934822</v>
      </c>
      <c r="H280" s="15">
        <v>3</v>
      </c>
      <c r="I280" s="15">
        <v>3.0746560000000001</v>
      </c>
      <c r="J280" s="15">
        <v>3</v>
      </c>
      <c r="K280" s="15">
        <v>3.2959377436633832</v>
      </c>
      <c r="L280" s="15">
        <v>3</v>
      </c>
      <c r="M280" s="15">
        <v>3.2188940092165899</v>
      </c>
      <c r="N280" s="15">
        <v>3</v>
      </c>
      <c r="O280" s="15">
        <v>3.494644206183199</v>
      </c>
      <c r="P280" s="15">
        <v>3</v>
      </c>
      <c r="Q280" s="15">
        <v>3.1759433135506558</v>
      </c>
      <c r="R280" s="15">
        <v>3</v>
      </c>
      <c r="S280" s="15">
        <v>3.1684196780363831</v>
      </c>
      <c r="T280" s="15">
        <v>3</v>
      </c>
      <c r="U280" s="15">
        <v>3.7900405378629571</v>
      </c>
      <c r="V280" s="15">
        <v>2</v>
      </c>
      <c r="W280" s="15">
        <v>3.2496500015258789</v>
      </c>
      <c r="X280" s="15">
        <v>3</v>
      </c>
      <c r="Y280" s="15">
        <v>3.371544445360279</v>
      </c>
      <c r="Z280" s="15">
        <v>3</v>
      </c>
      <c r="AA280" s="15">
        <v>3.4185516834259029</v>
      </c>
      <c r="AB280" s="15">
        <v>3</v>
      </c>
      <c r="AC280" s="15">
        <v>3.444892857142857</v>
      </c>
      <c r="AD280" s="15">
        <v>3</v>
      </c>
      <c r="AE280" s="15">
        <v>2.9606190476190481</v>
      </c>
    </row>
    <row r="281" spans="2:31" x14ac:dyDescent="0.2">
      <c r="B281" s="15">
        <v>4</v>
      </c>
      <c r="C281" s="15">
        <v>3.7518110399400051</v>
      </c>
      <c r="D281" s="15">
        <v>4</v>
      </c>
      <c r="E281" s="15">
        <v>3.95</v>
      </c>
      <c r="F281" s="15">
        <v>4</v>
      </c>
      <c r="G281" s="15">
        <v>3.9603725127100322</v>
      </c>
      <c r="H281" s="15">
        <v>4</v>
      </c>
      <c r="I281" s="15">
        <v>4.0368839999999997</v>
      </c>
      <c r="J281" s="15">
        <v>4</v>
      </c>
      <c r="K281" s="15">
        <v>3.7518110399400051</v>
      </c>
      <c r="L281" s="15">
        <v>4</v>
      </c>
      <c r="M281" s="15">
        <v>3.859941844364442</v>
      </c>
      <c r="N281" s="15">
        <v>4</v>
      </c>
      <c r="O281" s="15">
        <v>3.5712612794878691</v>
      </c>
      <c r="P281" s="15">
        <v>4</v>
      </c>
      <c r="Q281" s="15">
        <v>3.6747872667791568</v>
      </c>
      <c r="R281" s="15">
        <v>4</v>
      </c>
      <c r="S281" s="15">
        <v>4.3715960744084841</v>
      </c>
      <c r="T281" s="15">
        <v>4</v>
      </c>
      <c r="U281" s="15">
        <v>3.9387630390127399</v>
      </c>
      <c r="V281" s="15">
        <v>1</v>
      </c>
      <c r="W281" s="15">
        <v>2.9032471179962158</v>
      </c>
      <c r="X281" s="15">
        <v>4</v>
      </c>
      <c r="Y281" s="15">
        <v>3.363718280579453</v>
      </c>
      <c r="Z281" s="15">
        <v>4</v>
      </c>
      <c r="AA281" s="15">
        <v>3.260252714157104</v>
      </c>
      <c r="AB281" s="15">
        <v>4</v>
      </c>
      <c r="AC281" s="15">
        <v>4.2925000000000004</v>
      </c>
      <c r="AD281" s="15">
        <v>4</v>
      </c>
      <c r="AE281" s="15">
        <v>3.9960714285714278</v>
      </c>
    </row>
    <row r="282" spans="2:31" x14ac:dyDescent="0.2">
      <c r="B282" s="15">
        <v>5</v>
      </c>
      <c r="C282" s="15">
        <v>3.6076452117674132</v>
      </c>
      <c r="D282" s="15">
        <v>5</v>
      </c>
      <c r="E282" s="15">
        <v>3.79</v>
      </c>
      <c r="F282" s="15">
        <v>5</v>
      </c>
      <c r="G282" s="15">
        <v>3.4879601307019499</v>
      </c>
      <c r="H282" s="15">
        <v>5</v>
      </c>
      <c r="I282" s="15">
        <v>3.4681766000000001</v>
      </c>
      <c r="J282" s="15">
        <v>5</v>
      </c>
      <c r="K282" s="15">
        <v>3.6076452117674132</v>
      </c>
      <c r="L282" s="15">
        <v>5</v>
      </c>
      <c r="M282" s="15">
        <v>3.831386441976254</v>
      </c>
      <c r="N282" s="15">
        <v>5</v>
      </c>
      <c r="O282" s="15">
        <v>3.70940415091802</v>
      </c>
      <c r="P282" s="15">
        <v>5</v>
      </c>
      <c r="Q282" s="15">
        <v>3.819755577373928</v>
      </c>
      <c r="R282" s="15">
        <v>5</v>
      </c>
      <c r="S282" s="15">
        <v>4.0042820945869391</v>
      </c>
      <c r="T282" s="15">
        <v>5</v>
      </c>
      <c r="U282" s="15">
        <v>3.5817546797989319</v>
      </c>
      <c r="V282" s="15">
        <v>5</v>
      </c>
      <c r="W282" s="15">
        <v>3.220730304718018</v>
      </c>
      <c r="X282" s="15">
        <v>5</v>
      </c>
      <c r="Y282" s="15">
        <v>3.7866190960180148</v>
      </c>
      <c r="Z282" s="15">
        <v>5</v>
      </c>
      <c r="AA282" s="15">
        <v>3.6910631656646729</v>
      </c>
      <c r="AB282" s="15">
        <v>5</v>
      </c>
      <c r="AC282" s="15">
        <v>4.1280000000000001</v>
      </c>
      <c r="AD282" s="15">
        <v>5</v>
      </c>
      <c r="AE282" s="15">
        <v>4.2767380952380947</v>
      </c>
    </row>
    <row r="283" spans="2:31" x14ac:dyDescent="0.2">
      <c r="B283" s="15">
        <v>4</v>
      </c>
      <c r="C283" s="15">
        <v>3.7382990205669708</v>
      </c>
      <c r="D283" s="15">
        <v>4</v>
      </c>
      <c r="E283" s="15">
        <v>3.59</v>
      </c>
      <c r="F283" s="15">
        <v>4</v>
      </c>
      <c r="G283" s="15">
        <v>3.326881703077448</v>
      </c>
      <c r="H283" s="15">
        <v>4</v>
      </c>
      <c r="I283" s="15">
        <v>3.3248221999999998</v>
      </c>
      <c r="J283" s="15">
        <v>4</v>
      </c>
      <c r="K283" s="15">
        <v>3.7382990205669708</v>
      </c>
      <c r="L283" s="15">
        <v>4</v>
      </c>
      <c r="M283" s="15">
        <v>3.584545454545454</v>
      </c>
      <c r="N283" s="15">
        <v>4</v>
      </c>
      <c r="O283" s="15">
        <v>3.2673340179545711</v>
      </c>
      <c r="P283" s="15">
        <v>4</v>
      </c>
      <c r="Q283" s="15">
        <v>3.0916917140363669</v>
      </c>
      <c r="R283" s="15">
        <v>4</v>
      </c>
      <c r="S283" s="15">
        <v>3.0299995541333908</v>
      </c>
      <c r="T283" s="15">
        <v>4</v>
      </c>
      <c r="U283" s="15">
        <v>3.4578388420477189</v>
      </c>
      <c r="V283" s="15">
        <v>3</v>
      </c>
      <c r="W283" s="15">
        <v>3.9279720783233638</v>
      </c>
      <c r="X283" s="15">
        <v>4</v>
      </c>
      <c r="Y283" s="15">
        <v>3.487638852970854</v>
      </c>
      <c r="Z283" s="15">
        <v>4</v>
      </c>
      <c r="AA283" s="15">
        <v>3.6986360549926758</v>
      </c>
      <c r="AB283" s="15">
        <v>4</v>
      </c>
      <c r="AC283" s="15">
        <v>3.3641666666666659</v>
      </c>
      <c r="AD283" s="15">
        <v>4</v>
      </c>
      <c r="AE283" s="15">
        <v>3.394738095238095</v>
      </c>
    </row>
    <row r="284" spans="2:31" x14ac:dyDescent="0.2">
      <c r="B284" s="15">
        <v>4</v>
      </c>
      <c r="C284" s="15">
        <v>3.741349257440405</v>
      </c>
      <c r="D284" s="15">
        <v>4</v>
      </c>
      <c r="E284" s="15">
        <v>3.95</v>
      </c>
      <c r="F284" s="15">
        <v>4</v>
      </c>
      <c r="G284" s="15">
        <v>3.8123097973904949</v>
      </c>
      <c r="H284" s="15">
        <v>4</v>
      </c>
      <c r="I284" s="15">
        <v>3.8267312000000002</v>
      </c>
      <c r="J284" s="15">
        <v>4</v>
      </c>
      <c r="K284" s="15">
        <v>3.741349257440405</v>
      </c>
      <c r="L284" s="15">
        <v>4</v>
      </c>
      <c r="M284" s="15">
        <v>3.584545454545454</v>
      </c>
      <c r="N284" s="15">
        <v>4</v>
      </c>
      <c r="O284" s="15">
        <v>3.8255008158698649</v>
      </c>
      <c r="P284" s="15">
        <v>4</v>
      </c>
      <c r="Q284" s="15">
        <v>3.8531434743848818</v>
      </c>
      <c r="R284" s="15">
        <v>4</v>
      </c>
      <c r="S284" s="15">
        <v>3.6366522664772498</v>
      </c>
      <c r="T284" s="15">
        <v>4</v>
      </c>
      <c r="U284" s="15">
        <v>3.837087081195401</v>
      </c>
      <c r="V284" s="15">
        <v>4</v>
      </c>
      <c r="W284" s="15">
        <v>4.1924862861633301</v>
      </c>
      <c r="X284" s="15">
        <v>4</v>
      </c>
      <c r="Y284" s="15">
        <v>4.2122468262156296</v>
      </c>
      <c r="Z284" s="15">
        <v>4</v>
      </c>
      <c r="AA284" s="15">
        <v>3.9651093482971191</v>
      </c>
      <c r="AB284" s="15">
        <v>4</v>
      </c>
      <c r="AC284" s="15">
        <v>4.2107857142857137</v>
      </c>
      <c r="AD284" s="15">
        <v>4</v>
      </c>
      <c r="AE284" s="15">
        <v>3.3965833333333331</v>
      </c>
    </row>
    <row r="285" spans="2:31" x14ac:dyDescent="0.2">
      <c r="B285" s="15">
        <v>4</v>
      </c>
      <c r="C285" s="15">
        <v>3.4415985796458459</v>
      </c>
      <c r="D285" s="15">
        <v>4</v>
      </c>
      <c r="E285" s="15">
        <v>3.91</v>
      </c>
      <c r="F285" s="15">
        <v>4</v>
      </c>
      <c r="G285" s="15">
        <v>3.9329234320150661</v>
      </c>
      <c r="H285" s="15">
        <v>4</v>
      </c>
      <c r="I285" s="15">
        <v>3.9834320000000001</v>
      </c>
      <c r="J285" s="15">
        <v>4</v>
      </c>
      <c r="K285" s="15">
        <v>3.4415985796458459</v>
      </c>
      <c r="L285" s="15">
        <v>4</v>
      </c>
      <c r="M285" s="15">
        <v>3.8559999999999999</v>
      </c>
      <c r="N285" s="15">
        <v>4</v>
      </c>
      <c r="O285" s="15">
        <v>3.05204476648374</v>
      </c>
      <c r="P285" s="15">
        <v>4</v>
      </c>
      <c r="Q285" s="15">
        <v>3.2559243281119228</v>
      </c>
      <c r="R285" s="15">
        <v>4</v>
      </c>
      <c r="S285" s="15">
        <v>2.5282929188402128</v>
      </c>
      <c r="T285" s="15">
        <v>4</v>
      </c>
      <c r="U285" s="15">
        <v>3.0031077476322379</v>
      </c>
      <c r="V285" s="15">
        <v>1</v>
      </c>
      <c r="W285" s="15">
        <v>3.408443689346313</v>
      </c>
      <c r="X285" s="15">
        <v>4</v>
      </c>
      <c r="Y285" s="15">
        <v>3.7546940331440868</v>
      </c>
      <c r="Z285" s="15">
        <v>4</v>
      </c>
      <c r="AA285" s="15">
        <v>3.552848339080811</v>
      </c>
      <c r="AB285" s="15">
        <v>4</v>
      </c>
      <c r="AC285" s="15">
        <v>3.184416666666666</v>
      </c>
      <c r="AD285" s="15">
        <v>4</v>
      </c>
      <c r="AE285" s="15">
        <v>2.6103021978021972</v>
      </c>
    </row>
    <row r="286" spans="2:31" x14ac:dyDescent="0.2">
      <c r="B286" s="15">
        <v>5</v>
      </c>
      <c r="C286" s="15">
        <v>3.7197672491166331</v>
      </c>
      <c r="D286" s="15">
        <v>5</v>
      </c>
      <c r="E286" s="15">
        <v>3.52</v>
      </c>
      <c r="F286" s="15">
        <v>5</v>
      </c>
      <c r="G286" s="15">
        <v>3.6740236834147342</v>
      </c>
      <c r="H286" s="15">
        <v>5</v>
      </c>
      <c r="I286" s="15">
        <v>3.7573376000000001</v>
      </c>
      <c r="J286" s="15">
        <v>5</v>
      </c>
      <c r="K286" s="15">
        <v>3.7197672491166331</v>
      </c>
      <c r="L286" s="15">
        <v>5</v>
      </c>
      <c r="M286" s="15">
        <v>3.607255948611237</v>
      </c>
      <c r="N286" s="15">
        <v>5</v>
      </c>
      <c r="O286" s="15">
        <v>3.4497176964415002</v>
      </c>
      <c r="P286" s="15">
        <v>5</v>
      </c>
      <c r="Q286" s="15">
        <v>3.7047723415104481</v>
      </c>
      <c r="R286" s="15">
        <v>5</v>
      </c>
      <c r="S286" s="15">
        <v>3.8454845349278188</v>
      </c>
      <c r="T286" s="15">
        <v>5</v>
      </c>
      <c r="U286" s="15">
        <v>3.8389880346382701</v>
      </c>
      <c r="V286" s="15">
        <v>5</v>
      </c>
      <c r="W286" s="15">
        <v>3.3238177299499512</v>
      </c>
      <c r="X286" s="15">
        <v>5</v>
      </c>
      <c r="Y286" s="15">
        <v>3.623085221064791</v>
      </c>
      <c r="Z286" s="15">
        <v>5</v>
      </c>
      <c r="AA286" s="15">
        <v>3.6468758583068852</v>
      </c>
      <c r="AB286" s="15">
        <v>5</v>
      </c>
      <c r="AC286" s="15">
        <v>4.0413333333333341</v>
      </c>
      <c r="AD286" s="15">
        <v>5</v>
      </c>
      <c r="AE286" s="15">
        <v>4.2059365079365083</v>
      </c>
    </row>
    <row r="287" spans="2:31" x14ac:dyDescent="0.2">
      <c r="B287" s="15">
        <v>3</v>
      </c>
      <c r="C287" s="15">
        <v>3.6421831295832479</v>
      </c>
      <c r="D287" s="15">
        <v>3</v>
      </c>
      <c r="E287" s="15">
        <v>3.85</v>
      </c>
      <c r="F287" s="15">
        <v>3</v>
      </c>
      <c r="G287" s="15">
        <v>3.8426721536185942</v>
      </c>
      <c r="H287" s="15">
        <v>3</v>
      </c>
      <c r="I287" s="15">
        <v>3.6901473999999999</v>
      </c>
      <c r="J287" s="15">
        <v>3</v>
      </c>
      <c r="K287" s="15">
        <v>3.642183129583247</v>
      </c>
      <c r="L287" s="15">
        <v>3</v>
      </c>
      <c r="M287" s="15">
        <v>3.831386441976254</v>
      </c>
      <c r="N287" s="15">
        <v>3</v>
      </c>
      <c r="O287" s="15">
        <v>3.6322472432500792</v>
      </c>
      <c r="P287" s="15">
        <v>3</v>
      </c>
      <c r="Q287" s="15">
        <v>3.7205060778366978</v>
      </c>
      <c r="R287" s="15">
        <v>3</v>
      </c>
      <c r="S287" s="15">
        <v>3.8972467673852891</v>
      </c>
      <c r="T287" s="15">
        <v>3</v>
      </c>
      <c r="U287" s="15">
        <v>3.8092443169374421</v>
      </c>
      <c r="V287" s="15">
        <v>4</v>
      </c>
      <c r="W287" s="15">
        <v>4.2504262924194336</v>
      </c>
      <c r="X287" s="15">
        <v>3</v>
      </c>
      <c r="Y287" s="15">
        <v>3.7677685884158918</v>
      </c>
      <c r="Z287" s="15">
        <v>3</v>
      </c>
      <c r="AA287" s="15">
        <v>3.719097375869751</v>
      </c>
      <c r="AB287" s="15">
        <v>3</v>
      </c>
      <c r="AC287" s="15">
        <v>3.9704523809523811</v>
      </c>
      <c r="AD287" s="15">
        <v>3</v>
      </c>
      <c r="AE287" s="15">
        <v>4.0248888888888894</v>
      </c>
    </row>
    <row r="288" spans="2:31" x14ac:dyDescent="0.2">
      <c r="B288" s="15">
        <v>5</v>
      </c>
      <c r="C288" s="15">
        <v>3.763298797679365</v>
      </c>
      <c r="D288" s="15">
        <v>5</v>
      </c>
      <c r="E288" s="15">
        <v>4.41</v>
      </c>
      <c r="F288" s="15">
        <v>5</v>
      </c>
      <c r="G288" s="15">
        <v>4.3872096874714499</v>
      </c>
      <c r="H288" s="15">
        <v>5</v>
      </c>
      <c r="I288" s="15">
        <v>4.6193530000000003</v>
      </c>
      <c r="J288" s="15">
        <v>5</v>
      </c>
      <c r="K288" s="15">
        <v>3.763298797679365</v>
      </c>
      <c r="L288" s="15">
        <v>5</v>
      </c>
      <c r="M288" s="15">
        <v>4.3465189873417716</v>
      </c>
      <c r="N288" s="15">
        <v>5</v>
      </c>
      <c r="O288" s="15">
        <v>3.4594670913479999</v>
      </c>
      <c r="P288" s="15">
        <v>5</v>
      </c>
      <c r="Q288" s="15">
        <v>3.507610241062094</v>
      </c>
      <c r="R288" s="15">
        <v>5</v>
      </c>
      <c r="S288" s="15">
        <v>3.2485967333403551</v>
      </c>
      <c r="T288" s="15">
        <v>5</v>
      </c>
      <c r="U288" s="15">
        <v>3.9796907184355992</v>
      </c>
      <c r="V288" s="15">
        <v>2</v>
      </c>
      <c r="W288" s="15">
        <v>3.3782544136047359</v>
      </c>
      <c r="X288" s="15">
        <v>5</v>
      </c>
      <c r="Y288" s="15">
        <v>3.9222454752709668</v>
      </c>
      <c r="Z288" s="15">
        <v>5</v>
      </c>
      <c r="AA288" s="15">
        <v>4.2940278053283691</v>
      </c>
      <c r="AB288" s="15">
        <v>5</v>
      </c>
      <c r="AC288" s="15">
        <v>4.0608333333333331</v>
      </c>
      <c r="AD288" s="15">
        <v>5</v>
      </c>
      <c r="AE288" s="15">
        <v>3.452</v>
      </c>
    </row>
    <row r="289" spans="2:31" x14ac:dyDescent="0.2">
      <c r="B289" s="15">
        <v>5</v>
      </c>
      <c r="C289" s="15">
        <v>3.633402205422299</v>
      </c>
      <c r="D289" s="15">
        <v>5</v>
      </c>
      <c r="E289" s="15">
        <v>3.81</v>
      </c>
      <c r="F289" s="15">
        <v>5</v>
      </c>
      <c r="G289" s="15">
        <v>3.692044040824761</v>
      </c>
      <c r="H289" s="15">
        <v>5</v>
      </c>
      <c r="I289" s="15">
        <v>3.5718212</v>
      </c>
      <c r="J289" s="15">
        <v>5</v>
      </c>
      <c r="K289" s="15">
        <v>3.633402205422299</v>
      </c>
      <c r="L289" s="15">
        <v>5</v>
      </c>
      <c r="M289" s="15">
        <v>3.7917898193760262</v>
      </c>
      <c r="N289" s="15">
        <v>5</v>
      </c>
      <c r="O289" s="15">
        <v>4.7571338747998411</v>
      </c>
      <c r="P289" s="15">
        <v>5</v>
      </c>
      <c r="Q289" s="15">
        <v>4.4860705461604864</v>
      </c>
      <c r="R289" s="15">
        <v>5</v>
      </c>
      <c r="S289" s="15">
        <v>4.5531092270597719</v>
      </c>
      <c r="T289" s="15">
        <v>5</v>
      </c>
      <c r="U289" s="15">
        <v>4.5061920576419308</v>
      </c>
      <c r="V289" s="15">
        <v>2</v>
      </c>
      <c r="W289" s="15">
        <v>2.9420797824859619</v>
      </c>
      <c r="X289" s="15">
        <v>5</v>
      </c>
      <c r="Y289" s="15">
        <v>4.3011459403112422</v>
      </c>
      <c r="Z289" s="15">
        <v>5</v>
      </c>
      <c r="AA289" s="15">
        <v>4.7894973754882812</v>
      </c>
      <c r="AB289" s="15">
        <v>5</v>
      </c>
      <c r="AC289" s="15">
        <v>4.434273809523809</v>
      </c>
      <c r="AD289" s="15">
        <v>5</v>
      </c>
      <c r="AE289" s="15">
        <v>4.0650833333333329</v>
      </c>
    </row>
    <row r="290" spans="2:31" x14ac:dyDescent="0.2">
      <c r="B290" s="15">
        <v>5</v>
      </c>
      <c r="C290" s="15">
        <v>4.4009575097435878</v>
      </c>
      <c r="D290" s="15">
        <v>5</v>
      </c>
      <c r="E290" s="15">
        <v>4.2</v>
      </c>
      <c r="F290" s="15">
        <v>5</v>
      </c>
      <c r="G290" s="15">
        <v>4.5786569770542327</v>
      </c>
      <c r="H290" s="15">
        <v>5</v>
      </c>
      <c r="I290" s="15">
        <v>4.5426187999999996</v>
      </c>
      <c r="J290" s="15">
        <v>5</v>
      </c>
      <c r="K290" s="15">
        <v>4.4009575097435878</v>
      </c>
      <c r="L290" s="15">
        <v>5</v>
      </c>
      <c r="M290" s="15">
        <v>4.3469162995594717</v>
      </c>
      <c r="N290" s="15">
        <v>5</v>
      </c>
      <c r="O290" s="15">
        <v>4.6330417275765416</v>
      </c>
      <c r="P290" s="15">
        <v>5</v>
      </c>
      <c r="Q290" s="15">
        <v>4.4411615288916444</v>
      </c>
      <c r="R290" s="15">
        <v>5</v>
      </c>
      <c r="S290" s="15">
        <v>4.7246648575047674</v>
      </c>
      <c r="T290" s="15">
        <v>5</v>
      </c>
      <c r="U290" s="15">
        <v>4.4318534385805419</v>
      </c>
      <c r="V290" s="15">
        <v>4</v>
      </c>
      <c r="W290" s="15">
        <v>4.3478875160217294</v>
      </c>
      <c r="X290" s="15">
        <v>5</v>
      </c>
      <c r="Y290" s="15">
        <v>4.2354516611270876</v>
      </c>
      <c r="Z290" s="15">
        <v>5</v>
      </c>
      <c r="AA290" s="15">
        <v>4.3213467597961426</v>
      </c>
      <c r="AB290" s="15">
        <v>5</v>
      </c>
      <c r="AC290" s="15">
        <v>4.2238492063492057</v>
      </c>
      <c r="AD290" s="15">
        <v>5</v>
      </c>
      <c r="AE290" s="15">
        <v>4.3261111111111106</v>
      </c>
    </row>
    <row r="291" spans="2:31" x14ac:dyDescent="0.2">
      <c r="B291" s="15">
        <v>2</v>
      </c>
      <c r="C291" s="15">
        <v>3.6532882401443389</v>
      </c>
      <c r="D291" s="15">
        <v>2</v>
      </c>
      <c r="E291" s="15">
        <v>3.7</v>
      </c>
      <c r="F291" s="15">
        <v>2</v>
      </c>
      <c r="G291" s="15">
        <v>3.7278477891248989</v>
      </c>
      <c r="H291" s="15">
        <v>2</v>
      </c>
      <c r="I291" s="15">
        <v>3.5047293000000002</v>
      </c>
      <c r="J291" s="15">
        <v>2</v>
      </c>
      <c r="K291" s="15">
        <v>3.6532882401443389</v>
      </c>
      <c r="L291" s="15">
        <v>2</v>
      </c>
      <c r="M291" s="15">
        <v>3.7990622906898861</v>
      </c>
      <c r="N291" s="15">
        <v>2</v>
      </c>
      <c r="O291" s="15">
        <v>3.4778399440254688</v>
      </c>
      <c r="P291" s="15">
        <v>2</v>
      </c>
      <c r="Q291" s="15">
        <v>2.4341309429728861</v>
      </c>
      <c r="R291" s="15">
        <v>2</v>
      </c>
      <c r="S291" s="15">
        <v>2.604530862522759</v>
      </c>
      <c r="T291" s="15">
        <v>2</v>
      </c>
      <c r="U291" s="15">
        <v>3.6048051381020318</v>
      </c>
      <c r="V291" s="15">
        <v>4</v>
      </c>
      <c r="W291" s="15">
        <v>3.9863486289978032</v>
      </c>
      <c r="X291" s="15">
        <v>2</v>
      </c>
      <c r="Y291" s="15">
        <v>3.6134775979555558</v>
      </c>
      <c r="Z291" s="15">
        <v>2</v>
      </c>
      <c r="AA291" s="15">
        <v>3.6080367565155029</v>
      </c>
      <c r="AB291" s="15">
        <v>2</v>
      </c>
      <c r="AC291" s="15">
        <v>2.745833333333334</v>
      </c>
      <c r="AD291" s="15">
        <v>2</v>
      </c>
      <c r="AE291" s="15">
        <v>2.186666666666667</v>
      </c>
    </row>
    <row r="292" spans="2:31" x14ac:dyDescent="0.2">
      <c r="B292" s="15">
        <v>4</v>
      </c>
      <c r="C292" s="15">
        <v>3.4551744503806998</v>
      </c>
      <c r="D292" s="15">
        <v>4</v>
      </c>
      <c r="E292" s="15">
        <v>3.41</v>
      </c>
      <c r="F292" s="15">
        <v>4</v>
      </c>
      <c r="G292" s="15">
        <v>3.0305003485891921</v>
      </c>
      <c r="H292" s="15">
        <v>4</v>
      </c>
      <c r="I292" s="15">
        <v>2.9315007</v>
      </c>
      <c r="J292" s="15">
        <v>4</v>
      </c>
      <c r="K292" s="15">
        <v>3.4551744503806998</v>
      </c>
      <c r="L292" s="15">
        <v>4</v>
      </c>
      <c r="M292" s="15">
        <v>3.0715307582260372</v>
      </c>
      <c r="N292" s="15">
        <v>4</v>
      </c>
      <c r="O292" s="15">
        <v>3.5212073038540201</v>
      </c>
      <c r="P292" s="15">
        <v>4</v>
      </c>
      <c r="Q292" s="15">
        <v>3.1933081226784128</v>
      </c>
      <c r="R292" s="15">
        <v>4</v>
      </c>
      <c r="S292" s="15">
        <v>3.2825935951406748</v>
      </c>
      <c r="T292" s="15">
        <v>4</v>
      </c>
      <c r="U292" s="15">
        <v>3.9014007982650099</v>
      </c>
      <c r="V292" s="15">
        <v>5</v>
      </c>
      <c r="W292" s="15">
        <v>3.9378163814544682</v>
      </c>
      <c r="X292" s="15">
        <v>4</v>
      </c>
      <c r="Y292" s="15">
        <v>3.835109512098648</v>
      </c>
      <c r="Z292" s="15">
        <v>4</v>
      </c>
      <c r="AA292" s="15">
        <v>3.599414587020874</v>
      </c>
      <c r="AB292" s="15">
        <v>4</v>
      </c>
      <c r="AC292" s="15">
        <v>3.7876904761904759</v>
      </c>
      <c r="AD292" s="15">
        <v>4</v>
      </c>
      <c r="AE292" s="15">
        <v>3.2645714285714278</v>
      </c>
    </row>
    <row r="293" spans="2:31" x14ac:dyDescent="0.2">
      <c r="B293" s="15">
        <v>3</v>
      </c>
      <c r="C293" s="15">
        <v>3.8715029035246782</v>
      </c>
      <c r="D293" s="15">
        <v>3</v>
      </c>
      <c r="E293" s="15">
        <v>3.9</v>
      </c>
      <c r="F293" s="15">
        <v>3</v>
      </c>
      <c r="G293" s="15">
        <v>3.7402417585425778</v>
      </c>
      <c r="H293" s="15">
        <v>3</v>
      </c>
      <c r="I293" s="15">
        <v>3.8194568000000002</v>
      </c>
      <c r="J293" s="15">
        <v>3</v>
      </c>
      <c r="K293" s="15">
        <v>3.8715029035246782</v>
      </c>
      <c r="L293" s="15">
        <v>3</v>
      </c>
      <c r="M293" s="15">
        <v>3.584545454545454</v>
      </c>
      <c r="N293" s="15">
        <v>3</v>
      </c>
      <c r="O293" s="15">
        <v>3.4014911105095171</v>
      </c>
      <c r="P293" s="15">
        <v>3</v>
      </c>
      <c r="Q293" s="15">
        <v>2.73248901297071</v>
      </c>
      <c r="R293" s="15">
        <v>3</v>
      </c>
      <c r="S293" s="15">
        <v>2.421178874853398</v>
      </c>
      <c r="T293" s="15">
        <v>3</v>
      </c>
      <c r="U293" s="15">
        <v>3.5316656662496588</v>
      </c>
      <c r="V293" s="15">
        <v>4</v>
      </c>
      <c r="W293" s="15">
        <v>3.028171062469482</v>
      </c>
      <c r="X293" s="15">
        <v>3</v>
      </c>
      <c r="Y293" s="15">
        <v>3.6558625852190421</v>
      </c>
      <c r="Z293" s="15">
        <v>3</v>
      </c>
      <c r="AA293" s="15">
        <v>3.405185461044312</v>
      </c>
      <c r="AB293" s="15">
        <v>3</v>
      </c>
      <c r="AC293" s="15">
        <v>3.1438095238095252</v>
      </c>
      <c r="AD293" s="15">
        <v>3</v>
      </c>
      <c r="AE293" s="15">
        <v>2.78590873015873</v>
      </c>
    </row>
    <row r="294" spans="2:31" x14ac:dyDescent="0.2">
      <c r="B294" s="15">
        <v>5</v>
      </c>
      <c r="C294" s="15">
        <v>4.0072396948890399</v>
      </c>
      <c r="D294" s="15">
        <v>5</v>
      </c>
      <c r="E294" s="15">
        <v>4.6500000000000004</v>
      </c>
      <c r="F294" s="15">
        <v>5</v>
      </c>
      <c r="G294" s="15">
        <v>4.8065077082578256</v>
      </c>
      <c r="H294" s="15">
        <v>5</v>
      </c>
      <c r="I294" s="15">
        <v>4.9578347000000003</v>
      </c>
      <c r="J294" s="15">
        <v>5</v>
      </c>
      <c r="K294" s="15">
        <v>4.0072396948890399</v>
      </c>
      <c r="L294" s="15">
        <v>5</v>
      </c>
      <c r="M294" s="15">
        <v>4.8080568720379144</v>
      </c>
      <c r="N294" s="15">
        <v>5</v>
      </c>
      <c r="O294" s="15">
        <v>4.0456328367733452</v>
      </c>
      <c r="P294" s="15">
        <v>5</v>
      </c>
      <c r="Q294" s="15">
        <v>3.8019814775824479</v>
      </c>
      <c r="R294" s="15">
        <v>5</v>
      </c>
      <c r="S294" s="15">
        <v>3.8703887528196832</v>
      </c>
      <c r="T294" s="15">
        <v>5</v>
      </c>
      <c r="U294" s="15">
        <v>4.1853800688910576</v>
      </c>
      <c r="V294" s="15">
        <v>3</v>
      </c>
      <c r="W294" s="15">
        <v>3.2098174095153809</v>
      </c>
      <c r="X294" s="15">
        <v>5</v>
      </c>
      <c r="Y294" s="15">
        <v>3.9781682320414289</v>
      </c>
      <c r="Z294" s="15">
        <v>5</v>
      </c>
      <c r="AA294" s="15">
        <v>4.245661735534668</v>
      </c>
      <c r="AB294" s="15">
        <v>5</v>
      </c>
      <c r="AC294" s="15">
        <v>3.8944999999999999</v>
      </c>
      <c r="AD294" s="15">
        <v>5</v>
      </c>
      <c r="AE294" s="15">
        <v>4.0750833333333336</v>
      </c>
    </row>
    <row r="295" spans="2:31" x14ac:dyDescent="0.2">
      <c r="B295" s="15">
        <v>3</v>
      </c>
      <c r="C295" s="15">
        <v>3.706671706553867</v>
      </c>
      <c r="D295" s="15">
        <v>3</v>
      </c>
      <c r="E295" s="15">
        <v>3.88</v>
      </c>
      <c r="F295" s="15">
        <v>3</v>
      </c>
      <c r="G295" s="15">
        <v>3.7894074405708742</v>
      </c>
      <c r="H295" s="15">
        <v>3</v>
      </c>
      <c r="I295" s="15">
        <v>3.6671398000000002</v>
      </c>
      <c r="J295" s="15">
        <v>3</v>
      </c>
      <c r="K295" s="15">
        <v>3.706671706553867</v>
      </c>
      <c r="L295" s="15">
        <v>3</v>
      </c>
      <c r="M295" s="15">
        <v>3.4800233304170312</v>
      </c>
      <c r="N295" s="15">
        <v>3</v>
      </c>
      <c r="O295" s="15">
        <v>3.8566307778254272</v>
      </c>
      <c r="P295" s="15">
        <v>3</v>
      </c>
      <c r="Q295" s="15">
        <v>3.211747065933455</v>
      </c>
      <c r="R295" s="15">
        <v>3</v>
      </c>
      <c r="S295" s="15">
        <v>3.0389777274462451</v>
      </c>
      <c r="T295" s="15">
        <v>3</v>
      </c>
      <c r="U295" s="15">
        <v>4.0385579583277549</v>
      </c>
      <c r="V295" s="15">
        <v>4</v>
      </c>
      <c r="W295" s="15">
        <v>4.3773045539855957</v>
      </c>
      <c r="X295" s="15">
        <v>3</v>
      </c>
      <c r="Y295" s="15">
        <v>3.9849853182816388</v>
      </c>
      <c r="Z295" s="15">
        <v>3</v>
      </c>
      <c r="AA295" s="15">
        <v>3.847323894500732</v>
      </c>
      <c r="AB295" s="15">
        <v>3</v>
      </c>
      <c r="AC295" s="15">
        <v>3.7881746031746042</v>
      </c>
      <c r="AD295" s="15">
        <v>3</v>
      </c>
      <c r="AE295" s="15">
        <v>3.090642857142857</v>
      </c>
    </row>
    <row r="296" spans="2:31" x14ac:dyDescent="0.2">
      <c r="B296" s="15">
        <v>2</v>
      </c>
      <c r="C296" s="15">
        <v>2.362512505547314</v>
      </c>
      <c r="D296" s="15">
        <v>2</v>
      </c>
      <c r="E296" s="15">
        <v>1.77</v>
      </c>
      <c r="F296" s="15">
        <v>2</v>
      </c>
      <c r="G296" s="15">
        <v>1.8871763479253489</v>
      </c>
      <c r="H296" s="15">
        <v>2</v>
      </c>
      <c r="I296" s="15">
        <v>1.9537342</v>
      </c>
      <c r="J296" s="15">
        <v>2</v>
      </c>
      <c r="K296" s="15">
        <v>2.362512505547314</v>
      </c>
      <c r="L296" s="15">
        <v>2</v>
      </c>
      <c r="M296" s="15">
        <v>1.6890756302521011</v>
      </c>
      <c r="N296" s="15">
        <v>2</v>
      </c>
      <c r="O296" s="15">
        <v>4.007259087522657</v>
      </c>
      <c r="P296" s="15">
        <v>2</v>
      </c>
      <c r="Q296" s="15">
        <v>3.4287176411732379</v>
      </c>
      <c r="R296" s="15">
        <v>2</v>
      </c>
      <c r="S296" s="15">
        <v>3.847879198645435</v>
      </c>
      <c r="T296" s="15">
        <v>2</v>
      </c>
      <c r="U296" s="15">
        <v>4.0210447160781007</v>
      </c>
      <c r="V296" s="15">
        <v>3</v>
      </c>
      <c r="W296" s="15">
        <v>3.966652631759644</v>
      </c>
      <c r="X296" s="15">
        <v>2</v>
      </c>
      <c r="Y296" s="15">
        <v>4.0089053777571584</v>
      </c>
      <c r="Z296" s="15">
        <v>2</v>
      </c>
      <c r="AA296" s="15">
        <v>4.1991796493530273</v>
      </c>
      <c r="AB296" s="15">
        <v>2</v>
      </c>
      <c r="AC296" s="15">
        <v>2.784333333333334</v>
      </c>
      <c r="AD296" s="15">
        <v>2</v>
      </c>
      <c r="AE296" s="15">
        <v>3.4476507936507939</v>
      </c>
    </row>
    <row r="297" spans="2:31" x14ac:dyDescent="0.2">
      <c r="B297" s="15">
        <v>3</v>
      </c>
      <c r="C297" s="15">
        <v>1.3389575611211439</v>
      </c>
      <c r="D297" s="15">
        <v>3</v>
      </c>
      <c r="E297" s="15">
        <v>1.41</v>
      </c>
      <c r="F297" s="15">
        <v>3</v>
      </c>
      <c r="G297" s="15">
        <v>1.26897267730068</v>
      </c>
      <c r="H297" s="15">
        <v>3</v>
      </c>
      <c r="I297" s="15">
        <v>0.90654564000000004</v>
      </c>
      <c r="J297" s="15">
        <v>3</v>
      </c>
      <c r="K297" s="15">
        <v>1.3389575611211439</v>
      </c>
      <c r="L297" s="15">
        <v>3</v>
      </c>
      <c r="M297" s="15">
        <v>1.3855670103092781</v>
      </c>
      <c r="N297" s="15">
        <v>3</v>
      </c>
      <c r="O297" s="15">
        <v>2.9529163841831032</v>
      </c>
      <c r="P297" s="15">
        <v>3</v>
      </c>
      <c r="Q297" s="15">
        <v>2.1309726113614071</v>
      </c>
      <c r="R297" s="15">
        <v>3</v>
      </c>
      <c r="S297" s="15">
        <v>2.9965156716835399</v>
      </c>
      <c r="T297" s="15">
        <v>3</v>
      </c>
      <c r="U297" s="15">
        <v>2.7901104077993359</v>
      </c>
      <c r="V297" s="15">
        <v>5</v>
      </c>
      <c r="W297" s="15">
        <v>3.3910436630249019</v>
      </c>
      <c r="X297" s="15">
        <v>3</v>
      </c>
      <c r="Y297" s="15">
        <v>2.0074159908842089</v>
      </c>
      <c r="Z297" s="15">
        <v>3</v>
      </c>
      <c r="AA297" s="15">
        <v>1.678683876991272</v>
      </c>
      <c r="AB297" s="15">
        <v>3</v>
      </c>
      <c r="AC297" s="15">
        <v>1.8190714285714289</v>
      </c>
      <c r="AD297" s="15">
        <v>3</v>
      </c>
      <c r="AE297" s="15">
        <v>2.6270952380952379</v>
      </c>
    </row>
    <row r="298" spans="2:31" x14ac:dyDescent="0.2">
      <c r="B298" s="15">
        <v>5</v>
      </c>
      <c r="C298" s="15">
        <v>3.8431643879843702</v>
      </c>
      <c r="D298" s="15">
        <v>5</v>
      </c>
      <c r="E298" s="15">
        <v>3.99</v>
      </c>
      <c r="F298" s="15">
        <v>5</v>
      </c>
      <c r="G298" s="15">
        <v>4.0139528660191104</v>
      </c>
      <c r="H298" s="15">
        <v>5</v>
      </c>
      <c r="I298" s="15">
        <v>4.0645328000000003</v>
      </c>
      <c r="J298" s="15">
        <v>5</v>
      </c>
      <c r="K298" s="15">
        <v>3.8431643879843702</v>
      </c>
      <c r="L298" s="15">
        <v>5</v>
      </c>
      <c r="M298" s="15">
        <v>4.0155208964264082</v>
      </c>
      <c r="N298" s="15">
        <v>5</v>
      </c>
      <c r="O298" s="15">
        <v>4.1311581492280238</v>
      </c>
      <c r="P298" s="15">
        <v>5</v>
      </c>
      <c r="Q298" s="15">
        <v>4.6339384206682874</v>
      </c>
      <c r="R298" s="15">
        <v>5</v>
      </c>
      <c r="S298" s="15">
        <v>5.0364560434190864</v>
      </c>
      <c r="T298" s="15">
        <v>5</v>
      </c>
      <c r="U298" s="15">
        <v>4.384688757079843</v>
      </c>
      <c r="V298" s="15">
        <v>2</v>
      </c>
      <c r="W298" s="15">
        <v>1.9729771614074709</v>
      </c>
      <c r="X298" s="15">
        <v>5</v>
      </c>
      <c r="Y298" s="15">
        <v>4.239814715737583</v>
      </c>
      <c r="Z298" s="15">
        <v>5</v>
      </c>
      <c r="AA298" s="15">
        <v>4.0422353744506836</v>
      </c>
      <c r="AB298" s="15">
        <v>5</v>
      </c>
      <c r="AC298" s="15">
        <v>4.6274523809523807</v>
      </c>
      <c r="AD298" s="15">
        <v>5</v>
      </c>
      <c r="AE298" s="15">
        <v>4.7331666666666674</v>
      </c>
    </row>
    <row r="299" spans="2:31" x14ac:dyDescent="0.2">
      <c r="B299" s="15">
        <v>5</v>
      </c>
      <c r="C299" s="15">
        <v>3.7544405588526222</v>
      </c>
      <c r="D299" s="15">
        <v>5</v>
      </c>
      <c r="E299" s="15">
        <v>3.88</v>
      </c>
      <c r="F299" s="15">
        <v>5</v>
      </c>
      <c r="G299" s="15">
        <v>4.0520718664000501</v>
      </c>
      <c r="H299" s="15">
        <v>5</v>
      </c>
      <c r="I299" s="15">
        <v>3.9963586000000002</v>
      </c>
      <c r="J299" s="15">
        <v>5</v>
      </c>
      <c r="K299" s="15">
        <v>3.7544405588526222</v>
      </c>
      <c r="L299" s="15">
        <v>5</v>
      </c>
      <c r="M299" s="15">
        <v>4.1937967914438499</v>
      </c>
      <c r="N299" s="15">
        <v>5</v>
      </c>
      <c r="O299" s="15">
        <v>4.2555626332959644</v>
      </c>
      <c r="P299" s="15">
        <v>5</v>
      </c>
      <c r="Q299" s="15">
        <v>4.2433412384453764</v>
      </c>
      <c r="R299" s="15">
        <v>5</v>
      </c>
      <c r="S299" s="15">
        <v>4.3560148271328138</v>
      </c>
      <c r="T299" s="15">
        <v>5</v>
      </c>
      <c r="U299" s="15">
        <v>4.0992953418474798</v>
      </c>
      <c r="V299" s="15">
        <v>3</v>
      </c>
      <c r="W299" s="15">
        <v>2.975518941879272</v>
      </c>
      <c r="X299" s="15">
        <v>5</v>
      </c>
      <c r="Y299" s="15">
        <v>3.4267588087258831</v>
      </c>
      <c r="Z299" s="15">
        <v>5</v>
      </c>
      <c r="AA299" s="15">
        <v>3.651777982711792</v>
      </c>
      <c r="AB299" s="15">
        <v>5</v>
      </c>
      <c r="AC299" s="15">
        <v>3.9466190476190479</v>
      </c>
      <c r="AD299" s="15">
        <v>5</v>
      </c>
      <c r="AE299" s="15">
        <v>4.4546666666666663</v>
      </c>
    </row>
    <row r="300" spans="2:31" x14ac:dyDescent="0.2">
      <c r="B300" s="15">
        <v>2</v>
      </c>
      <c r="C300" s="15">
        <v>0.4639920522817586</v>
      </c>
      <c r="D300" s="15">
        <v>2</v>
      </c>
      <c r="E300" s="15">
        <v>1.52</v>
      </c>
      <c r="F300" s="15">
        <v>2</v>
      </c>
      <c r="G300" s="15">
        <v>1.692623492265356</v>
      </c>
      <c r="H300" s="15">
        <v>2</v>
      </c>
      <c r="I300" s="15">
        <v>1.8313657999999999</v>
      </c>
      <c r="J300" s="15">
        <v>2</v>
      </c>
      <c r="K300" s="15">
        <v>0.46399205228175872</v>
      </c>
      <c r="L300" s="15">
        <v>2</v>
      </c>
      <c r="M300" s="15">
        <v>1.603053435114504</v>
      </c>
      <c r="N300" s="15">
        <v>2</v>
      </c>
      <c r="O300" s="15">
        <v>2.4247748453140749</v>
      </c>
      <c r="P300" s="15">
        <v>2</v>
      </c>
      <c r="Q300" s="15">
        <v>0.2070662392974372</v>
      </c>
      <c r="R300" s="15">
        <v>2</v>
      </c>
      <c r="S300" s="15">
        <v>2.6378987589504681</v>
      </c>
      <c r="T300" s="15">
        <v>2</v>
      </c>
      <c r="U300" s="15">
        <v>2.8172850587118861</v>
      </c>
      <c r="V300" s="15">
        <v>5</v>
      </c>
      <c r="W300" s="15">
        <v>3.4791452884674068</v>
      </c>
      <c r="X300" s="15">
        <v>2</v>
      </c>
      <c r="Y300" s="15">
        <v>3.2816421111236229</v>
      </c>
      <c r="Z300" s="15">
        <v>2</v>
      </c>
      <c r="AA300" s="15">
        <v>3.0585143566131592</v>
      </c>
      <c r="AB300" s="15">
        <v>2</v>
      </c>
      <c r="AC300" s="15">
        <v>1.8905833333333331</v>
      </c>
      <c r="AD300" s="15">
        <v>2</v>
      </c>
      <c r="AE300" s="15">
        <v>2.5106666666666668</v>
      </c>
    </row>
    <row r="301" spans="2:31" x14ac:dyDescent="0.2">
      <c r="B301" s="15">
        <v>5</v>
      </c>
      <c r="C301" s="15">
        <v>4.0402190269478826</v>
      </c>
      <c r="D301" s="15">
        <v>5</v>
      </c>
      <c r="E301" s="15">
        <v>4.29</v>
      </c>
      <c r="F301" s="15">
        <v>5</v>
      </c>
      <c r="G301" s="15">
        <v>4.4470594652245854</v>
      </c>
      <c r="H301" s="15">
        <v>5</v>
      </c>
      <c r="I301" s="15">
        <v>4.5191317</v>
      </c>
      <c r="J301" s="15">
        <v>5</v>
      </c>
      <c r="K301" s="15">
        <v>4.0402190269478826</v>
      </c>
      <c r="L301" s="15">
        <v>5</v>
      </c>
      <c r="M301" s="15">
        <v>4.0155208964264082</v>
      </c>
      <c r="N301" s="15">
        <v>5</v>
      </c>
      <c r="O301" s="15">
        <v>4.2822964283818594</v>
      </c>
      <c r="P301" s="15">
        <v>5</v>
      </c>
      <c r="Q301" s="15">
        <v>3.6394186726863289</v>
      </c>
      <c r="R301" s="15">
        <v>5</v>
      </c>
      <c r="S301" s="15">
        <v>3.7744746816522041</v>
      </c>
      <c r="T301" s="15">
        <v>5</v>
      </c>
      <c r="U301" s="15">
        <v>4.0010316897640923</v>
      </c>
      <c r="V301" s="15">
        <v>4</v>
      </c>
      <c r="W301" s="15">
        <v>4.8268823623657227</v>
      </c>
      <c r="X301" s="15">
        <v>5</v>
      </c>
      <c r="Y301" s="15">
        <v>4.1683106620725443</v>
      </c>
      <c r="Z301" s="15">
        <v>5</v>
      </c>
      <c r="AA301" s="15">
        <v>4.2077460289001456</v>
      </c>
      <c r="AB301" s="15">
        <v>5</v>
      </c>
      <c r="AC301" s="15">
        <v>3.82784126984127</v>
      </c>
      <c r="AD301" s="15">
        <v>5</v>
      </c>
      <c r="AE301" s="15">
        <v>3.7080714285714289</v>
      </c>
    </row>
    <row r="302" spans="2:31" x14ac:dyDescent="0.2">
      <c r="B302" s="15">
        <v>4</v>
      </c>
      <c r="C302" s="15">
        <v>3.587650215679806</v>
      </c>
      <c r="D302" s="15">
        <v>4</v>
      </c>
      <c r="E302" s="15">
        <v>3.52</v>
      </c>
      <c r="F302" s="15">
        <v>4</v>
      </c>
      <c r="G302" s="15">
        <v>3.2981957571088309</v>
      </c>
      <c r="H302" s="15">
        <v>4</v>
      </c>
      <c r="I302" s="15">
        <v>3.3579552000000001</v>
      </c>
      <c r="J302" s="15">
        <v>4</v>
      </c>
      <c r="K302" s="15">
        <v>3.587650215679806</v>
      </c>
      <c r="L302" s="15">
        <v>4</v>
      </c>
      <c r="M302" s="15">
        <v>3</v>
      </c>
      <c r="N302" s="15">
        <v>4</v>
      </c>
      <c r="O302" s="15">
        <v>3.3714209939139281</v>
      </c>
      <c r="P302" s="15">
        <v>4</v>
      </c>
      <c r="Q302" s="15">
        <v>3.8728915271667552</v>
      </c>
      <c r="R302" s="15">
        <v>4</v>
      </c>
      <c r="S302" s="15">
        <v>3.9493938379862961</v>
      </c>
      <c r="T302" s="15">
        <v>4</v>
      </c>
      <c r="U302" s="15">
        <v>4.0625281468194858</v>
      </c>
      <c r="V302" s="15">
        <v>1</v>
      </c>
      <c r="W302" s="15">
        <v>1.325204014778137</v>
      </c>
      <c r="X302" s="15">
        <v>4</v>
      </c>
      <c r="Y302" s="15">
        <v>3.705521604058434</v>
      </c>
      <c r="Z302" s="15">
        <v>4</v>
      </c>
      <c r="AA302" s="15">
        <v>4.2633380889892578</v>
      </c>
      <c r="AB302" s="15">
        <v>4</v>
      </c>
      <c r="AC302" s="15">
        <v>3.8295952380952372</v>
      </c>
      <c r="AD302" s="15">
        <v>4</v>
      </c>
      <c r="AE302" s="15">
        <v>4.112333333333333</v>
      </c>
    </row>
    <row r="303" spans="2:31" x14ac:dyDescent="0.2">
      <c r="B303" s="15">
        <v>4</v>
      </c>
      <c r="C303" s="15">
        <v>3.7360693889480139</v>
      </c>
      <c r="D303" s="15">
        <v>4</v>
      </c>
      <c r="E303" s="15">
        <v>3.53</v>
      </c>
      <c r="F303" s="15">
        <v>4</v>
      </c>
      <c r="G303" s="15">
        <v>3.4048560148690461</v>
      </c>
      <c r="H303" s="15">
        <v>4</v>
      </c>
      <c r="I303" s="15">
        <v>3.5091771999999999</v>
      </c>
      <c r="J303" s="15">
        <v>4</v>
      </c>
      <c r="K303" s="15">
        <v>3.7360693889480139</v>
      </c>
      <c r="L303" s="15">
        <v>4</v>
      </c>
      <c r="M303" s="15">
        <v>3.4732775273663878</v>
      </c>
      <c r="N303" s="15">
        <v>4</v>
      </c>
      <c r="O303" s="15">
        <v>3.6576183112630751</v>
      </c>
      <c r="P303" s="15">
        <v>4</v>
      </c>
      <c r="Q303" s="15">
        <v>3.4801138854873122</v>
      </c>
      <c r="R303" s="15">
        <v>4</v>
      </c>
      <c r="S303" s="15">
        <v>3.5587709760691602</v>
      </c>
      <c r="T303" s="15">
        <v>4</v>
      </c>
      <c r="U303" s="15">
        <v>3.8051041896185578</v>
      </c>
      <c r="V303" s="15">
        <v>5</v>
      </c>
      <c r="W303" s="15">
        <v>4.2632393836975098</v>
      </c>
      <c r="X303" s="15">
        <v>4</v>
      </c>
      <c r="Y303" s="15">
        <v>3.468301174347133</v>
      </c>
      <c r="Z303" s="15">
        <v>4</v>
      </c>
      <c r="AA303" s="15">
        <v>3.548081636428833</v>
      </c>
      <c r="AB303" s="15">
        <v>4</v>
      </c>
      <c r="AC303" s="15">
        <v>3.8043333333333331</v>
      </c>
      <c r="AD303" s="15">
        <v>4</v>
      </c>
      <c r="AE303" s="15">
        <v>3.3321666666666658</v>
      </c>
    </row>
    <row r="304" spans="2:31" x14ac:dyDescent="0.2">
      <c r="B304" s="15">
        <v>4</v>
      </c>
      <c r="C304" s="15">
        <v>4.1689489029075091</v>
      </c>
      <c r="D304" s="15">
        <v>4</v>
      </c>
      <c r="E304" s="15">
        <v>4.68</v>
      </c>
      <c r="F304" s="15">
        <v>4</v>
      </c>
      <c r="G304" s="15">
        <v>4.6530293875750006</v>
      </c>
      <c r="H304" s="15">
        <v>4</v>
      </c>
      <c r="I304" s="15">
        <v>4.5515119999999998</v>
      </c>
      <c r="J304" s="15">
        <v>4</v>
      </c>
      <c r="K304" s="15">
        <v>4.1689489029075091</v>
      </c>
      <c r="L304" s="15">
        <v>4</v>
      </c>
      <c r="M304" s="15">
        <v>4.6756756756756754</v>
      </c>
      <c r="N304" s="15">
        <v>4</v>
      </c>
      <c r="O304" s="15">
        <v>4.0019654258124948</v>
      </c>
      <c r="P304" s="15">
        <v>4</v>
      </c>
      <c r="Q304" s="15">
        <v>4.7291637839822123</v>
      </c>
      <c r="R304" s="15">
        <v>4</v>
      </c>
      <c r="S304" s="15">
        <v>4.4768432357828853</v>
      </c>
      <c r="T304" s="15">
        <v>4</v>
      </c>
      <c r="U304" s="15">
        <v>4.168406803661675</v>
      </c>
      <c r="V304" s="15">
        <v>2</v>
      </c>
      <c r="W304" s="15">
        <v>3.1441657543182369</v>
      </c>
      <c r="X304" s="15">
        <v>4</v>
      </c>
      <c r="Y304" s="15">
        <v>4.4253749261028288</v>
      </c>
      <c r="Z304" s="15">
        <v>4</v>
      </c>
      <c r="AA304" s="15">
        <v>4.3557724952697754</v>
      </c>
      <c r="AB304" s="15">
        <v>4</v>
      </c>
      <c r="AC304" s="15">
        <v>4.8574999999999999</v>
      </c>
      <c r="AD304" s="15">
        <v>4</v>
      </c>
      <c r="AE304" s="15">
        <v>4.5961666666666661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O508"/>
  <sheetViews>
    <sheetView showGridLines="0" workbookViewId="0">
      <selection activeCell="A6" sqref="A6"/>
    </sheetView>
  </sheetViews>
  <sheetFormatPr baseColWidth="10" defaultColWidth="8.83203125" defaultRowHeight="15" outlineLevelRow="1" x14ac:dyDescent="0.2"/>
  <cols>
    <col min="1" max="1" width="3.5" customWidth="1"/>
    <col min="2" max="2" width="12.1640625" bestFit="1" customWidth="1"/>
    <col min="3" max="3" width="11.5" bestFit="1" customWidth="1"/>
    <col min="4" max="4" width="15" bestFit="1" customWidth="1"/>
    <col min="5" max="5" width="13.1640625" bestFit="1" customWidth="1"/>
    <col min="6" max="6" width="14.5" bestFit="1" customWidth="1"/>
    <col min="7" max="7" width="12.5" bestFit="1" customWidth="1"/>
    <col min="8" max="8" width="13.5" bestFit="1" customWidth="1"/>
    <col min="9" max="13" width="14.5" bestFit="1" customWidth="1"/>
    <col min="14" max="14" width="15.5" bestFit="1" customWidth="1"/>
    <col min="15" max="15" width="13" bestFit="1" customWidth="1"/>
    <col min="16" max="16" width="7.5" bestFit="1" customWidth="1"/>
    <col min="17" max="17" width="13" bestFit="1" customWidth="1"/>
    <col min="18" max="18" width="7.5" bestFit="1" customWidth="1"/>
    <col min="19" max="19" width="13" bestFit="1" customWidth="1"/>
    <col min="20" max="20" width="7.5" bestFit="1" customWidth="1"/>
  </cols>
  <sheetData>
    <row r="1" spans="1:67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</row>
    <row r="2" spans="1:67" s="8" customFormat="1" ht="22" customHeight="1" x14ac:dyDescent="0.3">
      <c r="B2" s="8" t="s">
        <v>536</v>
      </c>
    </row>
    <row r="3" spans="1:67" s="1" customFormat="1" x14ac:dyDescent="0.2"/>
    <row r="4" spans="1:67" s="18" customFormat="1" x14ac:dyDescent="0.2"/>
    <row r="5" spans="1:67" s="24" customFormat="1" hidden="1" outlineLevel="1" x14ac:dyDescent="0.2">
      <c r="O5" s="24" t="str">
        <f>Dropdowns!V9</f>
        <v>subsample</v>
      </c>
      <c r="Q5" s="24" t="str">
        <f>Dropdowns!V10</f>
        <v>reg_lambda</v>
      </c>
      <c r="S5" s="24" t="str">
        <f>Dropdowns!V11</f>
        <v>reg_alpha</v>
      </c>
      <c r="U5" s="24" t="str">
        <f>Dropdowns!V12</f>
        <v>n_estimators</v>
      </c>
      <c r="W5" s="24" t="str">
        <f>Dropdowns!V13</f>
        <v>max_depth</v>
      </c>
      <c r="Y5" s="24" t="str">
        <f>Dropdowns!V14</f>
        <v>learning_rate</v>
      </c>
      <c r="AA5" s="24" t="str">
        <f>Dropdowns!V15</f>
        <v>gamma</v>
      </c>
    </row>
    <row r="6" spans="1:67" collapsed="1" x14ac:dyDescent="0.2">
      <c r="B6" s="1" t="s">
        <v>537</v>
      </c>
      <c r="C6" s="1" t="s">
        <v>538</v>
      </c>
      <c r="D6" s="1" t="s">
        <v>539</v>
      </c>
      <c r="E6" s="1" t="s">
        <v>540</v>
      </c>
      <c r="F6" s="1" t="s">
        <v>541</v>
      </c>
      <c r="G6" s="1" t="s">
        <v>542</v>
      </c>
      <c r="H6" s="1" t="s">
        <v>543</v>
      </c>
      <c r="I6" s="1" t="s">
        <v>544</v>
      </c>
      <c r="J6" s="1" t="s">
        <v>545</v>
      </c>
      <c r="K6" s="1" t="s">
        <v>546</v>
      </c>
      <c r="L6" s="1" t="s">
        <v>547</v>
      </c>
      <c r="M6" s="1" t="s">
        <v>548</v>
      </c>
      <c r="N6" s="1" t="s">
        <v>441</v>
      </c>
      <c r="O6" s="1" t="s">
        <v>549</v>
      </c>
      <c r="P6" s="1" t="s">
        <v>550</v>
      </c>
      <c r="Q6" s="1" t="s">
        <v>551</v>
      </c>
      <c r="R6" s="1" t="s">
        <v>552</v>
      </c>
      <c r="S6" s="1" t="s">
        <v>553</v>
      </c>
      <c r="T6" s="1" t="s">
        <v>554</v>
      </c>
      <c r="U6" s="1" t="s">
        <v>555</v>
      </c>
      <c r="V6" s="1" t="s">
        <v>556</v>
      </c>
      <c r="W6" s="1" t="s">
        <v>557</v>
      </c>
      <c r="X6" s="1" t="s">
        <v>558</v>
      </c>
      <c r="Y6" s="1" t="s">
        <v>559</v>
      </c>
      <c r="Z6" s="1" t="s">
        <v>560</v>
      </c>
      <c r="AA6" s="1" t="s">
        <v>561</v>
      </c>
      <c r="AB6" s="1" t="s">
        <v>562</v>
      </c>
      <c r="AC6" s="1" t="s">
        <v>563</v>
      </c>
      <c r="AD6" s="1" t="s">
        <v>564</v>
      </c>
    </row>
    <row r="7" spans="1:67" x14ac:dyDescent="0.2">
      <c r="B7" s="15">
        <v>0.11757774353027339</v>
      </c>
      <c r="C7" s="15">
        <v>1.3130947512873669E-2</v>
      </c>
      <c r="D7" s="15">
        <v>6.0269832611083976E-3</v>
      </c>
      <c r="E7" s="15">
        <v>2.2993423638645719E-3</v>
      </c>
      <c r="F7" s="15">
        <v>-1.2088904387227759</v>
      </c>
      <c r="G7" s="15">
        <v>3.6520766751858441E-3</v>
      </c>
      <c r="H7" s="15">
        <v>6</v>
      </c>
      <c r="I7" s="15">
        <v>-1.212644081850818</v>
      </c>
      <c r="J7" s="15">
        <v>-1.20900801297169</v>
      </c>
      <c r="K7" s="15">
        <v>-1.204265570368831</v>
      </c>
      <c r="L7" s="15">
        <v>-1.213198628960414</v>
      </c>
      <c r="M7" s="15">
        <v>-1.2053358994621299</v>
      </c>
      <c r="N7" s="15" t="s">
        <v>565</v>
      </c>
      <c r="O7" s="15" t="s">
        <v>566</v>
      </c>
      <c r="P7" s="15">
        <v>10000</v>
      </c>
      <c r="Q7" s="15" t="s">
        <v>567</v>
      </c>
      <c r="R7" s="15">
        <v>0.7</v>
      </c>
      <c r="S7" s="15" t="s">
        <v>568</v>
      </c>
      <c r="T7" s="15">
        <v>0.4</v>
      </c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67" x14ac:dyDescent="0.2">
      <c r="B8" s="15">
        <v>6.3955307006835938E-2</v>
      </c>
      <c r="C8" s="15">
        <v>8.0042825594133695E-3</v>
      </c>
      <c r="D8" s="15">
        <v>6.7355155944824217E-3</v>
      </c>
      <c r="E8" s="15">
        <v>2.7777630305346789E-3</v>
      </c>
      <c r="F8" s="15">
        <v>-1.2407202300002551</v>
      </c>
      <c r="G8" s="15">
        <v>3.8419033302253881E-3</v>
      </c>
      <c r="H8" s="15">
        <v>9</v>
      </c>
      <c r="I8" s="15">
        <v>-1.244513571444009</v>
      </c>
      <c r="J8" s="15">
        <v>-1.2408100283579231</v>
      </c>
      <c r="K8" s="15">
        <v>-1.236373361033007</v>
      </c>
      <c r="L8" s="15">
        <v>-1.245446580691278</v>
      </c>
      <c r="M8" s="15">
        <v>-1.236457608475058</v>
      </c>
      <c r="N8" s="15" t="s">
        <v>565</v>
      </c>
      <c r="O8" s="15" t="s">
        <v>566</v>
      </c>
      <c r="P8" s="15">
        <v>10000</v>
      </c>
      <c r="Q8" s="15" t="s">
        <v>567</v>
      </c>
      <c r="R8" s="15">
        <v>0.4</v>
      </c>
      <c r="S8" s="15" t="s">
        <v>568</v>
      </c>
      <c r="T8" s="15">
        <v>10</v>
      </c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67" x14ac:dyDescent="0.2">
      <c r="B9" s="15">
        <v>5.6131458282470702E-2</v>
      </c>
      <c r="C9" s="15">
        <v>9.4269574495738377E-4</v>
      </c>
      <c r="D9" s="15">
        <v>5.0855636596679691E-3</v>
      </c>
      <c r="E9" s="15">
        <v>1.6529804393273001E-3</v>
      </c>
      <c r="F9" s="15">
        <v>-1.2407202300002551</v>
      </c>
      <c r="G9" s="15">
        <v>3.8419033302253881E-3</v>
      </c>
      <c r="H9" s="15">
        <v>9</v>
      </c>
      <c r="I9" s="15">
        <v>-1.244513571444009</v>
      </c>
      <c r="J9" s="15">
        <v>-1.2408100283579231</v>
      </c>
      <c r="K9" s="15">
        <v>-1.236373361033007</v>
      </c>
      <c r="L9" s="15">
        <v>-1.245446580691278</v>
      </c>
      <c r="M9" s="15">
        <v>-1.236457608475058</v>
      </c>
      <c r="N9" s="15" t="s">
        <v>565</v>
      </c>
      <c r="O9" s="15" t="s">
        <v>566</v>
      </c>
      <c r="P9" s="15">
        <v>10000</v>
      </c>
      <c r="Q9" s="15" t="s">
        <v>567</v>
      </c>
      <c r="R9" s="15">
        <v>0.6</v>
      </c>
      <c r="S9" s="15" t="s">
        <v>568</v>
      </c>
      <c r="T9" s="15">
        <v>3</v>
      </c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67" x14ac:dyDescent="0.2">
      <c r="B10" s="15">
        <v>132.31876254081729</v>
      </c>
      <c r="C10" s="15">
        <v>2.3343749396791669</v>
      </c>
      <c r="D10" s="15">
        <v>1.6927671432495121E-2</v>
      </c>
      <c r="E10" s="15">
        <v>1.133350082571415E-2</v>
      </c>
      <c r="F10" s="15">
        <v>-1.1242263822383569</v>
      </c>
      <c r="G10" s="15">
        <v>5.4273458425255286E-3</v>
      </c>
      <c r="H10" s="15">
        <v>1</v>
      </c>
      <c r="I10" s="15">
        <v>-1.1256805605290621</v>
      </c>
      <c r="J10" s="15">
        <v>-1.1175315376528761</v>
      </c>
      <c r="K10" s="15">
        <v>-1.1214570427411039</v>
      </c>
      <c r="L10" s="15">
        <v>-1.1337357242546371</v>
      </c>
      <c r="M10" s="15">
        <v>-1.122727046014107</v>
      </c>
      <c r="N10" s="15" t="s">
        <v>565</v>
      </c>
      <c r="O10" s="15" t="s">
        <v>566</v>
      </c>
      <c r="P10" s="15">
        <v>10000</v>
      </c>
      <c r="Q10" s="15" t="s">
        <v>567</v>
      </c>
      <c r="R10" s="15">
        <v>0.4</v>
      </c>
      <c r="S10" s="15" t="s">
        <v>568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67" x14ac:dyDescent="0.2">
      <c r="B11" s="15">
        <v>7.9356956481933597E-2</v>
      </c>
      <c r="C11" s="15">
        <v>8.7315358430192936E-3</v>
      </c>
      <c r="D11" s="15">
        <v>1.0981702804565429E-2</v>
      </c>
      <c r="E11" s="15">
        <v>5.6505890524181299E-3</v>
      </c>
      <c r="F11" s="15">
        <v>-1.2407202300002551</v>
      </c>
      <c r="G11" s="15">
        <v>3.8419033302253881E-3</v>
      </c>
      <c r="H11" s="15">
        <v>9</v>
      </c>
      <c r="I11" s="15">
        <v>-1.244513571444009</v>
      </c>
      <c r="J11" s="15">
        <v>-1.2408100283579231</v>
      </c>
      <c r="K11" s="15">
        <v>-1.236373361033007</v>
      </c>
      <c r="L11" s="15">
        <v>-1.245446580691278</v>
      </c>
      <c r="M11" s="15">
        <v>-1.236457608475058</v>
      </c>
      <c r="N11" s="15" t="s">
        <v>565</v>
      </c>
      <c r="O11" s="15" t="s">
        <v>566</v>
      </c>
      <c r="P11" s="15">
        <v>10000</v>
      </c>
      <c r="Q11" s="15" t="s">
        <v>567</v>
      </c>
      <c r="R11" s="15">
        <v>0.9</v>
      </c>
      <c r="S11" s="15" t="s">
        <v>568</v>
      </c>
      <c r="T11" s="15">
        <v>7</v>
      </c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67" x14ac:dyDescent="0.2">
      <c r="B12" s="15">
        <v>8.8186740875244141E-2</v>
      </c>
      <c r="C12" s="15">
        <v>1.7834807851074851E-2</v>
      </c>
      <c r="D12" s="15">
        <v>5.4259300231933594E-3</v>
      </c>
      <c r="E12" s="15">
        <v>1.301494979009711E-3</v>
      </c>
      <c r="F12" s="15">
        <v>-1.2407202300002551</v>
      </c>
      <c r="G12" s="15">
        <v>3.8419033302253881E-3</v>
      </c>
      <c r="H12" s="15">
        <v>9</v>
      </c>
      <c r="I12" s="15">
        <v>-1.244513571444009</v>
      </c>
      <c r="J12" s="15">
        <v>-1.2408100283579231</v>
      </c>
      <c r="K12" s="15">
        <v>-1.236373361033007</v>
      </c>
      <c r="L12" s="15">
        <v>-1.245446580691278</v>
      </c>
      <c r="M12" s="15">
        <v>-1.236457608475058</v>
      </c>
      <c r="N12" s="15" t="s">
        <v>565</v>
      </c>
      <c r="O12" s="15" t="s">
        <v>566</v>
      </c>
      <c r="P12" s="15">
        <v>10000</v>
      </c>
      <c r="Q12" s="15" t="s">
        <v>567</v>
      </c>
      <c r="R12" s="15">
        <v>0.7</v>
      </c>
      <c r="S12" s="15" t="s">
        <v>568</v>
      </c>
      <c r="T12" s="15">
        <v>100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67" x14ac:dyDescent="0.2">
      <c r="B13" s="15">
        <v>0.1162423610687256</v>
      </c>
      <c r="C13" s="15">
        <v>2.0466935396675771E-2</v>
      </c>
      <c r="D13" s="15">
        <v>5.828571319580078E-3</v>
      </c>
      <c r="E13" s="15">
        <v>1.233947985511416E-3</v>
      </c>
      <c r="F13" s="15">
        <v>-1.2407202300002551</v>
      </c>
      <c r="G13" s="15">
        <v>3.8419033302253881E-3</v>
      </c>
      <c r="H13" s="15">
        <v>9</v>
      </c>
      <c r="I13" s="15">
        <v>-1.244513571444009</v>
      </c>
      <c r="J13" s="15">
        <v>-1.2408100283579231</v>
      </c>
      <c r="K13" s="15">
        <v>-1.236373361033007</v>
      </c>
      <c r="L13" s="15">
        <v>-1.245446580691278</v>
      </c>
      <c r="M13" s="15">
        <v>-1.236457608475058</v>
      </c>
      <c r="N13" s="15" t="s">
        <v>565</v>
      </c>
      <c r="O13" s="15" t="s">
        <v>566</v>
      </c>
      <c r="P13" s="15">
        <v>10000</v>
      </c>
      <c r="Q13" s="15" t="s">
        <v>567</v>
      </c>
      <c r="R13" s="15">
        <v>1</v>
      </c>
      <c r="S13" s="15" t="s">
        <v>568</v>
      </c>
      <c r="T13" s="15">
        <v>1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67" x14ac:dyDescent="0.2">
      <c r="B14" s="15">
        <v>0.15358934402465821</v>
      </c>
      <c r="C14" s="15">
        <v>1.425332083878179E-2</v>
      </c>
      <c r="D14" s="15">
        <v>7.5437068939208981E-3</v>
      </c>
      <c r="E14" s="15">
        <v>1.269944555620353E-3</v>
      </c>
      <c r="F14" s="15">
        <v>-1.186907137768497</v>
      </c>
      <c r="G14" s="15">
        <v>3.3811384527335708E-3</v>
      </c>
      <c r="H14" s="15">
        <v>4</v>
      </c>
      <c r="I14" s="15">
        <v>-1.1899962980923471</v>
      </c>
      <c r="J14" s="15">
        <v>-1.1863240200911971</v>
      </c>
      <c r="K14" s="15">
        <v>-1.181976700421939</v>
      </c>
      <c r="L14" s="15">
        <v>-1.191283943403241</v>
      </c>
      <c r="M14" s="15">
        <v>-1.184954726833761</v>
      </c>
      <c r="N14" s="15" t="s">
        <v>565</v>
      </c>
      <c r="O14" s="15" t="s">
        <v>566</v>
      </c>
      <c r="P14" s="15">
        <v>10000</v>
      </c>
      <c r="Q14" s="15" t="s">
        <v>567</v>
      </c>
      <c r="R14" s="15">
        <v>0.1</v>
      </c>
      <c r="S14" s="15" t="s">
        <v>568</v>
      </c>
      <c r="T14" s="15">
        <v>1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67" x14ac:dyDescent="0.2">
      <c r="B15" s="15">
        <v>140.96229801177981</v>
      </c>
      <c r="C15" s="15">
        <v>2.3132508172459438</v>
      </c>
      <c r="D15" s="15">
        <v>1.044259071350098E-2</v>
      </c>
      <c r="E15" s="15">
        <v>1.569973469089794E-3</v>
      </c>
      <c r="F15" s="15">
        <v>-1.2378429083813289</v>
      </c>
      <c r="G15" s="15">
        <v>3.816818766691979E-3</v>
      </c>
      <c r="H15" s="15">
        <v>8</v>
      </c>
      <c r="I15" s="15">
        <v>-1.2416234051136199</v>
      </c>
      <c r="J15" s="15">
        <v>-1.237916228333759</v>
      </c>
      <c r="K15" s="15">
        <v>-1.233467509899782</v>
      </c>
      <c r="L15" s="15">
        <v>-1.2425344362654389</v>
      </c>
      <c r="M15" s="15">
        <v>-1.2336729622940441</v>
      </c>
      <c r="N15" s="15" t="s">
        <v>565</v>
      </c>
      <c r="O15" s="15" t="s">
        <v>566</v>
      </c>
      <c r="P15" s="15">
        <v>10000</v>
      </c>
      <c r="Q15" s="15" t="s">
        <v>567</v>
      </c>
      <c r="R15" s="15">
        <v>0</v>
      </c>
      <c r="S15" s="15" t="s">
        <v>568</v>
      </c>
      <c r="T15" s="15">
        <v>100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67" x14ac:dyDescent="0.2">
      <c r="B16" s="15">
        <v>0.14353742599487301</v>
      </c>
      <c r="C16" s="15">
        <v>7.8513207507925342E-3</v>
      </c>
      <c r="D16" s="15">
        <v>1.443972587585449E-2</v>
      </c>
      <c r="E16" s="15">
        <v>5.2051941274125681E-3</v>
      </c>
      <c r="F16" s="15">
        <v>-1.2407202300002551</v>
      </c>
      <c r="G16" s="15">
        <v>3.8419033302253881E-3</v>
      </c>
      <c r="H16" s="15">
        <v>9</v>
      </c>
      <c r="I16" s="15">
        <v>-1.244513571444009</v>
      </c>
      <c r="J16" s="15">
        <v>-1.2408100283579231</v>
      </c>
      <c r="K16" s="15">
        <v>-1.236373361033007</v>
      </c>
      <c r="L16" s="15">
        <v>-1.245446580691278</v>
      </c>
      <c r="M16" s="15">
        <v>-1.236457608475058</v>
      </c>
      <c r="N16" s="15" t="s">
        <v>565</v>
      </c>
      <c r="O16" s="15" t="s">
        <v>566</v>
      </c>
      <c r="P16" s="15">
        <v>10000</v>
      </c>
      <c r="Q16" s="15" t="s">
        <v>567</v>
      </c>
      <c r="R16" s="15">
        <v>0.3</v>
      </c>
      <c r="S16" s="15" t="s">
        <v>568</v>
      </c>
      <c r="T16" s="15">
        <v>10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2:30" x14ac:dyDescent="0.2">
      <c r="B17" s="15">
        <v>0.31494283676147461</v>
      </c>
      <c r="C17" s="15">
        <v>1.966648939690219E-2</v>
      </c>
      <c r="D17" s="15">
        <v>1.2017583847045901E-2</v>
      </c>
      <c r="E17" s="15">
        <v>2.171703624990503E-3</v>
      </c>
      <c r="F17" s="15">
        <v>-1.1607875261396929</v>
      </c>
      <c r="G17" s="15">
        <v>3.83845224744734E-3</v>
      </c>
      <c r="H17" s="15">
        <v>2</v>
      </c>
      <c r="I17" s="15">
        <v>-1.162815718137316</v>
      </c>
      <c r="J17" s="15">
        <v>-1.1584063017333059</v>
      </c>
      <c r="K17" s="15">
        <v>-1.155688591160974</v>
      </c>
      <c r="L17" s="15">
        <v>-1.166906419625382</v>
      </c>
      <c r="M17" s="15">
        <v>-1.160120600041489</v>
      </c>
      <c r="N17" s="15" t="s">
        <v>565</v>
      </c>
      <c r="O17" s="15" t="s">
        <v>566</v>
      </c>
      <c r="P17" s="15">
        <v>10000</v>
      </c>
      <c r="Q17" s="15" t="s">
        <v>567</v>
      </c>
      <c r="R17" s="15">
        <v>0.1</v>
      </c>
      <c r="S17" s="15" t="s">
        <v>568</v>
      </c>
      <c r="T17" s="15">
        <v>0.4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2:30" x14ac:dyDescent="0.2">
      <c r="B18" s="15">
        <v>0.16139569282531741</v>
      </c>
      <c r="C18" s="15">
        <v>2.1825733424033739E-2</v>
      </c>
      <c r="D18" s="15">
        <v>1.459698677062988E-2</v>
      </c>
      <c r="E18" s="15">
        <v>4.2061939499844162E-3</v>
      </c>
      <c r="F18" s="15">
        <v>-1.2407202300002551</v>
      </c>
      <c r="G18" s="15">
        <v>3.8419033302253881E-3</v>
      </c>
      <c r="H18" s="15">
        <v>9</v>
      </c>
      <c r="I18" s="15">
        <v>-1.244513571444009</v>
      </c>
      <c r="J18" s="15">
        <v>-1.2408100283579231</v>
      </c>
      <c r="K18" s="15">
        <v>-1.236373361033007</v>
      </c>
      <c r="L18" s="15">
        <v>-1.245446580691278</v>
      </c>
      <c r="M18" s="15">
        <v>-1.236457608475058</v>
      </c>
      <c r="N18" s="15" t="s">
        <v>565</v>
      </c>
      <c r="O18" s="15" t="s">
        <v>566</v>
      </c>
      <c r="P18" s="15">
        <v>10000</v>
      </c>
      <c r="Q18" s="15" t="s">
        <v>567</v>
      </c>
      <c r="R18" s="15">
        <v>0.3</v>
      </c>
      <c r="S18" s="15" t="s">
        <v>568</v>
      </c>
      <c r="T18" s="15">
        <v>100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2:30" x14ac:dyDescent="0.2">
      <c r="B19" s="15">
        <v>0.16009597778320309</v>
      </c>
      <c r="C19" s="15">
        <v>1.701019478509044E-2</v>
      </c>
      <c r="D19" s="15">
        <v>8.066511154174805E-3</v>
      </c>
      <c r="E19" s="15">
        <v>1.2559563401517741E-3</v>
      </c>
      <c r="F19" s="15">
        <v>-1.2407202300002551</v>
      </c>
      <c r="G19" s="15">
        <v>3.8419033302253881E-3</v>
      </c>
      <c r="H19" s="15">
        <v>9</v>
      </c>
      <c r="I19" s="15">
        <v>-1.244513571444009</v>
      </c>
      <c r="J19" s="15">
        <v>-1.2408100283579231</v>
      </c>
      <c r="K19" s="15">
        <v>-1.236373361033007</v>
      </c>
      <c r="L19" s="15">
        <v>-1.245446580691278</v>
      </c>
      <c r="M19" s="15">
        <v>-1.236457608475058</v>
      </c>
      <c r="N19" s="15" t="s">
        <v>565</v>
      </c>
      <c r="O19" s="15" t="s">
        <v>566</v>
      </c>
      <c r="P19" s="15">
        <v>10000</v>
      </c>
      <c r="Q19" s="15" t="s">
        <v>567</v>
      </c>
      <c r="R19" s="15">
        <v>0.8</v>
      </c>
      <c r="S19" s="15" t="s">
        <v>568</v>
      </c>
      <c r="T19" s="15">
        <v>100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2:30" x14ac:dyDescent="0.2">
      <c r="B20" s="15">
        <v>0.16078376770019531</v>
      </c>
      <c r="C20" s="15">
        <v>1.7471465856213491E-2</v>
      </c>
      <c r="D20" s="15">
        <v>9.6001625061035156E-3</v>
      </c>
      <c r="E20" s="15">
        <v>2.1272507342238139E-3</v>
      </c>
      <c r="F20" s="15">
        <v>-1.2407202300002551</v>
      </c>
      <c r="G20" s="15">
        <v>3.8419033302253881E-3</v>
      </c>
      <c r="H20" s="15">
        <v>9</v>
      </c>
      <c r="I20" s="15">
        <v>-1.244513571444009</v>
      </c>
      <c r="J20" s="15">
        <v>-1.2408100283579231</v>
      </c>
      <c r="K20" s="15">
        <v>-1.236373361033007</v>
      </c>
      <c r="L20" s="15">
        <v>-1.245446580691278</v>
      </c>
      <c r="M20" s="15">
        <v>-1.236457608475058</v>
      </c>
      <c r="N20" s="15" t="s">
        <v>565</v>
      </c>
      <c r="O20" s="15" t="s">
        <v>566</v>
      </c>
      <c r="P20" s="15">
        <v>10000</v>
      </c>
      <c r="Q20" s="15" t="s">
        <v>567</v>
      </c>
      <c r="R20" s="15">
        <v>0.3</v>
      </c>
      <c r="S20" s="15" t="s">
        <v>568</v>
      </c>
      <c r="T20" s="15">
        <v>1.5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2:30" x14ac:dyDescent="0.2">
      <c r="B21" s="15">
        <v>0.13056573867797849</v>
      </c>
      <c r="C21" s="15">
        <v>1.637079624170865E-2</v>
      </c>
      <c r="D21" s="15">
        <v>1.20905876159668E-2</v>
      </c>
      <c r="E21" s="15">
        <v>3.321297241975437E-3</v>
      </c>
      <c r="F21" s="15">
        <v>-1.2174558433517131</v>
      </c>
      <c r="G21" s="15">
        <v>3.8374872228317601E-3</v>
      </c>
      <c r="H21" s="15">
        <v>7</v>
      </c>
      <c r="I21" s="15">
        <v>-1.221357622837715</v>
      </c>
      <c r="J21" s="15">
        <v>-1.2176522396942291</v>
      </c>
      <c r="K21" s="15">
        <v>-1.212960896126432</v>
      </c>
      <c r="L21" s="15">
        <v>-1.2220180474421409</v>
      </c>
      <c r="M21" s="15">
        <v>-1.213290410658046</v>
      </c>
      <c r="N21" s="15" t="s">
        <v>565</v>
      </c>
      <c r="O21" s="15" t="s">
        <v>566</v>
      </c>
      <c r="P21" s="15">
        <v>10000</v>
      </c>
      <c r="Q21" s="15" t="s">
        <v>567</v>
      </c>
      <c r="R21" s="15">
        <v>0.8</v>
      </c>
      <c r="S21" s="15" t="s">
        <v>568</v>
      </c>
      <c r="T21" s="15">
        <v>0.4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2:30" x14ac:dyDescent="0.2">
      <c r="B22" s="15">
        <v>0.15001821517944339</v>
      </c>
      <c r="C22" s="15">
        <v>1.40833626726443E-2</v>
      </c>
      <c r="D22" s="15">
        <v>1.08912467956543E-2</v>
      </c>
      <c r="E22" s="15">
        <v>1.783127247888798E-3</v>
      </c>
      <c r="F22" s="15">
        <v>-1.2407202300002551</v>
      </c>
      <c r="G22" s="15">
        <v>3.8419033302253881E-3</v>
      </c>
      <c r="H22" s="15">
        <v>9</v>
      </c>
      <c r="I22" s="15">
        <v>-1.244513571444009</v>
      </c>
      <c r="J22" s="15">
        <v>-1.2408100283579231</v>
      </c>
      <c r="K22" s="15">
        <v>-1.236373361033007</v>
      </c>
      <c r="L22" s="15">
        <v>-1.245446580691278</v>
      </c>
      <c r="M22" s="15">
        <v>-1.236457608475058</v>
      </c>
      <c r="N22" s="15" t="s">
        <v>565</v>
      </c>
      <c r="O22" s="15" t="s">
        <v>566</v>
      </c>
      <c r="P22" s="15">
        <v>10000</v>
      </c>
      <c r="Q22" s="15" t="s">
        <v>567</v>
      </c>
      <c r="R22" s="15">
        <v>0.9</v>
      </c>
      <c r="S22" s="15" t="s">
        <v>568</v>
      </c>
      <c r="T22" s="15">
        <v>10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2:30" x14ac:dyDescent="0.2">
      <c r="B23" s="15">
        <v>141.206676530838</v>
      </c>
      <c r="C23" s="15">
        <v>1.7135717548826539</v>
      </c>
      <c r="D23" s="15">
        <v>1.050090789794922E-2</v>
      </c>
      <c r="E23" s="15">
        <v>4.841803926780055E-3</v>
      </c>
      <c r="F23" s="15">
        <v>-1.180557560500693</v>
      </c>
      <c r="G23" s="15">
        <v>3.518656168079629E-3</v>
      </c>
      <c r="H23" s="15">
        <v>3</v>
      </c>
      <c r="I23" s="15">
        <v>-1.183619799918022</v>
      </c>
      <c r="J23" s="15">
        <v>-1.1794970974356001</v>
      </c>
      <c r="K23" s="15">
        <v>-1.1755797090260509</v>
      </c>
      <c r="L23" s="15">
        <v>-1.1853769114000301</v>
      </c>
      <c r="M23" s="15">
        <v>-1.1787142847237631</v>
      </c>
      <c r="N23" s="15" t="s">
        <v>565</v>
      </c>
      <c r="O23" s="15" t="s">
        <v>566</v>
      </c>
      <c r="P23" s="15">
        <v>10000</v>
      </c>
      <c r="Q23" s="15" t="s">
        <v>567</v>
      </c>
      <c r="R23" s="15">
        <v>0</v>
      </c>
      <c r="S23" s="15" t="s">
        <v>568</v>
      </c>
      <c r="T23" s="15">
        <v>2</v>
      </c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2:30" x14ac:dyDescent="0.2">
      <c r="B24" s="15">
        <v>0.13049173355102539</v>
      </c>
      <c r="C24" s="15">
        <v>5.390127139084086E-3</v>
      </c>
      <c r="D24" s="15">
        <v>1.281194686889648E-2</v>
      </c>
      <c r="E24" s="15">
        <v>3.0730595501032971E-3</v>
      </c>
      <c r="F24" s="15">
        <v>-1.2407202300002551</v>
      </c>
      <c r="G24" s="15">
        <v>3.8419033302253881E-3</v>
      </c>
      <c r="H24" s="15">
        <v>9</v>
      </c>
      <c r="I24" s="15">
        <v>-1.244513571444009</v>
      </c>
      <c r="J24" s="15">
        <v>-1.2408100283579231</v>
      </c>
      <c r="K24" s="15">
        <v>-1.236373361033007</v>
      </c>
      <c r="L24" s="15">
        <v>-1.245446580691278</v>
      </c>
      <c r="M24" s="15">
        <v>-1.236457608475058</v>
      </c>
      <c r="N24" s="15" t="s">
        <v>565</v>
      </c>
      <c r="O24" s="15" t="s">
        <v>566</v>
      </c>
      <c r="P24" s="15">
        <v>10000</v>
      </c>
      <c r="Q24" s="15" t="s">
        <v>567</v>
      </c>
      <c r="R24" s="15">
        <v>0.9</v>
      </c>
      <c r="S24" s="15" t="s">
        <v>568</v>
      </c>
      <c r="T24" s="15">
        <v>100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2:30" x14ac:dyDescent="0.2">
      <c r="B25" s="15">
        <v>0.19292058944702151</v>
      </c>
      <c r="C25" s="15">
        <v>1.1381961129443049E-2</v>
      </c>
      <c r="D25" s="15">
        <v>1.1493301391601559E-2</v>
      </c>
      <c r="E25" s="15">
        <v>2.10184959283605E-3</v>
      </c>
      <c r="F25" s="15">
        <v>-1.202519344151133</v>
      </c>
      <c r="G25" s="15">
        <v>3.492464199366808E-3</v>
      </c>
      <c r="H25" s="15">
        <v>5</v>
      </c>
      <c r="I25" s="15">
        <v>-1.206033544461369</v>
      </c>
      <c r="J25" s="15">
        <v>-1.2023906404003659</v>
      </c>
      <c r="K25" s="15">
        <v>-1.1977823972197441</v>
      </c>
      <c r="L25" s="15">
        <v>-1.2067495374519239</v>
      </c>
      <c r="M25" s="15">
        <v>-1.1996406012222629</v>
      </c>
      <c r="N25" s="15" t="s">
        <v>565</v>
      </c>
      <c r="O25" s="15" t="s">
        <v>566</v>
      </c>
      <c r="P25" s="15">
        <v>10000</v>
      </c>
      <c r="Q25" s="15" t="s">
        <v>567</v>
      </c>
      <c r="R25" s="15">
        <v>0.2</v>
      </c>
      <c r="S25" s="15" t="s">
        <v>568</v>
      </c>
      <c r="T25" s="15">
        <v>1</v>
      </c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2:30" x14ac:dyDescent="0.2">
      <c r="B26" s="15">
        <v>0.1421103000640869</v>
      </c>
      <c r="C26" s="15">
        <v>9.8734472695113026E-3</v>
      </c>
      <c r="D26" s="15">
        <v>1.2378549575805659E-2</v>
      </c>
      <c r="E26" s="15">
        <v>2.426160570175214E-3</v>
      </c>
      <c r="F26" s="15">
        <v>-1.2407202300002551</v>
      </c>
      <c r="G26" s="15">
        <v>3.8419033302253881E-3</v>
      </c>
      <c r="H26" s="15">
        <v>9</v>
      </c>
      <c r="I26" s="15">
        <v>-1.244513571444009</v>
      </c>
      <c r="J26" s="15">
        <v>-1.2408100283579231</v>
      </c>
      <c r="K26" s="15">
        <v>-1.236373361033007</v>
      </c>
      <c r="L26" s="15">
        <v>-1.245446580691278</v>
      </c>
      <c r="M26" s="15">
        <v>-1.236457608475058</v>
      </c>
      <c r="N26" s="15" t="s">
        <v>565</v>
      </c>
      <c r="O26" s="15" t="s">
        <v>566</v>
      </c>
      <c r="P26" s="15">
        <v>10000</v>
      </c>
      <c r="Q26" s="15" t="s">
        <v>567</v>
      </c>
      <c r="R26" s="15">
        <v>0.3</v>
      </c>
      <c r="S26" s="15" t="s">
        <v>568</v>
      </c>
      <c r="T26" s="15">
        <v>2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2:30" x14ac:dyDescent="0.2">
      <c r="B27" s="15">
        <v>0.61762590408325191</v>
      </c>
      <c r="C27" s="15">
        <v>2.2231685810176569E-2</v>
      </c>
      <c r="D27" s="15">
        <v>18.24321112632752</v>
      </c>
      <c r="E27" s="15">
        <v>0.59349400337046276</v>
      </c>
      <c r="F27" s="15">
        <v>-1.100447434952802</v>
      </c>
      <c r="G27" s="15">
        <v>3.2924785208077248E-3</v>
      </c>
      <c r="H27" s="15">
        <v>32</v>
      </c>
      <c r="I27" s="15">
        <v>-1.100766136426226</v>
      </c>
      <c r="J27" s="15">
        <v>-1.0961127975311731</v>
      </c>
      <c r="K27" s="15">
        <v>-1.0982184779082409</v>
      </c>
      <c r="L27" s="15">
        <v>-1.1058983818348089</v>
      </c>
      <c r="M27" s="15">
        <v>-1.1012413810635611</v>
      </c>
      <c r="N27" s="15" t="s">
        <v>569</v>
      </c>
      <c r="O27" s="15" t="s">
        <v>570</v>
      </c>
      <c r="P27" s="15" t="s">
        <v>571</v>
      </c>
      <c r="Q27" s="15" t="s">
        <v>572</v>
      </c>
      <c r="R27" s="15">
        <v>4</v>
      </c>
      <c r="S27" s="15" t="s">
        <v>573</v>
      </c>
      <c r="T27" s="15">
        <v>7</v>
      </c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2:30" x14ac:dyDescent="0.2">
      <c r="B28" s="15">
        <v>0.59535326957702639</v>
      </c>
      <c r="C28" s="15">
        <v>1.7667719555126572E-2</v>
      </c>
      <c r="D28" s="15">
        <v>18.12128214836121</v>
      </c>
      <c r="E28" s="15">
        <v>0.41597510956897471</v>
      </c>
      <c r="F28" s="15">
        <v>-1.100425873215831</v>
      </c>
      <c r="G28" s="15">
        <v>3.381052819849838E-3</v>
      </c>
      <c r="H28" s="15">
        <v>31</v>
      </c>
      <c r="I28" s="15">
        <v>-1.100311118659814</v>
      </c>
      <c r="J28" s="15">
        <v>-1.096233547373771</v>
      </c>
      <c r="K28" s="15">
        <v>-1.0980025217980129</v>
      </c>
      <c r="L28" s="15">
        <v>-1.106141284644421</v>
      </c>
      <c r="M28" s="15">
        <v>-1.101440893603137</v>
      </c>
      <c r="N28" s="15" t="s">
        <v>569</v>
      </c>
      <c r="O28" s="15" t="s">
        <v>570</v>
      </c>
      <c r="P28" s="15" t="s">
        <v>571</v>
      </c>
      <c r="Q28" s="15" t="s">
        <v>572</v>
      </c>
      <c r="R28" s="15">
        <v>5</v>
      </c>
      <c r="S28" s="15" t="s">
        <v>573</v>
      </c>
      <c r="T28" s="15">
        <v>7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2:30" x14ac:dyDescent="0.2">
      <c r="B29" s="15">
        <v>0.61082668304443355</v>
      </c>
      <c r="C29" s="15">
        <v>1.9483847660650731E-2</v>
      </c>
      <c r="D29" s="15">
        <v>15.822285699844359</v>
      </c>
      <c r="E29" s="15">
        <v>0.2227549206877423</v>
      </c>
      <c r="F29" s="15">
        <v>-1.0473142791967389</v>
      </c>
      <c r="G29" s="15">
        <v>2.519925471527761E-3</v>
      </c>
      <c r="H29" s="15">
        <v>12</v>
      </c>
      <c r="I29" s="15">
        <v>-1.0473279570473679</v>
      </c>
      <c r="J29" s="15">
        <v>-1.0443010191003439</v>
      </c>
      <c r="K29" s="15">
        <v>-1.0459213540987771</v>
      </c>
      <c r="L29" s="15">
        <v>-1.051864561087132</v>
      </c>
      <c r="M29" s="15">
        <v>-1.0471565046500719</v>
      </c>
      <c r="N29" s="15" t="s">
        <v>569</v>
      </c>
      <c r="O29" s="15" t="s">
        <v>570</v>
      </c>
      <c r="P29" s="15" t="s">
        <v>571</v>
      </c>
      <c r="Q29" s="15" t="s">
        <v>572</v>
      </c>
      <c r="R29" s="15">
        <v>2</v>
      </c>
      <c r="S29" s="15" t="s">
        <v>573</v>
      </c>
      <c r="T29" s="15">
        <v>100</v>
      </c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2:30" x14ac:dyDescent="0.2">
      <c r="B30" s="15">
        <v>0.59868707656860354</v>
      </c>
      <c r="C30" s="15">
        <v>4.0387791618185349E-2</v>
      </c>
      <c r="D30" s="15">
        <v>11.509894514083861</v>
      </c>
      <c r="E30" s="15">
        <v>0.19241500898348579</v>
      </c>
      <c r="F30" s="15">
        <v>-1.054851521144635</v>
      </c>
      <c r="G30" s="15">
        <v>2.370641970794844E-3</v>
      </c>
      <c r="H30" s="15">
        <v>18</v>
      </c>
      <c r="I30" s="15">
        <v>-1.054908028542324</v>
      </c>
      <c r="J30" s="15">
        <v>-1.052108594537758</v>
      </c>
      <c r="K30" s="15">
        <v>-1.0534287144170029</v>
      </c>
      <c r="L30" s="15">
        <v>-1.0591539807968351</v>
      </c>
      <c r="M30" s="15">
        <v>-1.0546582874292529</v>
      </c>
      <c r="N30" s="15" t="s">
        <v>569</v>
      </c>
      <c r="O30" s="15" t="s">
        <v>570</v>
      </c>
      <c r="P30" s="15" t="s">
        <v>571</v>
      </c>
      <c r="Q30" s="15" t="s">
        <v>572</v>
      </c>
      <c r="R30" s="15">
        <v>1</v>
      </c>
      <c r="S30" s="15" t="s">
        <v>573</v>
      </c>
      <c r="T30" s="15">
        <v>30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2:30" x14ac:dyDescent="0.2">
      <c r="B31" s="15">
        <v>0.60492420196533203</v>
      </c>
      <c r="C31" s="15">
        <v>6.0111837897732237E-2</v>
      </c>
      <c r="D31" s="15">
        <v>19.062077808380131</v>
      </c>
      <c r="E31" s="15">
        <v>0.37328924986606532</v>
      </c>
      <c r="F31" s="15">
        <v>-1.1005189214083591</v>
      </c>
      <c r="G31" s="15">
        <v>3.1965739929997079E-3</v>
      </c>
      <c r="H31" s="15">
        <v>33</v>
      </c>
      <c r="I31" s="15">
        <v>-1.1000502466140369</v>
      </c>
      <c r="J31" s="15">
        <v>-1.0966125339778721</v>
      </c>
      <c r="K31" s="15">
        <v>-1.098678482014378</v>
      </c>
      <c r="L31" s="15">
        <v>-1.1061670915034429</v>
      </c>
      <c r="M31" s="15">
        <v>-1.1010862529320651</v>
      </c>
      <c r="N31" s="15" t="s">
        <v>569</v>
      </c>
      <c r="O31" s="15" t="s">
        <v>570</v>
      </c>
      <c r="P31" s="15" t="s">
        <v>571</v>
      </c>
      <c r="Q31" s="15" t="s">
        <v>572</v>
      </c>
      <c r="R31" s="15">
        <v>3</v>
      </c>
      <c r="S31" s="15" t="s">
        <v>573</v>
      </c>
      <c r="T31" s="15">
        <v>7</v>
      </c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2:30" x14ac:dyDescent="0.2">
      <c r="B32" s="15">
        <v>0.59456887245178225</v>
      </c>
      <c r="C32" s="15">
        <v>1.9850803627904461E-2</v>
      </c>
      <c r="D32" s="15">
        <v>22.419053030014041</v>
      </c>
      <c r="E32" s="15">
        <v>1.1693368894862859</v>
      </c>
      <c r="F32" s="15">
        <v>-1.060450469665922</v>
      </c>
      <c r="G32" s="15">
        <v>3.194277223856254E-3</v>
      </c>
      <c r="H32" s="15">
        <v>21</v>
      </c>
      <c r="I32" s="15">
        <v>-1.0613250388759941</v>
      </c>
      <c r="J32" s="15">
        <v>-1.0553936238621491</v>
      </c>
      <c r="K32" s="15">
        <v>-1.0588473594565579</v>
      </c>
      <c r="L32" s="15">
        <v>-1.0649825473350969</v>
      </c>
      <c r="M32" s="15">
        <v>-1.0617037787998129</v>
      </c>
      <c r="N32" s="15" t="s">
        <v>569</v>
      </c>
      <c r="O32" s="15" t="s">
        <v>570</v>
      </c>
      <c r="P32" s="15" t="s">
        <v>574</v>
      </c>
      <c r="Q32" s="15" t="s">
        <v>572</v>
      </c>
      <c r="R32" s="15">
        <v>5</v>
      </c>
      <c r="S32" s="15" t="s">
        <v>573</v>
      </c>
      <c r="T32" s="15">
        <v>9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2:30" x14ac:dyDescent="0.2">
      <c r="B33" s="15">
        <v>0.66979217529296875</v>
      </c>
      <c r="C33" s="15">
        <v>7.8816280509985445E-2</v>
      </c>
      <c r="D33" s="15">
        <v>30.162786531448361</v>
      </c>
      <c r="E33" s="15">
        <v>0.90694379325810781</v>
      </c>
      <c r="F33" s="15">
        <v>-1.039261791776203</v>
      </c>
      <c r="G33" s="15">
        <v>2.5145735353721979E-3</v>
      </c>
      <c r="H33" s="15">
        <v>11</v>
      </c>
      <c r="I33" s="15">
        <v>-1.039215318824751</v>
      </c>
      <c r="J33" s="15">
        <v>-1.0354072332892501</v>
      </c>
      <c r="K33" s="15">
        <v>-1.038525875089406</v>
      </c>
      <c r="L33" s="15">
        <v>-1.043233051688756</v>
      </c>
      <c r="M33" s="15">
        <v>-1.039927479988852</v>
      </c>
      <c r="N33" s="15" t="s">
        <v>569</v>
      </c>
      <c r="O33" s="15" t="s">
        <v>570</v>
      </c>
      <c r="P33" s="15" t="s">
        <v>574</v>
      </c>
      <c r="Q33" s="15" t="s">
        <v>572</v>
      </c>
      <c r="R33" s="15">
        <v>5</v>
      </c>
      <c r="S33" s="15" t="s">
        <v>573</v>
      </c>
      <c r="T33" s="15">
        <v>16</v>
      </c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2:30" x14ac:dyDescent="0.2">
      <c r="B34" s="15">
        <v>0.74109773635864262</v>
      </c>
      <c r="C34" s="15">
        <v>3.440951785525543E-2</v>
      </c>
      <c r="D34" s="15">
        <v>29.79541711807251</v>
      </c>
      <c r="E34" s="15">
        <v>0.67640143869219582</v>
      </c>
      <c r="F34" s="15">
        <v>-1.068952363297121</v>
      </c>
      <c r="G34" s="15">
        <v>2.6772600743977721E-3</v>
      </c>
      <c r="H34" s="15">
        <v>23</v>
      </c>
      <c r="I34" s="15">
        <v>-1.0685603187669539</v>
      </c>
      <c r="J34" s="15">
        <v>-1.0658203069629899</v>
      </c>
      <c r="K34" s="15">
        <v>-1.067734704379218</v>
      </c>
      <c r="L34" s="15">
        <v>-1.073887448287236</v>
      </c>
      <c r="M34" s="15">
        <v>-1.0687590380892069</v>
      </c>
      <c r="N34" s="15" t="s">
        <v>569</v>
      </c>
      <c r="O34" s="15" t="s">
        <v>570</v>
      </c>
      <c r="P34" s="15" t="s">
        <v>571</v>
      </c>
      <c r="Q34" s="15" t="s">
        <v>572</v>
      </c>
      <c r="R34" s="15">
        <v>5</v>
      </c>
      <c r="S34" s="15" t="s">
        <v>573</v>
      </c>
      <c r="T34" s="15">
        <v>14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2:30" x14ac:dyDescent="0.2">
      <c r="B35" s="15">
        <v>0.85232319831848147</v>
      </c>
      <c r="C35" s="15">
        <v>0.14044271064305441</v>
      </c>
      <c r="D35" s="15">
        <v>17.57251954078674</v>
      </c>
      <c r="E35" s="15">
        <v>0.36042009719679491</v>
      </c>
      <c r="F35" s="15">
        <v>-1.050099832899918</v>
      </c>
      <c r="G35" s="15">
        <v>2.4254030173799612E-3</v>
      </c>
      <c r="H35" s="15">
        <v>15</v>
      </c>
      <c r="I35" s="15">
        <v>-1.0501405536514079</v>
      </c>
      <c r="J35" s="15">
        <v>-1.047018903830591</v>
      </c>
      <c r="K35" s="15">
        <v>-1.0491163056198569</v>
      </c>
      <c r="L35" s="15">
        <v>-1.0544415683863371</v>
      </c>
      <c r="M35" s="15">
        <v>-1.049781833011399</v>
      </c>
      <c r="N35" s="15" t="s">
        <v>569</v>
      </c>
      <c r="O35" s="15" t="s">
        <v>570</v>
      </c>
      <c r="P35" s="15" t="s">
        <v>571</v>
      </c>
      <c r="Q35" s="15" t="s">
        <v>572</v>
      </c>
      <c r="R35" s="15">
        <v>1</v>
      </c>
      <c r="S35" s="15" t="s">
        <v>573</v>
      </c>
      <c r="T35" s="15">
        <v>50</v>
      </c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2:30" x14ac:dyDescent="0.2">
      <c r="B36" s="15">
        <v>0.80492925643920898</v>
      </c>
      <c r="C36" s="15">
        <v>0.1115329692395067</v>
      </c>
      <c r="D36" s="15">
        <v>30.08377928733826</v>
      </c>
      <c r="E36" s="15">
        <v>0.44407360623865322</v>
      </c>
      <c r="F36" s="15">
        <v>-1.069033627255995</v>
      </c>
      <c r="G36" s="15">
        <v>2.7120080403641592E-3</v>
      </c>
      <c r="H36" s="15">
        <v>24</v>
      </c>
      <c r="I36" s="15">
        <v>-1.068812907502116</v>
      </c>
      <c r="J36" s="15">
        <v>-1.066011666688776</v>
      </c>
      <c r="K36" s="15">
        <v>-1.067391100904753</v>
      </c>
      <c r="L36" s="15">
        <v>-1.074022154809926</v>
      </c>
      <c r="M36" s="15">
        <v>-1.0689303063744029</v>
      </c>
      <c r="N36" s="15" t="s">
        <v>569</v>
      </c>
      <c r="O36" s="15" t="s">
        <v>570</v>
      </c>
      <c r="P36" s="15" t="s">
        <v>571</v>
      </c>
      <c r="Q36" s="15" t="s">
        <v>572</v>
      </c>
      <c r="R36" s="15">
        <v>4</v>
      </c>
      <c r="S36" s="15" t="s">
        <v>573</v>
      </c>
      <c r="T36" s="15">
        <v>14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2:30" x14ac:dyDescent="0.2">
      <c r="B37" s="15">
        <v>0.828809118270874</v>
      </c>
      <c r="C37" s="15">
        <v>0.11324268209436771</v>
      </c>
      <c r="D37" s="15">
        <v>40.35016655921936</v>
      </c>
      <c r="E37" s="15">
        <v>1.0344808425394829</v>
      </c>
      <c r="F37" s="15">
        <v>-1.053533452294199</v>
      </c>
      <c r="G37" s="15">
        <v>2.8104949781127329E-3</v>
      </c>
      <c r="H37" s="15">
        <v>17</v>
      </c>
      <c r="I37" s="15">
        <v>-1.05349574869507</v>
      </c>
      <c r="J37" s="15">
        <v>-1.049896012391311</v>
      </c>
      <c r="K37" s="15">
        <v>-1.052132728114733</v>
      </c>
      <c r="L37" s="15">
        <v>-1.0584607139603519</v>
      </c>
      <c r="M37" s="15">
        <v>-1.053682058309529</v>
      </c>
      <c r="N37" s="15" t="s">
        <v>569</v>
      </c>
      <c r="O37" s="15" t="s">
        <v>570</v>
      </c>
      <c r="P37" s="15" t="s">
        <v>571</v>
      </c>
      <c r="Q37" s="15" t="s">
        <v>572</v>
      </c>
      <c r="R37" s="15">
        <v>5</v>
      </c>
      <c r="S37" s="15" t="s">
        <v>573</v>
      </c>
      <c r="T37" s="15">
        <v>30</v>
      </c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2:30" x14ac:dyDescent="0.2">
      <c r="B38" s="15">
        <v>0.80940585136413579</v>
      </c>
      <c r="C38" s="15">
        <v>0.16411334465235919</v>
      </c>
      <c r="D38" s="15">
        <v>35.626182174682619</v>
      </c>
      <c r="E38" s="15">
        <v>0.88988624775836067</v>
      </c>
      <c r="F38" s="15">
        <v>-1.033994538725219</v>
      </c>
      <c r="G38" s="15">
        <v>2.5268436666532499E-3</v>
      </c>
      <c r="H38" s="15">
        <v>9</v>
      </c>
      <c r="I38" s="15">
        <v>-1.034435936863779</v>
      </c>
      <c r="J38" s="15">
        <v>-1.030449310805748</v>
      </c>
      <c r="K38" s="15">
        <v>-1.032559777945621</v>
      </c>
      <c r="L38" s="15">
        <v>-1.038108187635904</v>
      </c>
      <c r="M38" s="15">
        <v>-1.0344194803750419</v>
      </c>
      <c r="N38" s="15" t="s">
        <v>569</v>
      </c>
      <c r="O38" s="15" t="s">
        <v>570</v>
      </c>
      <c r="P38" s="15" t="s">
        <v>574</v>
      </c>
      <c r="Q38" s="15" t="s">
        <v>572</v>
      </c>
      <c r="R38" s="15">
        <v>4</v>
      </c>
      <c r="S38" s="15" t="s">
        <v>573</v>
      </c>
      <c r="T38" s="15">
        <v>20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2:30" x14ac:dyDescent="0.2">
      <c r="B39" s="15">
        <v>0.81504554748535152</v>
      </c>
      <c r="C39" s="15">
        <v>2.50628088075367E-2</v>
      </c>
      <c r="D39" s="15">
        <v>9.6960806369781487</v>
      </c>
      <c r="E39" s="15">
        <v>0.37394577059216072</v>
      </c>
      <c r="F39" s="15">
        <v>-1.033801301878563</v>
      </c>
      <c r="G39" s="15">
        <v>2.332861274147916E-3</v>
      </c>
      <c r="H39" s="15">
        <v>8</v>
      </c>
      <c r="I39" s="15">
        <v>-1.0339138823160861</v>
      </c>
      <c r="J39" s="15">
        <v>-1.0302167285361239</v>
      </c>
      <c r="K39" s="15">
        <v>-1.0327517178733281</v>
      </c>
      <c r="L39" s="15">
        <v>-1.03729201162352</v>
      </c>
      <c r="M39" s="15">
        <v>-1.034832169043759</v>
      </c>
      <c r="N39" s="15" t="s">
        <v>569</v>
      </c>
      <c r="O39" s="15" t="s">
        <v>570</v>
      </c>
      <c r="P39" s="15" t="s">
        <v>574</v>
      </c>
      <c r="Q39" s="15" t="s">
        <v>572</v>
      </c>
      <c r="R39" s="15">
        <v>2</v>
      </c>
      <c r="S39" s="15" t="s">
        <v>573</v>
      </c>
      <c r="T39" s="15">
        <v>20</v>
      </c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2:30" x14ac:dyDescent="0.2">
      <c r="B40" s="15">
        <v>0.93449873924255367</v>
      </c>
      <c r="C40" s="15">
        <v>0.1709854811479973</v>
      </c>
      <c r="D40" s="15">
        <v>14.102608823776251</v>
      </c>
      <c r="E40" s="15">
        <v>0.33357532007702018</v>
      </c>
      <c r="F40" s="15">
        <v>-1.0577144201334749</v>
      </c>
      <c r="G40" s="15">
        <v>2.6760822326358019E-3</v>
      </c>
      <c r="H40" s="15">
        <v>19</v>
      </c>
      <c r="I40" s="15">
        <v>-1.0575986221917979</v>
      </c>
      <c r="J40" s="15">
        <v>-1.054724770002321</v>
      </c>
      <c r="K40" s="15">
        <v>-1.0560029027347759</v>
      </c>
      <c r="L40" s="15">
        <v>-1.06260532039316</v>
      </c>
      <c r="M40" s="15">
        <v>-1.0576404853453201</v>
      </c>
      <c r="N40" s="15" t="s">
        <v>569</v>
      </c>
      <c r="O40" s="15" t="s">
        <v>570</v>
      </c>
      <c r="P40" s="15" t="s">
        <v>571</v>
      </c>
      <c r="Q40" s="15" t="s">
        <v>572</v>
      </c>
      <c r="R40" s="15">
        <v>1</v>
      </c>
      <c r="S40" s="15" t="s">
        <v>573</v>
      </c>
      <c r="T40" s="15">
        <v>25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2:30" x14ac:dyDescent="0.2">
      <c r="B41" s="15">
        <v>0.94131278991699219</v>
      </c>
      <c r="C41" s="15">
        <v>0.1361105372390716</v>
      </c>
      <c r="D41" s="15">
        <v>26.758559513092042</v>
      </c>
      <c r="E41" s="15">
        <v>0.58242653199993188</v>
      </c>
      <c r="F41" s="15">
        <v>-1.0236332858932751</v>
      </c>
      <c r="G41" s="15">
        <v>2.6248908881615352E-3</v>
      </c>
      <c r="H41" s="15">
        <v>1</v>
      </c>
      <c r="I41" s="15">
        <v>-1.02451943202772</v>
      </c>
      <c r="J41" s="15">
        <v>-1.019794190532447</v>
      </c>
      <c r="K41" s="15">
        <v>-1.0220048548843781</v>
      </c>
      <c r="L41" s="15">
        <v>-1.027623982294992</v>
      </c>
      <c r="M41" s="15">
        <v>-1.0242239697268369</v>
      </c>
      <c r="N41" s="15" t="s">
        <v>569</v>
      </c>
      <c r="O41" s="15" t="s">
        <v>570</v>
      </c>
      <c r="P41" s="15" t="s">
        <v>574</v>
      </c>
      <c r="Q41" s="15" t="s">
        <v>572</v>
      </c>
      <c r="R41" s="15">
        <v>1</v>
      </c>
      <c r="S41" s="15" t="s">
        <v>573</v>
      </c>
      <c r="T41" s="15">
        <v>100</v>
      </c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2:30" x14ac:dyDescent="0.2">
      <c r="B42" s="15">
        <v>0.89598703384399414</v>
      </c>
      <c r="C42" s="15">
        <v>2.7413112848953251E-2</v>
      </c>
      <c r="D42" s="15">
        <v>4.7895011425018312</v>
      </c>
      <c r="E42" s="15">
        <v>0.2144249599848275</v>
      </c>
      <c r="F42" s="15">
        <v>-1.418591968314618</v>
      </c>
      <c r="G42" s="15">
        <v>2.4303070088893711E-3</v>
      </c>
      <c r="H42" s="15">
        <v>39</v>
      </c>
      <c r="I42" s="15">
        <v>-1.414634876016557</v>
      </c>
      <c r="J42" s="15">
        <v>-1.4189646562969149</v>
      </c>
      <c r="K42" s="15">
        <v>-1.418600227656327</v>
      </c>
      <c r="L42" s="15">
        <v>-1.422295766557764</v>
      </c>
      <c r="M42" s="15">
        <v>-1.4184643150455269</v>
      </c>
      <c r="N42" s="15" t="s">
        <v>569</v>
      </c>
      <c r="O42" s="15" t="s">
        <v>570</v>
      </c>
      <c r="P42" s="15" t="s">
        <v>571</v>
      </c>
      <c r="Q42" s="15" t="s">
        <v>572</v>
      </c>
      <c r="R42" s="15">
        <v>1</v>
      </c>
      <c r="S42" s="15" t="s">
        <v>573</v>
      </c>
      <c r="T42" s="15">
        <v>1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2:30" x14ac:dyDescent="0.2">
      <c r="B43" s="15">
        <v>0.88945522308349612</v>
      </c>
      <c r="C43" s="15">
        <v>4.400378183234558E-2</v>
      </c>
      <c r="D43" s="15">
        <v>23.03686170578003</v>
      </c>
      <c r="E43" s="15">
        <v>0.55482170851463675</v>
      </c>
      <c r="F43" s="15">
        <v>-1.1791869140017111</v>
      </c>
      <c r="G43" s="15">
        <v>4.7107214751884313E-3</v>
      </c>
      <c r="H43" s="15">
        <v>35</v>
      </c>
      <c r="I43" s="15">
        <v>-1.17895418275339</v>
      </c>
      <c r="J43" s="15">
        <v>-1.173893216598104</v>
      </c>
      <c r="K43" s="15">
        <v>-1.174567292505128</v>
      </c>
      <c r="L43" s="15">
        <v>-1.186503264561642</v>
      </c>
      <c r="M43" s="15">
        <v>-1.182016613590291</v>
      </c>
      <c r="N43" s="15" t="s">
        <v>569</v>
      </c>
      <c r="O43" s="15" t="s">
        <v>570</v>
      </c>
      <c r="P43" s="15" t="s">
        <v>571</v>
      </c>
      <c r="Q43" s="15" t="s">
        <v>572</v>
      </c>
      <c r="R43" s="15">
        <v>4</v>
      </c>
      <c r="S43" s="15" t="s">
        <v>573</v>
      </c>
      <c r="T43" s="15">
        <v>3</v>
      </c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2:30" x14ac:dyDescent="0.2">
      <c r="B44" s="15">
        <v>1.0326120376586909</v>
      </c>
      <c r="C44" s="15">
        <v>0.12871403697529499</v>
      </c>
      <c r="D44" s="15">
        <v>15.247908210754391</v>
      </c>
      <c r="E44" s="15">
        <v>0.4773529925945828</v>
      </c>
      <c r="F44" s="15">
        <v>-1.0304967652610271</v>
      </c>
      <c r="G44" s="15">
        <v>2.6579612142803612E-3</v>
      </c>
      <c r="H44" s="15">
        <v>7</v>
      </c>
      <c r="I44" s="15">
        <v>-1.031425279450553</v>
      </c>
      <c r="J44" s="15">
        <v>-1.02657279380971</v>
      </c>
      <c r="K44" s="15">
        <v>-1.0287497169839459</v>
      </c>
      <c r="L44" s="15">
        <v>-1.034411753995035</v>
      </c>
      <c r="M44" s="15">
        <v>-1.031324282065889</v>
      </c>
      <c r="N44" s="15" t="s">
        <v>569</v>
      </c>
      <c r="O44" s="15" t="s">
        <v>570</v>
      </c>
      <c r="P44" s="15" t="s">
        <v>574</v>
      </c>
      <c r="Q44" s="15" t="s">
        <v>572</v>
      </c>
      <c r="R44" s="15">
        <v>1</v>
      </c>
      <c r="S44" s="15" t="s">
        <v>573</v>
      </c>
      <c r="T44" s="15">
        <v>25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2:30" x14ac:dyDescent="0.2">
      <c r="B45" s="15">
        <v>1.026496028900147</v>
      </c>
      <c r="C45" s="15">
        <v>7.580818652791145E-2</v>
      </c>
      <c r="D45" s="15">
        <v>5.0799155235290527</v>
      </c>
      <c r="E45" s="15">
        <v>0.2136019157454179</v>
      </c>
      <c r="F45" s="15">
        <v>-1.418591968314618</v>
      </c>
      <c r="G45" s="15">
        <v>2.4303070088893711E-3</v>
      </c>
      <c r="H45" s="15">
        <v>39</v>
      </c>
      <c r="I45" s="15">
        <v>-1.414634876016557</v>
      </c>
      <c r="J45" s="15">
        <v>-1.4189646562969149</v>
      </c>
      <c r="K45" s="15">
        <v>-1.418600227656327</v>
      </c>
      <c r="L45" s="15">
        <v>-1.422295766557764</v>
      </c>
      <c r="M45" s="15">
        <v>-1.4184643150455269</v>
      </c>
      <c r="N45" s="15" t="s">
        <v>569</v>
      </c>
      <c r="O45" s="15" t="s">
        <v>570</v>
      </c>
      <c r="P45" s="15" t="s">
        <v>574</v>
      </c>
      <c r="Q45" s="15" t="s">
        <v>572</v>
      </c>
      <c r="R45" s="15">
        <v>1</v>
      </c>
      <c r="S45" s="15" t="s">
        <v>573</v>
      </c>
      <c r="T45" s="15">
        <v>1</v>
      </c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2:30" x14ac:dyDescent="0.2">
      <c r="B46" s="15">
        <v>1.062699747085571</v>
      </c>
      <c r="C46" s="15">
        <v>4.2061478973179453E-2</v>
      </c>
      <c r="D46" s="15">
        <v>9.4794721126556389</v>
      </c>
      <c r="E46" s="15">
        <v>0.14933957350812821</v>
      </c>
      <c r="F46" s="15">
        <v>-1.0742763252472181</v>
      </c>
      <c r="G46" s="15">
        <v>2.8740109996373388E-3</v>
      </c>
      <c r="H46" s="15">
        <v>25</v>
      </c>
      <c r="I46" s="15">
        <v>-1.0735936655243301</v>
      </c>
      <c r="J46" s="15">
        <v>-1.0712032419461419</v>
      </c>
      <c r="K46" s="15">
        <v>-1.072716498481227</v>
      </c>
      <c r="L46" s="15">
        <v>-1.0796570800485421</v>
      </c>
      <c r="M46" s="15">
        <v>-1.0742111402358501</v>
      </c>
      <c r="N46" s="15" t="s">
        <v>569</v>
      </c>
      <c r="O46" s="15" t="s">
        <v>570</v>
      </c>
      <c r="P46" s="15" t="s">
        <v>571</v>
      </c>
      <c r="Q46" s="15" t="s">
        <v>572</v>
      </c>
      <c r="R46" s="15">
        <v>2</v>
      </c>
      <c r="S46" s="15" t="s">
        <v>573</v>
      </c>
      <c r="T46" s="15">
        <v>12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2:30" x14ac:dyDescent="0.2">
      <c r="B47" s="15">
        <v>0.98593292236328123</v>
      </c>
      <c r="C47" s="15">
        <v>7.7251747457954337E-2</v>
      </c>
      <c r="D47" s="15">
        <v>6.7112019062042236</v>
      </c>
      <c r="E47" s="15">
        <v>0.37018609431755262</v>
      </c>
      <c r="F47" s="15">
        <v>-1.0999712766557761</v>
      </c>
      <c r="G47" s="15">
        <v>3.0401623800783671E-3</v>
      </c>
      <c r="H47" s="15">
        <v>29</v>
      </c>
      <c r="I47" s="15">
        <v>-1.0993217370191399</v>
      </c>
      <c r="J47" s="15">
        <v>-1.095207971697935</v>
      </c>
      <c r="K47" s="15">
        <v>-1.098989425928836</v>
      </c>
      <c r="L47" s="15">
        <v>-1.1040883703815461</v>
      </c>
      <c r="M47" s="15">
        <v>-1.102248878251423</v>
      </c>
      <c r="N47" s="15" t="s">
        <v>569</v>
      </c>
      <c r="O47" s="15" t="s">
        <v>570</v>
      </c>
      <c r="P47" s="15" t="s">
        <v>574</v>
      </c>
      <c r="Q47" s="15" t="s">
        <v>572</v>
      </c>
      <c r="R47" s="15">
        <v>2</v>
      </c>
      <c r="S47" s="15" t="s">
        <v>573</v>
      </c>
      <c r="T47" s="15">
        <v>5</v>
      </c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2:30" x14ac:dyDescent="0.2">
      <c r="B48" s="15">
        <v>0.9793601512908936</v>
      </c>
      <c r="C48" s="15">
        <v>8.606357986785769E-2</v>
      </c>
      <c r="D48" s="15">
        <v>12.83563766479492</v>
      </c>
      <c r="E48" s="15">
        <v>0.26248209438587372</v>
      </c>
      <c r="F48" s="15">
        <v>-1.0363577617741191</v>
      </c>
      <c r="G48" s="15">
        <v>2.6697438148921412E-3</v>
      </c>
      <c r="H48" s="15">
        <v>10</v>
      </c>
      <c r="I48" s="15">
        <v>-1.0375413155250419</v>
      </c>
      <c r="J48" s="15">
        <v>-1.032778693212332</v>
      </c>
      <c r="K48" s="15">
        <v>-1.034736792375154</v>
      </c>
      <c r="L48" s="15">
        <v>-1.040682630137</v>
      </c>
      <c r="M48" s="15">
        <v>-1.036049377621066</v>
      </c>
      <c r="N48" s="15" t="s">
        <v>569</v>
      </c>
      <c r="O48" s="15" t="s">
        <v>570</v>
      </c>
      <c r="P48" s="15" t="s">
        <v>574</v>
      </c>
      <c r="Q48" s="15" t="s">
        <v>572</v>
      </c>
      <c r="R48" s="15">
        <v>1</v>
      </c>
      <c r="S48" s="15" t="s">
        <v>573</v>
      </c>
      <c r="T48" s="15">
        <v>18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2:30" x14ac:dyDescent="0.2">
      <c r="B49" s="15">
        <v>0.97569093704223631</v>
      </c>
      <c r="C49" s="15">
        <v>9.5681164224086998E-2</v>
      </c>
      <c r="D49" s="15">
        <v>5.4942615509033201</v>
      </c>
      <c r="E49" s="15">
        <v>0.25227387967835402</v>
      </c>
      <c r="F49" s="15">
        <v>-1.1806607398152831</v>
      </c>
      <c r="G49" s="15">
        <v>4.1588715958068116E-3</v>
      </c>
      <c r="H49" s="15">
        <v>37</v>
      </c>
      <c r="I49" s="15">
        <v>-1.1779319234090511</v>
      </c>
      <c r="J49" s="15">
        <v>-1.1756041703905209</v>
      </c>
      <c r="K49" s="15">
        <v>-1.1786070273970279</v>
      </c>
      <c r="L49" s="15">
        <v>-1.1862299309757951</v>
      </c>
      <c r="M49" s="15">
        <v>-1.1849306469040219</v>
      </c>
      <c r="N49" s="15" t="s">
        <v>569</v>
      </c>
      <c r="O49" s="15" t="s">
        <v>570</v>
      </c>
      <c r="P49" s="15" t="s">
        <v>571</v>
      </c>
      <c r="Q49" s="15" t="s">
        <v>572</v>
      </c>
      <c r="R49" s="15">
        <v>2</v>
      </c>
      <c r="S49" s="15" t="s">
        <v>573</v>
      </c>
      <c r="T49" s="15">
        <v>3</v>
      </c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2:30" x14ac:dyDescent="0.2">
      <c r="B50" s="15">
        <v>0.9957878589630127</v>
      </c>
      <c r="C50" s="15">
        <v>0.13166201027783569</v>
      </c>
      <c r="D50" s="15">
        <v>37.654548692703237</v>
      </c>
      <c r="E50" s="15">
        <v>0.54310146014574212</v>
      </c>
      <c r="F50" s="15">
        <v>-1.059699535677961</v>
      </c>
      <c r="G50" s="15">
        <v>2.6564356265145169E-3</v>
      </c>
      <c r="H50" s="15">
        <v>20</v>
      </c>
      <c r="I50" s="15">
        <v>-1.059584600588751</v>
      </c>
      <c r="J50" s="15">
        <v>-1.0566155102476269</v>
      </c>
      <c r="K50" s="15">
        <v>-1.0582030758000589</v>
      </c>
      <c r="L50" s="15">
        <v>-1.064546840817755</v>
      </c>
      <c r="M50" s="15">
        <v>-1.0595476509356141</v>
      </c>
      <c r="N50" s="15" t="s">
        <v>569</v>
      </c>
      <c r="O50" s="15" t="s">
        <v>570</v>
      </c>
      <c r="P50" s="15" t="s">
        <v>571</v>
      </c>
      <c r="Q50" s="15" t="s">
        <v>572</v>
      </c>
      <c r="R50" s="15">
        <v>3</v>
      </c>
      <c r="S50" s="15" t="s">
        <v>573</v>
      </c>
      <c r="T50" s="15">
        <v>20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2:30" x14ac:dyDescent="0.2">
      <c r="B51" s="15">
        <v>0.87605819702148435</v>
      </c>
      <c r="C51" s="15">
        <v>0.16926073583096929</v>
      </c>
      <c r="D51" s="15">
        <v>34.346874523162839</v>
      </c>
      <c r="E51" s="15">
        <v>0.41710884812713239</v>
      </c>
      <c r="F51" s="15">
        <v>-1.0621772119279189</v>
      </c>
      <c r="G51" s="15">
        <v>2.6018471189618881E-3</v>
      </c>
      <c r="H51" s="15">
        <v>22</v>
      </c>
      <c r="I51" s="15">
        <v>-1.0616837091774649</v>
      </c>
      <c r="J51" s="15">
        <v>-1.05934701922729</v>
      </c>
      <c r="K51" s="15">
        <v>-1.0610832394398011</v>
      </c>
      <c r="L51" s="15">
        <v>-1.0670915805627541</v>
      </c>
      <c r="M51" s="15">
        <v>-1.0616805112322849</v>
      </c>
      <c r="N51" s="15" t="s">
        <v>569</v>
      </c>
      <c r="O51" s="15" t="s">
        <v>570</v>
      </c>
      <c r="P51" s="15" t="s">
        <v>571</v>
      </c>
      <c r="Q51" s="15" t="s">
        <v>572</v>
      </c>
      <c r="R51" s="15">
        <v>5</v>
      </c>
      <c r="S51" s="15" t="s">
        <v>573</v>
      </c>
      <c r="T51" s="15">
        <v>18</v>
      </c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2:30" x14ac:dyDescent="0.2">
      <c r="B52" s="15">
        <v>0.8078673362731934</v>
      </c>
      <c r="C52" s="15">
        <v>4.5141741684271909E-2</v>
      </c>
      <c r="D52" s="15">
        <v>9.6747657299041752</v>
      </c>
      <c r="E52" s="15">
        <v>0.34744755540710071</v>
      </c>
      <c r="F52" s="15">
        <v>-1.0481851754809171</v>
      </c>
      <c r="G52" s="15">
        <v>2.2580588134558511E-3</v>
      </c>
      <c r="H52" s="15">
        <v>13</v>
      </c>
      <c r="I52" s="15">
        <v>-1.048647409336416</v>
      </c>
      <c r="J52" s="15">
        <v>-1.044967035237595</v>
      </c>
      <c r="K52" s="15">
        <v>-1.0473259495088201</v>
      </c>
      <c r="L52" s="15">
        <v>-1.0519486558974009</v>
      </c>
      <c r="M52" s="15">
        <v>-1.048036827424351</v>
      </c>
      <c r="N52" s="15" t="s">
        <v>569</v>
      </c>
      <c r="O52" s="15" t="s">
        <v>570</v>
      </c>
      <c r="P52" s="15" t="s">
        <v>574</v>
      </c>
      <c r="Q52" s="15" t="s">
        <v>572</v>
      </c>
      <c r="R52" s="15">
        <v>1</v>
      </c>
      <c r="S52" s="15" t="s">
        <v>573</v>
      </c>
      <c r="T52" s="15">
        <v>12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2:30" x14ac:dyDescent="0.2">
      <c r="B53" s="15">
        <v>0.76580481529235844</v>
      </c>
      <c r="C53" s="15">
        <v>2.432666870714156E-2</v>
      </c>
      <c r="D53" s="15">
        <v>47.270483446121219</v>
      </c>
      <c r="E53" s="15">
        <v>0.68412290525133634</v>
      </c>
      <c r="F53" s="15">
        <v>-1.0256552903797389</v>
      </c>
      <c r="G53" s="15">
        <v>2.5151731555564921E-3</v>
      </c>
      <c r="H53" s="15">
        <v>4</v>
      </c>
      <c r="I53" s="15">
        <v>-1.0264019504960631</v>
      </c>
      <c r="J53" s="15">
        <v>-1.0218550944764331</v>
      </c>
      <c r="K53" s="15">
        <v>-1.0241044359413061</v>
      </c>
      <c r="L53" s="15">
        <v>-1.029303987556351</v>
      </c>
      <c r="M53" s="15">
        <v>-1.026610983428542</v>
      </c>
      <c r="N53" s="15" t="s">
        <v>569</v>
      </c>
      <c r="O53" s="15" t="s">
        <v>570</v>
      </c>
      <c r="P53" s="15" t="s">
        <v>574</v>
      </c>
      <c r="Q53" s="15" t="s">
        <v>572</v>
      </c>
      <c r="R53" s="15">
        <v>4</v>
      </c>
      <c r="S53" s="15" t="s">
        <v>573</v>
      </c>
      <c r="T53" s="15">
        <v>40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2:30" x14ac:dyDescent="0.2">
      <c r="B54" s="15">
        <v>0.80485529899597164</v>
      </c>
      <c r="C54" s="15">
        <v>4.2979147506611491E-2</v>
      </c>
      <c r="D54" s="15">
        <v>55.665200901031497</v>
      </c>
      <c r="E54" s="15">
        <v>0.84991525646190103</v>
      </c>
      <c r="F54" s="15">
        <v>-1.049109985543818</v>
      </c>
      <c r="G54" s="15">
        <v>2.5013754924512232E-3</v>
      </c>
      <c r="H54" s="15">
        <v>14</v>
      </c>
      <c r="I54" s="15">
        <v>-1.0497078343642521</v>
      </c>
      <c r="J54" s="15">
        <v>-1.0455224138170081</v>
      </c>
      <c r="K54" s="15">
        <v>-1.047897426951693</v>
      </c>
      <c r="L54" s="15">
        <v>-1.053180443361041</v>
      </c>
      <c r="M54" s="15">
        <v>-1.0492418092250959</v>
      </c>
      <c r="N54" s="15" t="s">
        <v>569</v>
      </c>
      <c r="O54" s="15" t="s">
        <v>570</v>
      </c>
      <c r="P54" s="15" t="s">
        <v>571</v>
      </c>
      <c r="Q54" s="15" t="s">
        <v>572</v>
      </c>
      <c r="R54" s="15">
        <v>3</v>
      </c>
      <c r="S54" s="15" t="s">
        <v>573</v>
      </c>
      <c r="T54" s="15">
        <v>50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2:30" x14ac:dyDescent="0.2">
      <c r="B55" s="15">
        <v>0.849517822265625</v>
      </c>
      <c r="C55" s="15">
        <v>4.0772791283484253E-2</v>
      </c>
      <c r="D55" s="15">
        <v>40.186646842956542</v>
      </c>
      <c r="E55" s="15">
        <v>1.3938773596900489</v>
      </c>
      <c r="F55" s="15">
        <v>-1.0302625855762491</v>
      </c>
      <c r="G55" s="15">
        <v>2.509177550318333E-3</v>
      </c>
      <c r="H55" s="15">
        <v>6</v>
      </c>
      <c r="I55" s="15">
        <v>-1.0310401339315469</v>
      </c>
      <c r="J55" s="15">
        <v>-1.026232528742725</v>
      </c>
      <c r="K55" s="15">
        <v>-1.029166878651647</v>
      </c>
      <c r="L55" s="15">
        <v>-1.033847341729536</v>
      </c>
      <c r="M55" s="15">
        <v>-1.0310260448257871</v>
      </c>
      <c r="N55" s="15" t="s">
        <v>569</v>
      </c>
      <c r="O55" s="15" t="s">
        <v>570</v>
      </c>
      <c r="P55" s="15" t="s">
        <v>574</v>
      </c>
      <c r="Q55" s="15" t="s">
        <v>572</v>
      </c>
      <c r="R55" s="15">
        <v>4</v>
      </c>
      <c r="S55" s="15" t="s">
        <v>573</v>
      </c>
      <c r="T55" s="15">
        <v>25</v>
      </c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2:30" x14ac:dyDescent="0.2">
      <c r="B56" s="15">
        <v>0.81120305061340336</v>
      </c>
      <c r="C56" s="15">
        <v>4.7409621017632173E-2</v>
      </c>
      <c r="D56" s="15">
        <v>23.117294931411742</v>
      </c>
      <c r="E56" s="15">
        <v>0.32128035053368609</v>
      </c>
      <c r="F56" s="15">
        <v>-1.1001115360600791</v>
      </c>
      <c r="G56" s="15">
        <v>3.5156109208531049E-3</v>
      </c>
      <c r="H56" s="15">
        <v>30</v>
      </c>
      <c r="I56" s="15">
        <v>-1.100569398761291</v>
      </c>
      <c r="J56" s="15">
        <v>-1.0942489538210181</v>
      </c>
      <c r="K56" s="15">
        <v>-1.0987425194298961</v>
      </c>
      <c r="L56" s="15">
        <v>-1.104594336304503</v>
      </c>
      <c r="M56" s="15">
        <v>-1.102402471983684</v>
      </c>
      <c r="N56" s="15" t="s">
        <v>569</v>
      </c>
      <c r="O56" s="15" t="s">
        <v>570</v>
      </c>
      <c r="P56" s="15" t="s">
        <v>574</v>
      </c>
      <c r="Q56" s="15" t="s">
        <v>572</v>
      </c>
      <c r="R56" s="15">
        <v>3</v>
      </c>
      <c r="S56" s="15" t="s">
        <v>573</v>
      </c>
      <c r="T56" s="15">
        <v>5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2:30" x14ac:dyDescent="0.2">
      <c r="B57" s="15">
        <v>0.75796408653259273</v>
      </c>
      <c r="C57" s="15">
        <v>4.8508263783842188E-2</v>
      </c>
      <c r="D57" s="15">
        <v>15.87387437820434</v>
      </c>
      <c r="E57" s="15">
        <v>0.91268472223649399</v>
      </c>
      <c r="F57" s="15">
        <v>-1.0257950115058201</v>
      </c>
      <c r="G57" s="15">
        <v>2.319013655905631E-3</v>
      </c>
      <c r="H57" s="15">
        <v>5</v>
      </c>
      <c r="I57" s="15">
        <v>-1.0267373717848089</v>
      </c>
      <c r="J57" s="15">
        <v>-1.022239673742908</v>
      </c>
      <c r="K57" s="15">
        <v>-1.024646450415013</v>
      </c>
      <c r="L57" s="15">
        <v>-1.029251673139393</v>
      </c>
      <c r="M57" s="15">
        <v>-1.0260998884469761</v>
      </c>
      <c r="N57" s="15" t="s">
        <v>569</v>
      </c>
      <c r="O57" s="15" t="s">
        <v>570</v>
      </c>
      <c r="P57" s="15" t="s">
        <v>574</v>
      </c>
      <c r="Q57" s="15" t="s">
        <v>572</v>
      </c>
      <c r="R57" s="15">
        <v>1</v>
      </c>
      <c r="S57" s="15" t="s">
        <v>573</v>
      </c>
      <c r="T57" s="15">
        <v>40</v>
      </c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2:30" x14ac:dyDescent="0.2">
      <c r="B58" s="15">
        <v>0.83488035202026367</v>
      </c>
      <c r="C58" s="15">
        <v>8.8983525826233228E-2</v>
      </c>
      <c r="D58" s="15">
        <v>19.631614923477169</v>
      </c>
      <c r="E58" s="15">
        <v>0.49317766587057082</v>
      </c>
      <c r="F58" s="15">
        <v>-1.158473928630926</v>
      </c>
      <c r="G58" s="15">
        <v>5.0995724415526722E-3</v>
      </c>
      <c r="H58" s="15">
        <v>34</v>
      </c>
      <c r="I58" s="15">
        <v>-1.1588369370915561</v>
      </c>
      <c r="J58" s="15">
        <v>-1.1520209039411831</v>
      </c>
      <c r="K58" s="15">
        <v>-1.153533712427248</v>
      </c>
      <c r="L58" s="15">
        <v>-1.1652170804218249</v>
      </c>
      <c r="M58" s="15">
        <v>-1.16276100927282</v>
      </c>
      <c r="N58" s="15" t="s">
        <v>569</v>
      </c>
      <c r="O58" s="15" t="s">
        <v>570</v>
      </c>
      <c r="P58" s="15" t="s">
        <v>574</v>
      </c>
      <c r="Q58" s="15" t="s">
        <v>572</v>
      </c>
      <c r="R58" s="15">
        <v>4</v>
      </c>
      <c r="S58" s="15" t="s">
        <v>573</v>
      </c>
      <c r="T58" s="15">
        <v>3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2:30" x14ac:dyDescent="0.2">
      <c r="B59" s="15">
        <v>0.7698459148406982</v>
      </c>
      <c r="C59" s="15">
        <v>3.3197215639307547E-2</v>
      </c>
      <c r="D59" s="15">
        <v>13.014917707443241</v>
      </c>
      <c r="E59" s="15">
        <v>0.2102626558742991</v>
      </c>
      <c r="F59" s="15">
        <v>-1.0503523305795031</v>
      </c>
      <c r="G59" s="15">
        <v>2.518732402493209E-3</v>
      </c>
      <c r="H59" s="15">
        <v>16</v>
      </c>
      <c r="I59" s="15">
        <v>-1.050637936359984</v>
      </c>
      <c r="J59" s="15">
        <v>-1.046877848249445</v>
      </c>
      <c r="K59" s="15">
        <v>-1.049073309776551</v>
      </c>
      <c r="L59" s="15">
        <v>-1.054579959127558</v>
      </c>
      <c r="M59" s="15">
        <v>-1.050592599383974</v>
      </c>
      <c r="N59" s="15" t="s">
        <v>569</v>
      </c>
      <c r="O59" s="15" t="s">
        <v>570</v>
      </c>
      <c r="P59" s="15" t="s">
        <v>571</v>
      </c>
      <c r="Q59" s="15" t="s">
        <v>572</v>
      </c>
      <c r="R59" s="15">
        <v>2</v>
      </c>
      <c r="S59" s="15" t="s">
        <v>573</v>
      </c>
      <c r="T59" s="15">
        <v>40</v>
      </c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2:30" x14ac:dyDescent="0.2">
      <c r="B60" s="15">
        <v>0.84037837982177732</v>
      </c>
      <c r="C60" s="15">
        <v>7.2889432476952815E-2</v>
      </c>
      <c r="D60" s="15">
        <v>21.120978403091431</v>
      </c>
      <c r="E60" s="15">
        <v>0.45386136766199642</v>
      </c>
      <c r="F60" s="15">
        <v>-1.180110542011034</v>
      </c>
      <c r="G60" s="15">
        <v>4.0588897307411416E-3</v>
      </c>
      <c r="H60" s="15">
        <v>36</v>
      </c>
      <c r="I60" s="15">
        <v>-1.1793338764561649</v>
      </c>
      <c r="J60" s="15">
        <v>-1.174659384577128</v>
      </c>
      <c r="K60" s="15">
        <v>-1.177404830696313</v>
      </c>
      <c r="L60" s="15">
        <v>-1.186131289726329</v>
      </c>
      <c r="M60" s="15">
        <v>-1.1830233285992331</v>
      </c>
      <c r="N60" s="15" t="s">
        <v>569</v>
      </c>
      <c r="O60" s="15" t="s">
        <v>570</v>
      </c>
      <c r="P60" s="15" t="s">
        <v>571</v>
      </c>
      <c r="Q60" s="15" t="s">
        <v>572</v>
      </c>
      <c r="R60" s="15">
        <v>3</v>
      </c>
      <c r="S60" s="15" t="s">
        <v>573</v>
      </c>
      <c r="T60" s="15">
        <v>3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2:30" x14ac:dyDescent="0.2">
      <c r="B61" s="15">
        <v>0.80250816345214848</v>
      </c>
      <c r="C61" s="15">
        <v>1.330337681484273E-2</v>
      </c>
      <c r="D61" s="15">
        <v>69.375556087493891</v>
      </c>
      <c r="E61" s="15">
        <v>1.2577217205303171</v>
      </c>
      <c r="F61" s="15">
        <v>-1.0241802601757271</v>
      </c>
      <c r="G61" s="15">
        <v>2.4335519151870741E-3</v>
      </c>
      <c r="H61" s="15">
        <v>3</v>
      </c>
      <c r="I61" s="15">
        <v>-1.02511067905025</v>
      </c>
      <c r="J61" s="15">
        <v>-1.0204193912019379</v>
      </c>
      <c r="K61" s="15">
        <v>-1.022766532619801</v>
      </c>
      <c r="L61" s="15">
        <v>-1.0276432278779191</v>
      </c>
      <c r="M61" s="15">
        <v>-1.0249614701287291</v>
      </c>
      <c r="N61" s="15" t="s">
        <v>569</v>
      </c>
      <c r="O61" s="15" t="s">
        <v>570</v>
      </c>
      <c r="P61" s="15" t="s">
        <v>574</v>
      </c>
      <c r="Q61" s="15" t="s">
        <v>572</v>
      </c>
      <c r="R61" s="15">
        <v>5</v>
      </c>
      <c r="S61" s="15" t="s">
        <v>573</v>
      </c>
      <c r="T61" s="15">
        <v>100</v>
      </c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2:30" x14ac:dyDescent="0.2">
      <c r="B62" s="15">
        <v>0.79515461921691899</v>
      </c>
      <c r="C62" s="15">
        <v>1.632152669169696E-2</v>
      </c>
      <c r="D62" s="15">
        <v>25.593131065368649</v>
      </c>
      <c r="E62" s="15">
        <v>0.82783476881350204</v>
      </c>
      <c r="F62" s="15">
        <v>-1.0750236651471079</v>
      </c>
      <c r="G62" s="15">
        <v>3.4934352208925989E-3</v>
      </c>
      <c r="H62" s="15">
        <v>26</v>
      </c>
      <c r="I62" s="15">
        <v>-1.0755096273272751</v>
      </c>
      <c r="J62" s="15">
        <v>-1.0699591812067071</v>
      </c>
      <c r="K62" s="15">
        <v>-1.0726549645350969</v>
      </c>
      <c r="L62" s="15">
        <v>-1.0801393176627461</v>
      </c>
      <c r="M62" s="15">
        <v>-1.076855235003717</v>
      </c>
      <c r="N62" s="15" t="s">
        <v>569</v>
      </c>
      <c r="O62" s="15" t="s">
        <v>570</v>
      </c>
      <c r="P62" s="15" t="s">
        <v>574</v>
      </c>
      <c r="Q62" s="15" t="s">
        <v>572</v>
      </c>
      <c r="R62" s="15">
        <v>5</v>
      </c>
      <c r="S62" s="15" t="s">
        <v>573</v>
      </c>
      <c r="T62" s="15">
        <v>7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2:30" x14ac:dyDescent="0.2">
      <c r="B63" s="15">
        <v>0.76746726036071777</v>
      </c>
      <c r="C63" s="15">
        <v>2.8666845204316019E-2</v>
      </c>
      <c r="D63" s="15">
        <v>3.600168991088867</v>
      </c>
      <c r="E63" s="15">
        <v>0.15426046491172771</v>
      </c>
      <c r="F63" s="15">
        <v>-1.4168767461538869</v>
      </c>
      <c r="G63" s="15">
        <v>1.9709111429789309E-3</v>
      </c>
      <c r="H63" s="15">
        <v>38</v>
      </c>
      <c r="I63" s="15">
        <v>-1.414219759071299</v>
      </c>
      <c r="J63" s="15">
        <v>-1.4150250987690469</v>
      </c>
      <c r="K63" s="15">
        <v>-1.4171848626369781</v>
      </c>
      <c r="L63" s="15">
        <v>-1.4188843665006521</v>
      </c>
      <c r="M63" s="15">
        <v>-1.4190696437914589</v>
      </c>
      <c r="N63" s="15" t="s">
        <v>569</v>
      </c>
      <c r="O63" s="15" t="s">
        <v>570</v>
      </c>
      <c r="P63" s="15" t="s">
        <v>571</v>
      </c>
      <c r="Q63" s="15" t="s">
        <v>572</v>
      </c>
      <c r="R63" s="15">
        <v>2</v>
      </c>
      <c r="S63" s="15" t="s">
        <v>573</v>
      </c>
      <c r="T63" s="15">
        <v>1</v>
      </c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2:30" x14ac:dyDescent="0.2">
      <c r="B64" s="15">
        <v>0.77610635757446289</v>
      </c>
      <c r="C64" s="15">
        <v>4.4324734886688602E-2</v>
      </c>
      <c r="D64" s="15">
        <v>6.134897613525391</v>
      </c>
      <c r="E64" s="15">
        <v>0.20345585956550261</v>
      </c>
      <c r="F64" s="15">
        <v>-1.085167138564711</v>
      </c>
      <c r="G64" s="15">
        <v>3.1030578242234519E-3</v>
      </c>
      <c r="H64" s="15">
        <v>27</v>
      </c>
      <c r="I64" s="15">
        <v>-1.0856965005487089</v>
      </c>
      <c r="J64" s="15">
        <v>-1.080834715674164</v>
      </c>
      <c r="K64" s="15">
        <v>-1.08323406559121</v>
      </c>
      <c r="L64" s="15">
        <v>-1.09014545904684</v>
      </c>
      <c r="M64" s="15">
        <v>-1.0859249519626331</v>
      </c>
      <c r="N64" s="15" t="s">
        <v>569</v>
      </c>
      <c r="O64" s="15" t="s">
        <v>570</v>
      </c>
      <c r="P64" s="15" t="s">
        <v>574</v>
      </c>
      <c r="Q64" s="15" t="s">
        <v>572</v>
      </c>
      <c r="R64" s="15">
        <v>2</v>
      </c>
      <c r="S64" s="15" t="s">
        <v>573</v>
      </c>
      <c r="T64" s="15">
        <v>6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2:30" x14ac:dyDescent="0.2">
      <c r="B65" s="15">
        <v>0.83893609046936035</v>
      </c>
      <c r="C65" s="15">
        <v>0.1112964573612072</v>
      </c>
      <c r="D65" s="15">
        <v>25.48441376686096</v>
      </c>
      <c r="E65" s="15">
        <v>0.71299679813768546</v>
      </c>
      <c r="F65" s="15">
        <v>-1.09248809539863</v>
      </c>
      <c r="G65" s="15">
        <v>3.1736290368320221E-3</v>
      </c>
      <c r="H65" s="15">
        <v>28</v>
      </c>
      <c r="I65" s="15">
        <v>-1.0919311744578251</v>
      </c>
      <c r="J65" s="15">
        <v>-1.088595165174624</v>
      </c>
      <c r="K65" s="15">
        <v>-1.0908577032629601</v>
      </c>
      <c r="L65" s="15">
        <v>-1.0981503995216639</v>
      </c>
      <c r="M65" s="15">
        <v>-1.092906034576079</v>
      </c>
      <c r="N65" s="15" t="s">
        <v>569</v>
      </c>
      <c r="O65" s="15" t="s">
        <v>570</v>
      </c>
      <c r="P65" s="15" t="s">
        <v>571</v>
      </c>
      <c r="Q65" s="15" t="s">
        <v>572</v>
      </c>
      <c r="R65" s="15">
        <v>4</v>
      </c>
      <c r="S65" s="15" t="s">
        <v>573</v>
      </c>
      <c r="T65" s="15">
        <v>8</v>
      </c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2:30" x14ac:dyDescent="0.2">
      <c r="B66" s="15">
        <v>0.7592798709869385</v>
      </c>
      <c r="C66" s="15">
        <v>3.5149728424688442E-2</v>
      </c>
      <c r="D66" s="15">
        <v>65.315225887298581</v>
      </c>
      <c r="E66" s="15">
        <v>2.5107804971405301</v>
      </c>
      <c r="F66" s="15">
        <v>-1.023833160179592</v>
      </c>
      <c r="G66" s="15">
        <v>2.372977440917216E-3</v>
      </c>
      <c r="H66" s="15">
        <v>2</v>
      </c>
      <c r="I66" s="15">
        <v>-1.0245082992733601</v>
      </c>
      <c r="J66" s="15">
        <v>-1.02030635768635</v>
      </c>
      <c r="K66" s="15">
        <v>-1.0224531184648109</v>
      </c>
      <c r="L66" s="15">
        <v>-1.027432721237687</v>
      </c>
      <c r="M66" s="15">
        <v>-1.024465304235755</v>
      </c>
      <c r="N66" s="15" t="s">
        <v>569</v>
      </c>
      <c r="O66" s="15" t="s">
        <v>570</v>
      </c>
      <c r="P66" s="15" t="s">
        <v>574</v>
      </c>
      <c r="Q66" s="15" t="s">
        <v>572</v>
      </c>
      <c r="R66" s="15">
        <v>3</v>
      </c>
      <c r="S66" s="15" t="s">
        <v>573</v>
      </c>
      <c r="T66" s="15">
        <v>100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2:30" x14ac:dyDescent="0.2">
      <c r="B67" s="15">
        <v>49.339198875427243</v>
      </c>
      <c r="C67" s="15">
        <v>0.75169883873463861</v>
      </c>
      <c r="D67" s="15">
        <v>0.80978422164916997</v>
      </c>
      <c r="E67" s="15">
        <v>2.3866152200973899E-2</v>
      </c>
      <c r="F67" s="15">
        <v>-1.0828253075117611</v>
      </c>
      <c r="G67" s="15">
        <v>2.5734095232360912E-3</v>
      </c>
      <c r="H67" s="15">
        <v>35</v>
      </c>
      <c r="I67" s="15">
        <v>-1.085312255219441</v>
      </c>
      <c r="J67" s="15">
        <v>-1.0799472594715209</v>
      </c>
      <c r="K67" s="15">
        <v>-1.08073672291227</v>
      </c>
      <c r="L67" s="15">
        <v>-1.0864323750556359</v>
      </c>
      <c r="M67" s="15">
        <v>-1.081697924899937</v>
      </c>
      <c r="N67" s="15" t="s">
        <v>575</v>
      </c>
      <c r="O67" s="15" t="s">
        <v>450</v>
      </c>
      <c r="P67" s="15">
        <v>200</v>
      </c>
      <c r="Q67" s="15" t="s">
        <v>576</v>
      </c>
      <c r="R67" s="15">
        <v>2</v>
      </c>
      <c r="S67" s="15" t="s">
        <v>577</v>
      </c>
      <c r="T67" s="15">
        <v>3</v>
      </c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2:30" x14ac:dyDescent="0.2">
      <c r="B68" s="15">
        <v>188.38399848937991</v>
      </c>
      <c r="C68" s="15">
        <v>5.3329479246949578</v>
      </c>
      <c r="D68" s="15">
        <v>2.7425946712493898</v>
      </c>
      <c r="E68" s="15">
        <v>0.23048763182622631</v>
      </c>
      <c r="F68" s="15">
        <v>-1.0094462964460089</v>
      </c>
      <c r="G68" s="15">
        <v>3.196414694786421E-3</v>
      </c>
      <c r="H68" s="15">
        <v>3</v>
      </c>
      <c r="I68" s="15">
        <v>-1.0098127439755309</v>
      </c>
      <c r="J68" s="15">
        <v>-1.004433360454744</v>
      </c>
      <c r="K68" s="15">
        <v>-1.0079530604661819</v>
      </c>
      <c r="L68" s="15">
        <v>-1.014056233609802</v>
      </c>
      <c r="M68" s="15">
        <v>-1.010976083723786</v>
      </c>
      <c r="N68" s="15" t="s">
        <v>575</v>
      </c>
      <c r="O68" s="15" t="s">
        <v>450</v>
      </c>
      <c r="P68" s="15">
        <v>150</v>
      </c>
      <c r="Q68" s="15" t="s">
        <v>576</v>
      </c>
      <c r="R68" s="15">
        <v>100</v>
      </c>
      <c r="S68" s="15" t="s">
        <v>577</v>
      </c>
      <c r="T68" s="15">
        <v>57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2:30" x14ac:dyDescent="0.2">
      <c r="B69" s="15">
        <v>266.47696809768678</v>
      </c>
      <c r="C69" s="15">
        <v>3.1218581975517892</v>
      </c>
      <c r="D69" s="15">
        <v>3.3718260765075678</v>
      </c>
      <c r="E69" s="15">
        <v>0.1570091101590709</v>
      </c>
      <c r="F69" s="15">
        <v>-1.015309880647256</v>
      </c>
      <c r="G69" s="15">
        <v>3.0579967672920341E-3</v>
      </c>
      <c r="H69" s="15">
        <v>13</v>
      </c>
      <c r="I69" s="15">
        <v>-1.015045129336543</v>
      </c>
      <c r="J69" s="15">
        <v>-1.0107077286304329</v>
      </c>
      <c r="K69" s="15">
        <v>-1.0141627935081721</v>
      </c>
      <c r="L69" s="15">
        <v>-1.020064299001967</v>
      </c>
      <c r="M69" s="15">
        <v>-1.016569452759168</v>
      </c>
      <c r="N69" s="15" t="s">
        <v>575</v>
      </c>
      <c r="O69" s="15" t="s">
        <v>450</v>
      </c>
      <c r="P69" s="15">
        <v>150</v>
      </c>
      <c r="Q69" s="15" t="s">
        <v>576</v>
      </c>
      <c r="R69" s="15">
        <v>25</v>
      </c>
      <c r="S69" s="15" t="s">
        <v>577</v>
      </c>
      <c r="T69" s="15">
        <v>21</v>
      </c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2:30" x14ac:dyDescent="0.2">
      <c r="B70" s="15">
        <v>352.43024506568912</v>
      </c>
      <c r="C70" s="15">
        <v>3.8640042264326429</v>
      </c>
      <c r="D70" s="15">
        <v>4.8918976306915276</v>
      </c>
      <c r="E70" s="15">
        <v>0.32970353118924212</v>
      </c>
      <c r="F70" s="15">
        <v>-1.029804195621655</v>
      </c>
      <c r="G70" s="15">
        <v>2.915314503334372E-3</v>
      </c>
      <c r="H70" s="15">
        <v>22</v>
      </c>
      <c r="I70" s="15">
        <v>-1.0292637821978989</v>
      </c>
      <c r="J70" s="15">
        <v>-1.0258457099257501</v>
      </c>
      <c r="K70" s="15">
        <v>-1.0284520142342499</v>
      </c>
      <c r="L70" s="15">
        <v>-1.034677513010664</v>
      </c>
      <c r="M70" s="15">
        <v>-1.0307819587397129</v>
      </c>
      <c r="N70" s="15" t="s">
        <v>575</v>
      </c>
      <c r="O70" s="15" t="s">
        <v>450</v>
      </c>
      <c r="P70" s="15">
        <v>150</v>
      </c>
      <c r="Q70" s="15" t="s">
        <v>576</v>
      </c>
      <c r="R70" s="15">
        <v>10</v>
      </c>
      <c r="S70" s="15" t="s">
        <v>577</v>
      </c>
      <c r="T70" s="15">
        <v>100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2:30" x14ac:dyDescent="0.2">
      <c r="B71" s="15">
        <v>240.1675268173218</v>
      </c>
      <c r="C71" s="15">
        <v>3.460857495381549</v>
      </c>
      <c r="D71" s="15">
        <v>3.1960032463073729</v>
      </c>
      <c r="E71" s="15">
        <v>0.14070186361295001</v>
      </c>
      <c r="F71" s="15">
        <v>-1.03080780029094</v>
      </c>
      <c r="G71" s="15">
        <v>2.9980154764579952E-3</v>
      </c>
      <c r="H71" s="15">
        <v>23</v>
      </c>
      <c r="I71" s="15">
        <v>-1.030254003260364</v>
      </c>
      <c r="J71" s="15">
        <v>-1.026609502397811</v>
      </c>
      <c r="K71" s="15">
        <v>-1.029638457994964</v>
      </c>
      <c r="L71" s="15">
        <v>-1.035782099896968</v>
      </c>
      <c r="M71" s="15">
        <v>-1.0317549379045901</v>
      </c>
      <c r="N71" s="15" t="s">
        <v>575</v>
      </c>
      <c r="O71" s="15" t="s">
        <v>450</v>
      </c>
      <c r="P71" s="15">
        <v>100</v>
      </c>
      <c r="Q71" s="15" t="s">
        <v>576</v>
      </c>
      <c r="R71" s="15">
        <v>10</v>
      </c>
      <c r="S71" s="15" t="s">
        <v>577</v>
      </c>
      <c r="T71" s="15">
        <v>36</v>
      </c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2:30" x14ac:dyDescent="0.2">
      <c r="B72" s="15">
        <v>4.4941197395324703</v>
      </c>
      <c r="C72" s="15">
        <v>0.21352655086439509</v>
      </c>
      <c r="D72" s="15">
        <v>6.4830207824707026E-2</v>
      </c>
      <c r="E72" s="15">
        <v>2.2935098686742272E-3</v>
      </c>
      <c r="F72" s="15">
        <v>-1.0482212198522309</v>
      </c>
      <c r="G72" s="15">
        <v>2.9199074062059779E-3</v>
      </c>
      <c r="H72" s="15">
        <v>29</v>
      </c>
      <c r="I72" s="15">
        <v>-1.0500113247483001</v>
      </c>
      <c r="J72" s="15">
        <v>-1.044794612809528</v>
      </c>
      <c r="K72" s="15">
        <v>-1.0448111452602831</v>
      </c>
      <c r="L72" s="15">
        <v>-1.052033036030342</v>
      </c>
      <c r="M72" s="15">
        <v>-1.049455980412703</v>
      </c>
      <c r="N72" s="15" t="s">
        <v>575</v>
      </c>
      <c r="O72" s="15" t="s">
        <v>450</v>
      </c>
      <c r="P72" s="15">
        <v>10</v>
      </c>
      <c r="Q72" s="15" t="s">
        <v>576</v>
      </c>
      <c r="R72" s="15">
        <v>2</v>
      </c>
      <c r="S72" s="15" t="s">
        <v>577</v>
      </c>
      <c r="T72" s="15">
        <v>5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spans="2:30" x14ac:dyDescent="0.2">
      <c r="B73" s="15">
        <v>31.32993760108948</v>
      </c>
      <c r="C73" s="15">
        <v>1.4528008768593259</v>
      </c>
      <c r="D73" s="15">
        <v>0.41086416244506829</v>
      </c>
      <c r="E73" s="15">
        <v>5.1333903975661933E-2</v>
      </c>
      <c r="F73" s="15">
        <v>-1.0827869774885159</v>
      </c>
      <c r="G73" s="15">
        <v>2.5874112773855008E-3</v>
      </c>
      <c r="H73" s="15">
        <v>34</v>
      </c>
      <c r="I73" s="15">
        <v>-1.0850740380038599</v>
      </c>
      <c r="J73" s="15">
        <v>-1.0800841346777079</v>
      </c>
      <c r="K73" s="15">
        <v>-1.080703175792556</v>
      </c>
      <c r="L73" s="15">
        <v>-1.086632081696443</v>
      </c>
      <c r="M73" s="15">
        <v>-1.0814414572720119</v>
      </c>
      <c r="N73" s="15" t="s">
        <v>575</v>
      </c>
      <c r="O73" s="15" t="s">
        <v>450</v>
      </c>
      <c r="P73" s="15">
        <v>100</v>
      </c>
      <c r="Q73" s="15" t="s">
        <v>576</v>
      </c>
      <c r="R73" s="15">
        <v>100</v>
      </c>
      <c r="S73" s="15" t="s">
        <v>577</v>
      </c>
      <c r="T73" s="15">
        <v>3</v>
      </c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2:30" x14ac:dyDescent="0.2">
      <c r="B74" s="15">
        <v>13.390479660034179</v>
      </c>
      <c r="C74" s="15">
        <v>0.50483407186474927</v>
      </c>
      <c r="D74" s="15">
        <v>0.18839335441589361</v>
      </c>
      <c r="E74" s="15">
        <v>1.5377180549404091E-2</v>
      </c>
      <c r="F74" s="15">
        <v>-1.015197319322177</v>
      </c>
      <c r="G74" s="15">
        <v>3.2904551266615561E-3</v>
      </c>
      <c r="H74" s="15">
        <v>11</v>
      </c>
      <c r="I74" s="15">
        <v>-1.0153746691341099</v>
      </c>
      <c r="J74" s="15">
        <v>-1.0098936637044951</v>
      </c>
      <c r="K74" s="15">
        <v>-1.0140799467629069</v>
      </c>
      <c r="L74" s="15">
        <v>-1.019937024017791</v>
      </c>
      <c r="M74" s="15">
        <v>-1.0167012929915831</v>
      </c>
      <c r="N74" s="15" t="s">
        <v>575</v>
      </c>
      <c r="O74" s="15" t="s">
        <v>450</v>
      </c>
      <c r="P74" s="15">
        <v>10</v>
      </c>
      <c r="Q74" s="15" t="s">
        <v>576</v>
      </c>
      <c r="R74" s="15">
        <v>100</v>
      </c>
      <c r="S74" s="15" t="s">
        <v>577</v>
      </c>
      <c r="T74" s="15">
        <v>21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2:30" x14ac:dyDescent="0.2">
      <c r="B75" s="15">
        <v>4.651629543304443</v>
      </c>
      <c r="C75" s="15">
        <v>8.215327167151408E-2</v>
      </c>
      <c r="D75" s="15">
        <v>6.2003564834594717E-2</v>
      </c>
      <c r="E75" s="15">
        <v>4.1205185157182529E-3</v>
      </c>
      <c r="F75" s="15">
        <v>-1.0482212198522309</v>
      </c>
      <c r="G75" s="15">
        <v>2.9199074062059779E-3</v>
      </c>
      <c r="H75" s="15">
        <v>29</v>
      </c>
      <c r="I75" s="15">
        <v>-1.0500113247483001</v>
      </c>
      <c r="J75" s="15">
        <v>-1.044794612809528</v>
      </c>
      <c r="K75" s="15">
        <v>-1.0448111452602831</v>
      </c>
      <c r="L75" s="15">
        <v>-1.052033036030342</v>
      </c>
      <c r="M75" s="15">
        <v>-1.049455980412703</v>
      </c>
      <c r="N75" s="15" t="s">
        <v>575</v>
      </c>
      <c r="O75" s="15" t="s">
        <v>450</v>
      </c>
      <c r="P75" s="15">
        <v>10</v>
      </c>
      <c r="Q75" s="15" t="s">
        <v>576</v>
      </c>
      <c r="R75" s="15">
        <v>10</v>
      </c>
      <c r="S75" s="15" t="s">
        <v>577</v>
      </c>
      <c r="T75" s="15">
        <v>5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2:30" x14ac:dyDescent="0.2">
      <c r="B76" s="15">
        <v>392.25901846885682</v>
      </c>
      <c r="C76" s="15">
        <v>1.8735698705145321</v>
      </c>
      <c r="D76" s="15">
        <v>4.949804735183716</v>
      </c>
      <c r="E76" s="15">
        <v>0.22392765406219939</v>
      </c>
      <c r="F76" s="15">
        <v>-1.029059091945054</v>
      </c>
      <c r="G76" s="15">
        <v>3.008030028039948E-3</v>
      </c>
      <c r="H76" s="15">
        <v>17</v>
      </c>
      <c r="I76" s="15">
        <v>-1.030144120591334</v>
      </c>
      <c r="J76" s="15">
        <v>-1.0248185757838251</v>
      </c>
      <c r="K76" s="15">
        <v>-1.0266524206908401</v>
      </c>
      <c r="L76" s="15">
        <v>-1.0333927638644811</v>
      </c>
      <c r="M76" s="15">
        <v>-1.0302875787947869</v>
      </c>
      <c r="N76" s="15" t="s">
        <v>575</v>
      </c>
      <c r="O76" s="15" t="s">
        <v>450</v>
      </c>
      <c r="P76" s="15">
        <v>500</v>
      </c>
      <c r="Q76" s="15" t="s">
        <v>576</v>
      </c>
      <c r="R76" s="15">
        <v>100</v>
      </c>
      <c r="S76" s="15" t="s">
        <v>577</v>
      </c>
      <c r="T76" s="15">
        <v>8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2:30" x14ac:dyDescent="0.2">
      <c r="B77" s="15">
        <v>141.74238309860229</v>
      </c>
      <c r="C77" s="15">
        <v>1.7462804179830309</v>
      </c>
      <c r="D77" s="15">
        <v>2.0590613365173338</v>
      </c>
      <c r="E77" s="15">
        <v>0.1613027865624353</v>
      </c>
      <c r="F77" s="15">
        <v>-1.009684638605475</v>
      </c>
      <c r="G77" s="15">
        <v>3.2023355070594601E-3</v>
      </c>
      <c r="H77" s="15">
        <v>5</v>
      </c>
      <c r="I77" s="15">
        <v>-1.0098917105282159</v>
      </c>
      <c r="J77" s="15">
        <v>-1.004565508971583</v>
      </c>
      <c r="K77" s="15">
        <v>-1.0084672655838589</v>
      </c>
      <c r="L77" s="15">
        <v>-1.014291987901448</v>
      </c>
      <c r="M77" s="15">
        <v>-1.011206720042269</v>
      </c>
      <c r="N77" s="15" t="s">
        <v>575</v>
      </c>
      <c r="O77" s="15" t="s">
        <v>450</v>
      </c>
      <c r="P77" s="15">
        <v>100</v>
      </c>
      <c r="Q77" s="15" t="s">
        <v>576</v>
      </c>
      <c r="R77" s="15">
        <v>100</v>
      </c>
      <c r="S77" s="15" t="s">
        <v>577</v>
      </c>
      <c r="T77" s="15">
        <v>36</v>
      </c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2:30" x14ac:dyDescent="0.2">
      <c r="B78" s="15">
        <v>48.618826818466189</v>
      </c>
      <c r="C78" s="15">
        <v>2.3233566154225209</v>
      </c>
      <c r="D78" s="15">
        <v>0.66431136131286617</v>
      </c>
      <c r="E78" s="15">
        <v>2.795251911663324E-2</v>
      </c>
      <c r="F78" s="15">
        <v>-1.082914016306745</v>
      </c>
      <c r="G78" s="15">
        <v>2.60382650510722E-3</v>
      </c>
      <c r="H78" s="15">
        <v>39</v>
      </c>
      <c r="I78" s="15">
        <v>-1.085483114345331</v>
      </c>
      <c r="J78" s="15">
        <v>-1.0801567779570569</v>
      </c>
      <c r="K78" s="15">
        <v>-1.0808007375971369</v>
      </c>
      <c r="L78" s="15">
        <v>-1.086572984439701</v>
      </c>
      <c r="M78" s="15">
        <v>-1.0815564671944971</v>
      </c>
      <c r="N78" s="15" t="s">
        <v>575</v>
      </c>
      <c r="O78" s="15" t="s">
        <v>450</v>
      </c>
      <c r="P78" s="15">
        <v>150</v>
      </c>
      <c r="Q78" s="15" t="s">
        <v>576</v>
      </c>
      <c r="R78" s="15">
        <v>100</v>
      </c>
      <c r="S78" s="15" t="s">
        <v>577</v>
      </c>
      <c r="T78" s="15">
        <v>3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2:30" x14ac:dyDescent="0.2">
      <c r="B79" s="15">
        <v>589.84103765487669</v>
      </c>
      <c r="C79" s="15">
        <v>3.220939867933899</v>
      </c>
      <c r="D79" s="15">
        <v>14.09720606803894</v>
      </c>
      <c r="E79" s="15">
        <v>1.0988348600103031</v>
      </c>
      <c r="F79" s="15">
        <v>-1.04306389781326</v>
      </c>
      <c r="G79" s="15">
        <v>2.8137907621307509E-3</v>
      </c>
      <c r="H79" s="15">
        <v>28</v>
      </c>
      <c r="I79" s="15">
        <v>-1.042237757757762</v>
      </c>
      <c r="J79" s="15">
        <v>-1.039471464056996</v>
      </c>
      <c r="K79" s="15">
        <v>-1.0417727226113711</v>
      </c>
      <c r="L79" s="15">
        <v>-1.047922675296705</v>
      </c>
      <c r="M79" s="15">
        <v>-1.0439148693434639</v>
      </c>
      <c r="N79" s="15" t="s">
        <v>575</v>
      </c>
      <c r="O79" s="15" t="s">
        <v>450</v>
      </c>
      <c r="P79" s="15">
        <v>200</v>
      </c>
      <c r="Q79" s="15" t="s">
        <v>576</v>
      </c>
      <c r="R79" s="15">
        <v>5</v>
      </c>
      <c r="S79" s="15" t="s">
        <v>577</v>
      </c>
      <c r="T79" s="15">
        <v>57</v>
      </c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2:30" x14ac:dyDescent="0.2">
      <c r="B80" s="15">
        <v>90.353812646865848</v>
      </c>
      <c r="C80" s="15">
        <v>3.9159372797386758</v>
      </c>
      <c r="D80" s="15">
        <v>1.291008853912353</v>
      </c>
      <c r="E80" s="15">
        <v>0.14530550304913831</v>
      </c>
      <c r="F80" s="15">
        <v>-1.0829044618533561</v>
      </c>
      <c r="G80" s="15">
        <v>2.6317526597740681E-3</v>
      </c>
      <c r="H80" s="15">
        <v>36</v>
      </c>
      <c r="I80" s="15">
        <v>-1.085528488767775</v>
      </c>
      <c r="J80" s="15">
        <v>-1.079988543980265</v>
      </c>
      <c r="K80" s="15">
        <v>-1.0807229746973039</v>
      </c>
      <c r="L80" s="15">
        <v>-1.086531216826097</v>
      </c>
      <c r="M80" s="15">
        <v>-1.081751084995338</v>
      </c>
      <c r="N80" s="15" t="s">
        <v>575</v>
      </c>
      <c r="O80" s="15" t="s">
        <v>450</v>
      </c>
      <c r="P80" s="15">
        <v>300</v>
      </c>
      <c r="Q80" s="15" t="s">
        <v>576</v>
      </c>
      <c r="R80" s="15">
        <v>2</v>
      </c>
      <c r="S80" s="15" t="s">
        <v>577</v>
      </c>
      <c r="T80" s="15">
        <v>3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2:30" x14ac:dyDescent="0.2">
      <c r="B81" s="15">
        <v>148.33868947029109</v>
      </c>
      <c r="C81" s="15">
        <v>1.511434172395107</v>
      </c>
      <c r="D81" s="15">
        <v>2.002827835083008</v>
      </c>
      <c r="E81" s="15">
        <v>0.13648332864100729</v>
      </c>
      <c r="F81" s="15">
        <v>-1.0291319573946189</v>
      </c>
      <c r="G81" s="15">
        <v>3.0192706636321862E-3</v>
      </c>
      <c r="H81" s="15">
        <v>20</v>
      </c>
      <c r="I81" s="15">
        <v>-1.030193502733926</v>
      </c>
      <c r="J81" s="15">
        <v>-1.024858906457164</v>
      </c>
      <c r="K81" s="15">
        <v>-1.026748741679385</v>
      </c>
      <c r="L81" s="15">
        <v>-1.033488799286739</v>
      </c>
      <c r="M81" s="15">
        <v>-1.0303698368158829</v>
      </c>
      <c r="N81" s="15" t="s">
        <v>575</v>
      </c>
      <c r="O81" s="15" t="s">
        <v>450</v>
      </c>
      <c r="P81" s="15">
        <v>200</v>
      </c>
      <c r="Q81" s="15" t="s">
        <v>576</v>
      </c>
      <c r="R81" s="15">
        <v>100</v>
      </c>
      <c r="S81" s="15" t="s">
        <v>577</v>
      </c>
      <c r="T81" s="15">
        <v>8</v>
      </c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2:30" x14ac:dyDescent="0.2">
      <c r="B82" s="15">
        <v>680.0315404891968</v>
      </c>
      <c r="C82" s="15">
        <v>7.5104508405778789</v>
      </c>
      <c r="D82" s="15">
        <v>11.3863299369812</v>
      </c>
      <c r="E82" s="15">
        <v>2.0799101992914508</v>
      </c>
      <c r="F82" s="15">
        <v>-1.0563359671986789</v>
      </c>
      <c r="G82" s="15">
        <v>2.722184062269685E-3</v>
      </c>
      <c r="H82" s="15">
        <v>32</v>
      </c>
      <c r="I82" s="15">
        <v>-1.0551469824476909</v>
      </c>
      <c r="J82" s="15">
        <v>-1.0530696289199699</v>
      </c>
      <c r="K82" s="15">
        <v>-1.0551819773562701</v>
      </c>
      <c r="L82" s="15">
        <v>-1.061128699570199</v>
      </c>
      <c r="M82" s="15">
        <v>-1.057152547699262</v>
      </c>
      <c r="N82" s="15" t="s">
        <v>575</v>
      </c>
      <c r="O82" s="15" t="s">
        <v>450</v>
      </c>
      <c r="P82" s="15">
        <v>200</v>
      </c>
      <c r="Q82" s="15" t="s">
        <v>576</v>
      </c>
      <c r="R82" s="15">
        <v>2</v>
      </c>
      <c r="S82" s="15" t="s">
        <v>577</v>
      </c>
      <c r="T82" s="15">
        <v>36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2:30" x14ac:dyDescent="0.2">
      <c r="B83" s="15">
        <v>227.8835928440094</v>
      </c>
      <c r="C83" s="15">
        <v>4.3800095504953154</v>
      </c>
      <c r="D83" s="15">
        <v>3.2627119064331049</v>
      </c>
      <c r="E83" s="15">
        <v>0.26607971121373059</v>
      </c>
      <c r="F83" s="15">
        <v>-1.0290969984736831</v>
      </c>
      <c r="G83" s="15">
        <v>3.015986149625297E-3</v>
      </c>
      <c r="H83" s="15">
        <v>19</v>
      </c>
      <c r="I83" s="15">
        <v>-1.030167115411452</v>
      </c>
      <c r="J83" s="15">
        <v>-1.024823991817903</v>
      </c>
      <c r="K83" s="15">
        <v>-1.0267151249358399</v>
      </c>
      <c r="L83" s="15">
        <v>-1.0334400274294351</v>
      </c>
      <c r="M83" s="15">
        <v>-1.0303387327737841</v>
      </c>
      <c r="N83" s="15" t="s">
        <v>575</v>
      </c>
      <c r="O83" s="15" t="s">
        <v>450</v>
      </c>
      <c r="P83" s="15">
        <v>300</v>
      </c>
      <c r="Q83" s="15" t="s">
        <v>576</v>
      </c>
      <c r="R83" s="15">
        <v>100</v>
      </c>
      <c r="S83" s="15" t="s">
        <v>577</v>
      </c>
      <c r="T83" s="15">
        <v>8</v>
      </c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2:30" x14ac:dyDescent="0.2">
      <c r="B84" s="15">
        <v>139.85430693626401</v>
      </c>
      <c r="C84" s="15">
        <v>2.6110663992905341</v>
      </c>
      <c r="D84" s="15">
        <v>2.0685755252838129</v>
      </c>
      <c r="E84" s="15">
        <v>0.1200326694950988</v>
      </c>
      <c r="F84" s="15">
        <v>-1.009684638605475</v>
      </c>
      <c r="G84" s="15">
        <v>3.2023355070594601E-3</v>
      </c>
      <c r="H84" s="15">
        <v>5</v>
      </c>
      <c r="I84" s="15">
        <v>-1.0098917105282159</v>
      </c>
      <c r="J84" s="15">
        <v>-1.004565508971583</v>
      </c>
      <c r="K84" s="15">
        <v>-1.0084672655838589</v>
      </c>
      <c r="L84" s="15">
        <v>-1.014291987901448</v>
      </c>
      <c r="M84" s="15">
        <v>-1.011206720042269</v>
      </c>
      <c r="N84" s="15" t="s">
        <v>575</v>
      </c>
      <c r="O84" s="15" t="s">
        <v>450</v>
      </c>
      <c r="P84" s="15">
        <v>100</v>
      </c>
      <c r="Q84" s="15" t="s">
        <v>576</v>
      </c>
      <c r="R84" s="15">
        <v>100</v>
      </c>
      <c r="S84" s="15" t="s">
        <v>577</v>
      </c>
      <c r="T84" s="15">
        <v>100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2:30" x14ac:dyDescent="0.2">
      <c r="B85" s="15">
        <v>1517.6586279392241</v>
      </c>
      <c r="C85" s="15">
        <v>6.727443959930163</v>
      </c>
      <c r="D85" s="15">
        <v>56.701686334609988</v>
      </c>
      <c r="E85" s="15">
        <v>12.78844796831771</v>
      </c>
      <c r="F85" s="15">
        <v>-1.04176610400965</v>
      </c>
      <c r="G85" s="15">
        <v>2.8480392890166228E-3</v>
      </c>
      <c r="H85" s="15">
        <v>27</v>
      </c>
      <c r="I85" s="15">
        <v>-1.0409411273212721</v>
      </c>
      <c r="J85" s="15">
        <v>-1.0380263609309059</v>
      </c>
      <c r="K85" s="15">
        <v>-1.0404530475783169</v>
      </c>
      <c r="L85" s="15">
        <v>-1.046561350158407</v>
      </c>
      <c r="M85" s="15">
        <v>-1.0428486340593479</v>
      </c>
      <c r="N85" s="15" t="s">
        <v>575</v>
      </c>
      <c r="O85" s="15" t="s">
        <v>450</v>
      </c>
      <c r="P85" s="15">
        <v>500</v>
      </c>
      <c r="Q85" s="15" t="s">
        <v>576</v>
      </c>
      <c r="R85" s="15">
        <v>5</v>
      </c>
      <c r="S85" s="15" t="s">
        <v>577</v>
      </c>
      <c r="T85" s="15">
        <v>36</v>
      </c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2:30" x14ac:dyDescent="0.2">
      <c r="B86" s="15">
        <v>496.03205590248109</v>
      </c>
      <c r="C86" s="15">
        <v>11.62666696989498</v>
      </c>
      <c r="D86" s="15">
        <v>6.7158255577087402</v>
      </c>
      <c r="E86" s="15">
        <v>0.3673566935601269</v>
      </c>
      <c r="F86" s="15">
        <v>-1.02933076641448</v>
      </c>
      <c r="G86" s="15">
        <v>2.8903271601598722E-3</v>
      </c>
      <c r="H86" s="15">
        <v>21</v>
      </c>
      <c r="I86" s="15">
        <v>-1.028704931349655</v>
      </c>
      <c r="J86" s="15">
        <v>-1.0254293031142161</v>
      </c>
      <c r="K86" s="15">
        <v>-1.027881280239002</v>
      </c>
      <c r="L86" s="15">
        <v>-1.034079113678084</v>
      </c>
      <c r="M86" s="15">
        <v>-1.0305592036914439</v>
      </c>
      <c r="N86" s="15" t="s">
        <v>575</v>
      </c>
      <c r="O86" s="15" t="s">
        <v>450</v>
      </c>
      <c r="P86" s="15">
        <v>200</v>
      </c>
      <c r="Q86" s="15" t="s">
        <v>576</v>
      </c>
      <c r="R86" s="15">
        <v>10</v>
      </c>
      <c r="S86" s="15" t="s">
        <v>577</v>
      </c>
      <c r="T86" s="15">
        <v>100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2:30" x14ac:dyDescent="0.2">
      <c r="B87" s="15">
        <v>154.9536798000336</v>
      </c>
      <c r="C87" s="15">
        <v>2.4391798247113452</v>
      </c>
      <c r="D87" s="15">
        <v>1.982922172546387</v>
      </c>
      <c r="E87" s="15">
        <v>7.5405747547252946E-2</v>
      </c>
      <c r="F87" s="15">
        <v>-1.0829133707393419</v>
      </c>
      <c r="G87" s="15">
        <v>2.645867640257349E-3</v>
      </c>
      <c r="H87" s="15">
        <v>37</v>
      </c>
      <c r="I87" s="15">
        <v>-1.085612924700819</v>
      </c>
      <c r="J87" s="15">
        <v>-1.0800234458395741</v>
      </c>
      <c r="K87" s="15">
        <v>-1.0805951625154619</v>
      </c>
      <c r="L87" s="15">
        <v>-1.086496098236271</v>
      </c>
      <c r="M87" s="15">
        <v>-1.081839222404585</v>
      </c>
      <c r="N87" s="15" t="s">
        <v>575</v>
      </c>
      <c r="O87" s="15" t="s">
        <v>450</v>
      </c>
      <c r="P87" s="15">
        <v>500</v>
      </c>
      <c r="Q87" s="15" t="s">
        <v>576</v>
      </c>
      <c r="R87" s="15">
        <v>25</v>
      </c>
      <c r="S87" s="15" t="s">
        <v>577</v>
      </c>
      <c r="T87" s="15">
        <v>3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2:30" x14ac:dyDescent="0.2">
      <c r="B88" s="15">
        <v>725.63865113258362</v>
      </c>
      <c r="C88" s="15">
        <v>10.011071799214321</v>
      </c>
      <c r="D88" s="15">
        <v>8.9242667675018303</v>
      </c>
      <c r="E88" s="15">
        <v>0.73923101523996793</v>
      </c>
      <c r="F88" s="15">
        <v>-1.0135345621327561</v>
      </c>
      <c r="G88" s="15">
        <v>3.1075579678954369E-3</v>
      </c>
      <c r="H88" s="15">
        <v>8</v>
      </c>
      <c r="I88" s="15">
        <v>-1.014170169462157</v>
      </c>
      <c r="J88" s="15">
        <v>-1.008779170489553</v>
      </c>
      <c r="K88" s="15">
        <v>-1.0117849579561009</v>
      </c>
      <c r="L88" s="15">
        <v>-1.0180473661429881</v>
      </c>
      <c r="M88" s="15">
        <v>-1.0148911466129811</v>
      </c>
      <c r="N88" s="15" t="s">
        <v>575</v>
      </c>
      <c r="O88" s="15" t="s">
        <v>450</v>
      </c>
      <c r="P88" s="15">
        <v>500</v>
      </c>
      <c r="Q88" s="15" t="s">
        <v>576</v>
      </c>
      <c r="R88" s="15">
        <v>5</v>
      </c>
      <c r="S88" s="15" t="s">
        <v>577</v>
      </c>
      <c r="T88" s="15">
        <v>13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2:30" x14ac:dyDescent="0.2">
      <c r="B89" s="15">
        <v>148.5089517116547</v>
      </c>
      <c r="C89" s="15">
        <v>3.133741452300475</v>
      </c>
      <c r="D89" s="15">
        <v>2.3022091865539549</v>
      </c>
      <c r="E89" s="15">
        <v>0.29094886731834479</v>
      </c>
      <c r="F89" s="15">
        <v>-1.0096773857942509</v>
      </c>
      <c r="G89" s="15">
        <v>3.191184065410147E-3</v>
      </c>
      <c r="H89" s="15">
        <v>4</v>
      </c>
      <c r="I89" s="15">
        <v>-1.009905296999478</v>
      </c>
      <c r="J89" s="15">
        <v>-1.0045730767898109</v>
      </c>
      <c r="K89" s="15">
        <v>-1.0084589395127861</v>
      </c>
      <c r="L89" s="15">
        <v>-1.0142665910945921</v>
      </c>
      <c r="M89" s="15">
        <v>-1.011183024574591</v>
      </c>
      <c r="N89" s="15" t="s">
        <v>575</v>
      </c>
      <c r="O89" s="15" t="s">
        <v>450</v>
      </c>
      <c r="P89" s="15">
        <v>100</v>
      </c>
      <c r="Q89" s="15" t="s">
        <v>576</v>
      </c>
      <c r="R89" s="15">
        <v>100</v>
      </c>
      <c r="S89" s="15" t="s">
        <v>577</v>
      </c>
      <c r="T89" s="15">
        <v>21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2:30" x14ac:dyDescent="0.2">
      <c r="B90" s="15">
        <v>412.15761156082152</v>
      </c>
      <c r="C90" s="15">
        <v>2.8816447020942562</v>
      </c>
      <c r="D90" s="15">
        <v>5.7785953998565676</v>
      </c>
      <c r="E90" s="15">
        <v>0.4571162397446687</v>
      </c>
      <c r="F90" s="15">
        <v>-1.013635693835528</v>
      </c>
      <c r="G90" s="15">
        <v>3.1358207593692091E-3</v>
      </c>
      <c r="H90" s="15">
        <v>9</v>
      </c>
      <c r="I90" s="15">
        <v>-1.0142301758208301</v>
      </c>
      <c r="J90" s="15">
        <v>-1.008854526911843</v>
      </c>
      <c r="K90" s="15">
        <v>-1.0118369666148279</v>
      </c>
      <c r="L90" s="15">
        <v>-1.0181785441373801</v>
      </c>
      <c r="M90" s="15">
        <v>-1.015078255692762</v>
      </c>
      <c r="N90" s="15" t="s">
        <v>575</v>
      </c>
      <c r="O90" s="15" t="s">
        <v>450</v>
      </c>
      <c r="P90" s="15">
        <v>300</v>
      </c>
      <c r="Q90" s="15" t="s">
        <v>576</v>
      </c>
      <c r="R90" s="15">
        <v>5</v>
      </c>
      <c r="S90" s="15" t="s">
        <v>577</v>
      </c>
      <c r="T90" s="15">
        <v>13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2:30" x14ac:dyDescent="0.2">
      <c r="B91" s="15">
        <v>1065.6230172157291</v>
      </c>
      <c r="C91" s="15">
        <v>7.8702367136675422</v>
      </c>
      <c r="D91" s="15">
        <v>33.894703292846678</v>
      </c>
      <c r="E91" s="15">
        <v>7.0166039492792347</v>
      </c>
      <c r="F91" s="15">
        <v>-1.0555476993491639</v>
      </c>
      <c r="G91" s="15">
        <v>2.792743253351937E-3</v>
      </c>
      <c r="H91" s="15">
        <v>31</v>
      </c>
      <c r="I91" s="15">
        <v>-1.0542842013937079</v>
      </c>
      <c r="J91" s="15">
        <v>-1.0520514660783169</v>
      </c>
      <c r="K91" s="15">
        <v>-1.0545177501218019</v>
      </c>
      <c r="L91" s="15">
        <v>-1.060360351472323</v>
      </c>
      <c r="M91" s="15">
        <v>-1.0565247276796681</v>
      </c>
      <c r="N91" s="15" t="s">
        <v>575</v>
      </c>
      <c r="O91" s="15" t="s">
        <v>450</v>
      </c>
      <c r="P91" s="15">
        <v>300</v>
      </c>
      <c r="Q91" s="15" t="s">
        <v>576</v>
      </c>
      <c r="R91" s="15">
        <v>2</v>
      </c>
      <c r="S91" s="15" t="s">
        <v>577</v>
      </c>
      <c r="T91" s="15">
        <v>100</v>
      </c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spans="2:30" x14ac:dyDescent="0.2">
      <c r="B92" s="15">
        <v>34.968852376937868</v>
      </c>
      <c r="C92" s="15">
        <v>1.749029236435967</v>
      </c>
      <c r="D92" s="15">
        <v>0.46384534835815427</v>
      </c>
      <c r="E92" s="15">
        <v>5.1341119037412272E-2</v>
      </c>
      <c r="F92" s="15">
        <v>-1.1004524015368751</v>
      </c>
      <c r="G92" s="15">
        <v>3.0059058135178331E-3</v>
      </c>
      <c r="H92" s="15">
        <v>40</v>
      </c>
      <c r="I92" s="15">
        <v>-1.1000175441627089</v>
      </c>
      <c r="J92" s="15">
        <v>-1.097291705798169</v>
      </c>
      <c r="K92" s="15">
        <v>-1.0992604191253681</v>
      </c>
      <c r="L92" s="15">
        <v>-1.10617161513701</v>
      </c>
      <c r="M92" s="15">
        <v>-1.099520723461116</v>
      </c>
      <c r="N92" s="15" t="s">
        <v>575</v>
      </c>
      <c r="O92" s="15" t="s">
        <v>450</v>
      </c>
      <c r="P92" s="15">
        <v>10</v>
      </c>
      <c r="Q92" s="15" t="s">
        <v>576</v>
      </c>
      <c r="R92" s="15">
        <v>2</v>
      </c>
      <c r="S92" s="15" t="s">
        <v>577</v>
      </c>
      <c r="T92" s="15">
        <v>57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2:30" x14ac:dyDescent="0.2">
      <c r="B93" s="15">
        <v>231.85130071640009</v>
      </c>
      <c r="C93" s="15">
        <v>2.4956691062851388</v>
      </c>
      <c r="D93" s="15">
        <v>3.307141780853271</v>
      </c>
      <c r="E93" s="15">
        <v>0.43773892837401929</v>
      </c>
      <c r="F93" s="15">
        <v>-1.0290889392835141</v>
      </c>
      <c r="G93" s="15">
        <v>3.020516305328725E-3</v>
      </c>
      <c r="H93" s="15">
        <v>18</v>
      </c>
      <c r="I93" s="15">
        <v>-1.030223003667746</v>
      </c>
      <c r="J93" s="15">
        <v>-1.0248010322516909</v>
      </c>
      <c r="K93" s="15">
        <v>-1.0267016986019639</v>
      </c>
      <c r="L93" s="15">
        <v>-1.0334238697601701</v>
      </c>
      <c r="M93" s="15">
        <v>-1.0302950921359999</v>
      </c>
      <c r="N93" s="15" t="s">
        <v>575</v>
      </c>
      <c r="O93" s="15" t="s">
        <v>450</v>
      </c>
      <c r="P93" s="15">
        <v>300</v>
      </c>
      <c r="Q93" s="15" t="s">
        <v>576</v>
      </c>
      <c r="R93" s="15">
        <v>25</v>
      </c>
      <c r="S93" s="15" t="s">
        <v>577</v>
      </c>
      <c r="T93" s="15">
        <v>8</v>
      </c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spans="2:30" x14ac:dyDescent="0.2">
      <c r="B94" s="15">
        <v>138.7432831764221</v>
      </c>
      <c r="C94" s="15">
        <v>2.5216801374036701</v>
      </c>
      <c r="D94" s="15">
        <v>1.818432998657227</v>
      </c>
      <c r="E94" s="15">
        <v>0.1653427451422925</v>
      </c>
      <c r="F94" s="15">
        <v>-1.013845138610431</v>
      </c>
      <c r="G94" s="15">
        <v>3.1816073632354989E-3</v>
      </c>
      <c r="H94" s="15">
        <v>10</v>
      </c>
      <c r="I94" s="15">
        <v>-1.0144274971027181</v>
      </c>
      <c r="J94" s="15">
        <v>-1.008795996060325</v>
      </c>
      <c r="K94" s="15">
        <v>-1.0123233196165351</v>
      </c>
      <c r="L94" s="15">
        <v>-1.0183448518504821</v>
      </c>
      <c r="M94" s="15">
        <v>-1.0153340284220931</v>
      </c>
      <c r="N94" s="15" t="s">
        <v>575</v>
      </c>
      <c r="O94" s="15" t="s">
        <v>450</v>
      </c>
      <c r="P94" s="15">
        <v>100</v>
      </c>
      <c r="Q94" s="15" t="s">
        <v>576</v>
      </c>
      <c r="R94" s="15">
        <v>10</v>
      </c>
      <c r="S94" s="15" t="s">
        <v>577</v>
      </c>
      <c r="T94" s="15">
        <v>13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spans="2:30" x14ac:dyDescent="0.2">
      <c r="B95" s="15">
        <v>613.84765315055847</v>
      </c>
      <c r="C95" s="15">
        <v>6.3130303139616544</v>
      </c>
      <c r="D95" s="15">
        <v>8.2087797164916996</v>
      </c>
      <c r="E95" s="15">
        <v>0.43444456463528919</v>
      </c>
      <c r="F95" s="15">
        <v>-1.0158893922237291</v>
      </c>
      <c r="G95" s="15">
        <v>3.0727330562410329E-3</v>
      </c>
      <c r="H95" s="15">
        <v>14</v>
      </c>
      <c r="I95" s="15">
        <v>-1.0156803194511139</v>
      </c>
      <c r="J95" s="15">
        <v>-1.011289646954149</v>
      </c>
      <c r="K95" s="15">
        <v>-1.014554590543663</v>
      </c>
      <c r="L95" s="15">
        <v>-1.0205972563373711</v>
      </c>
      <c r="M95" s="15">
        <v>-1.0173251478323471</v>
      </c>
      <c r="N95" s="15" t="s">
        <v>575</v>
      </c>
      <c r="O95" s="15" t="s">
        <v>450</v>
      </c>
      <c r="P95" s="15">
        <v>300</v>
      </c>
      <c r="Q95" s="15" t="s">
        <v>576</v>
      </c>
      <c r="R95" s="15">
        <v>25</v>
      </c>
      <c r="S95" s="15" t="s">
        <v>577</v>
      </c>
      <c r="T95" s="15">
        <v>36</v>
      </c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2:30" x14ac:dyDescent="0.2">
      <c r="B96" s="15">
        <v>703.01861076354976</v>
      </c>
      <c r="C96" s="15">
        <v>2.0846836842784739</v>
      </c>
      <c r="D96" s="15">
        <v>15.170977067947391</v>
      </c>
      <c r="E96" s="15">
        <v>3.3909371202500749</v>
      </c>
      <c r="F96" s="15">
        <v>-1.0563698017634719</v>
      </c>
      <c r="G96" s="15">
        <v>2.775043990320344E-3</v>
      </c>
      <c r="H96" s="15">
        <v>33</v>
      </c>
      <c r="I96" s="15">
        <v>-1.0552269030115791</v>
      </c>
      <c r="J96" s="15">
        <v>-1.0530348185503511</v>
      </c>
      <c r="K96" s="15">
        <v>-1.0551769415039041</v>
      </c>
      <c r="L96" s="15">
        <v>-1.0612757332907841</v>
      </c>
      <c r="M96" s="15">
        <v>-1.057134612460745</v>
      </c>
      <c r="N96" s="15" t="s">
        <v>575</v>
      </c>
      <c r="O96" s="15" t="s">
        <v>450</v>
      </c>
      <c r="P96" s="15">
        <v>200</v>
      </c>
      <c r="Q96" s="15" t="s">
        <v>576</v>
      </c>
      <c r="R96" s="15">
        <v>2</v>
      </c>
      <c r="S96" s="15" t="s">
        <v>577</v>
      </c>
      <c r="T96" s="15">
        <v>57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spans="2:30" x14ac:dyDescent="0.2">
      <c r="B97" s="15">
        <v>1578.105539989471</v>
      </c>
      <c r="C97" s="15">
        <v>13.07733701579528</v>
      </c>
      <c r="D97" s="15">
        <v>46.274087095260619</v>
      </c>
      <c r="E97" s="15">
        <v>11.240101567152729</v>
      </c>
      <c r="F97" s="15">
        <v>-1.0417533437243469</v>
      </c>
      <c r="G97" s="15">
        <v>2.8578745636655719E-3</v>
      </c>
      <c r="H97" s="15">
        <v>26</v>
      </c>
      <c r="I97" s="15">
        <v>-1.0409411729557041</v>
      </c>
      <c r="J97" s="15">
        <v>-1.0380165255735929</v>
      </c>
      <c r="K97" s="15">
        <v>-1.0404329473664859</v>
      </c>
      <c r="L97" s="15">
        <v>-1.0465913907113169</v>
      </c>
      <c r="M97" s="15">
        <v>-1.0427846820146329</v>
      </c>
      <c r="N97" s="15" t="s">
        <v>575</v>
      </c>
      <c r="O97" s="15" t="s">
        <v>450</v>
      </c>
      <c r="P97" s="15">
        <v>500</v>
      </c>
      <c r="Q97" s="15" t="s">
        <v>576</v>
      </c>
      <c r="R97" s="15">
        <v>5</v>
      </c>
      <c r="S97" s="15" t="s">
        <v>577</v>
      </c>
      <c r="T97" s="15">
        <v>100</v>
      </c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spans="2:30" x14ac:dyDescent="0.2">
      <c r="B98" s="15">
        <v>20.939669990539549</v>
      </c>
      <c r="C98" s="15">
        <v>1.4921097594871999</v>
      </c>
      <c r="D98" s="15">
        <v>0.29839611053466802</v>
      </c>
      <c r="E98" s="15">
        <v>5.5738569227964822E-2</v>
      </c>
      <c r="F98" s="15">
        <v>-1.031534480583987</v>
      </c>
      <c r="G98" s="15">
        <v>3.29387973503305E-3</v>
      </c>
      <c r="H98" s="15">
        <v>25</v>
      </c>
      <c r="I98" s="15">
        <v>-1.031713949198755</v>
      </c>
      <c r="J98" s="15">
        <v>-1.0262307217461599</v>
      </c>
      <c r="K98" s="15">
        <v>-1.0306385733372061</v>
      </c>
      <c r="L98" s="15">
        <v>-1.036436947302152</v>
      </c>
      <c r="M98" s="15">
        <v>-1.03265221133566</v>
      </c>
      <c r="N98" s="15" t="s">
        <v>575</v>
      </c>
      <c r="O98" s="15" t="s">
        <v>450</v>
      </c>
      <c r="P98" s="15">
        <v>10</v>
      </c>
      <c r="Q98" s="15" t="s">
        <v>576</v>
      </c>
      <c r="R98" s="15">
        <v>25</v>
      </c>
      <c r="S98" s="15" t="s">
        <v>577</v>
      </c>
      <c r="T98" s="15">
        <v>36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2:30" x14ac:dyDescent="0.2">
      <c r="B99" s="15">
        <v>160.7578216075897</v>
      </c>
      <c r="C99" s="15">
        <v>3.7328319255575999</v>
      </c>
      <c r="D99" s="15">
        <v>2.460138320922852</v>
      </c>
      <c r="E99" s="15">
        <v>0.12710093377415091</v>
      </c>
      <c r="F99" s="15">
        <v>-1.0829133707393419</v>
      </c>
      <c r="G99" s="15">
        <v>2.645867640257349E-3</v>
      </c>
      <c r="H99" s="15">
        <v>37</v>
      </c>
      <c r="I99" s="15">
        <v>-1.085612924700819</v>
      </c>
      <c r="J99" s="15">
        <v>-1.0800234458395741</v>
      </c>
      <c r="K99" s="15">
        <v>-1.0805951625154619</v>
      </c>
      <c r="L99" s="15">
        <v>-1.086496098236271</v>
      </c>
      <c r="M99" s="15">
        <v>-1.081839222404585</v>
      </c>
      <c r="N99" s="15" t="s">
        <v>575</v>
      </c>
      <c r="O99" s="15" t="s">
        <v>450</v>
      </c>
      <c r="P99" s="15">
        <v>500</v>
      </c>
      <c r="Q99" s="15" t="s">
        <v>576</v>
      </c>
      <c r="R99" s="15">
        <v>2</v>
      </c>
      <c r="S99" s="15" t="s">
        <v>577</v>
      </c>
      <c r="T99" s="15">
        <v>3</v>
      </c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spans="2:30" x14ac:dyDescent="0.2">
      <c r="B100" s="15">
        <v>740.07881960868838</v>
      </c>
      <c r="C100" s="15">
        <v>4.8249959208920341</v>
      </c>
      <c r="D100" s="15">
        <v>11.55878391265869</v>
      </c>
      <c r="E100" s="15">
        <v>1.2016719560618541</v>
      </c>
      <c r="F100" s="15">
        <v>-1.0091397241611479</v>
      </c>
      <c r="G100" s="15">
        <v>3.160243139401408E-3</v>
      </c>
      <c r="H100" s="15">
        <v>1</v>
      </c>
      <c r="I100" s="15">
        <v>-1.0095214652207849</v>
      </c>
      <c r="J100" s="15">
        <v>-1.0042808428585439</v>
      </c>
      <c r="K100" s="15">
        <v>-1.0075059093833061</v>
      </c>
      <c r="L100" s="15">
        <v>-1.0137508355278619</v>
      </c>
      <c r="M100" s="15">
        <v>-1.01063956781524</v>
      </c>
      <c r="N100" s="15" t="s">
        <v>575</v>
      </c>
      <c r="O100" s="15" t="s">
        <v>450</v>
      </c>
      <c r="P100" s="15">
        <v>500</v>
      </c>
      <c r="Q100" s="15" t="s">
        <v>576</v>
      </c>
      <c r="R100" s="15">
        <v>100</v>
      </c>
      <c r="S100" s="15" t="s">
        <v>577</v>
      </c>
      <c r="T100" s="15">
        <v>21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2:30" x14ac:dyDescent="0.2">
      <c r="B101" s="15">
        <v>445.83154997825619</v>
      </c>
      <c r="C101" s="15">
        <v>4.2220316579127779</v>
      </c>
      <c r="D101" s="15">
        <v>6.3385659217834469</v>
      </c>
      <c r="E101" s="15">
        <v>0.49556468130330211</v>
      </c>
      <c r="F101" s="15">
        <v>-1.0092294661004579</v>
      </c>
      <c r="G101" s="15">
        <v>3.166230109032719E-3</v>
      </c>
      <c r="H101" s="15">
        <v>2</v>
      </c>
      <c r="I101" s="15">
        <v>-1.0096069572392801</v>
      </c>
      <c r="J101" s="15">
        <v>-1.0043471669777151</v>
      </c>
      <c r="K101" s="15">
        <v>-1.0076037241774261</v>
      </c>
      <c r="L101" s="15">
        <v>-1.0138294826204159</v>
      </c>
      <c r="M101" s="15">
        <v>-1.0107599994874541</v>
      </c>
      <c r="N101" s="15" t="s">
        <v>575</v>
      </c>
      <c r="O101" s="15" t="s">
        <v>450</v>
      </c>
      <c r="P101" s="15">
        <v>300</v>
      </c>
      <c r="Q101" s="15" t="s">
        <v>576</v>
      </c>
      <c r="R101" s="15">
        <v>100</v>
      </c>
      <c r="S101" s="15" t="s">
        <v>577</v>
      </c>
      <c r="T101" s="15">
        <v>100</v>
      </c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2:30" x14ac:dyDescent="0.2">
      <c r="B102" s="15">
        <v>13.50870513916016</v>
      </c>
      <c r="C102" s="15">
        <v>0.39443253882486712</v>
      </c>
      <c r="D102" s="15">
        <v>0.1916025638580322</v>
      </c>
      <c r="E102" s="15">
        <v>1.9617083715708441E-2</v>
      </c>
      <c r="F102" s="15">
        <v>-1.0210623712229081</v>
      </c>
      <c r="G102" s="15">
        <v>3.3871234001894E-3</v>
      </c>
      <c r="H102" s="15">
        <v>15</v>
      </c>
      <c r="I102" s="15">
        <v>-1.0215194886073089</v>
      </c>
      <c r="J102" s="15">
        <v>-1.0158545864012689</v>
      </c>
      <c r="K102" s="15">
        <v>-1.019232388683633</v>
      </c>
      <c r="L102" s="15">
        <v>-1.025938844444811</v>
      </c>
      <c r="M102" s="15">
        <v>-1.0227665479775161</v>
      </c>
      <c r="N102" s="15" t="s">
        <v>575</v>
      </c>
      <c r="O102" s="15" t="s">
        <v>450</v>
      </c>
      <c r="P102" s="15">
        <v>10</v>
      </c>
      <c r="Q102" s="15" t="s">
        <v>576</v>
      </c>
      <c r="R102" s="15">
        <v>2</v>
      </c>
      <c r="S102" s="15" t="s">
        <v>577</v>
      </c>
      <c r="T102" s="15">
        <v>13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2:30" x14ac:dyDescent="0.2">
      <c r="B103" s="15">
        <v>15.552340888977049</v>
      </c>
      <c r="C103" s="15">
        <v>1.036221081709378</v>
      </c>
      <c r="D103" s="15">
        <v>0.25772795677185062</v>
      </c>
      <c r="E103" s="15">
        <v>2.8669782382180809E-2</v>
      </c>
      <c r="F103" s="15">
        <v>-1.015262363853545</v>
      </c>
      <c r="G103" s="15">
        <v>3.2898664028541522E-3</v>
      </c>
      <c r="H103" s="15">
        <v>12</v>
      </c>
      <c r="I103" s="15">
        <v>-1.0154202263360881</v>
      </c>
      <c r="J103" s="15">
        <v>-1.0099534204893399</v>
      </c>
      <c r="K103" s="15">
        <v>-1.014183274282751</v>
      </c>
      <c r="L103" s="15">
        <v>-1.020010599149467</v>
      </c>
      <c r="M103" s="15">
        <v>-1.0167442990100799</v>
      </c>
      <c r="N103" s="15" t="s">
        <v>575</v>
      </c>
      <c r="O103" s="15" t="s">
        <v>450</v>
      </c>
      <c r="P103" s="15">
        <v>10</v>
      </c>
      <c r="Q103" s="15" t="s">
        <v>576</v>
      </c>
      <c r="R103" s="15">
        <v>100</v>
      </c>
      <c r="S103" s="15" t="s">
        <v>577</v>
      </c>
      <c r="T103" s="15">
        <v>100</v>
      </c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spans="2:30" x14ac:dyDescent="0.2">
      <c r="B104" s="15">
        <v>148.7905828475952</v>
      </c>
      <c r="C104" s="15">
        <v>3.0965845046646598</v>
      </c>
      <c r="D104" s="15">
        <v>2.0209654808044428</v>
      </c>
      <c r="E104" s="15">
        <v>0.1032657576709755</v>
      </c>
      <c r="F104" s="15">
        <v>-1.009684638605475</v>
      </c>
      <c r="G104" s="15">
        <v>3.2023355070594601E-3</v>
      </c>
      <c r="H104" s="15">
        <v>5</v>
      </c>
      <c r="I104" s="15">
        <v>-1.0098917105282159</v>
      </c>
      <c r="J104" s="15">
        <v>-1.004565508971583</v>
      </c>
      <c r="K104" s="15">
        <v>-1.0084672655838589</v>
      </c>
      <c r="L104" s="15">
        <v>-1.014291987901448</v>
      </c>
      <c r="M104" s="15">
        <v>-1.011206720042269</v>
      </c>
      <c r="N104" s="15" t="s">
        <v>575</v>
      </c>
      <c r="O104" s="15" t="s">
        <v>450</v>
      </c>
      <c r="P104" s="15">
        <v>100</v>
      </c>
      <c r="Q104" s="15" t="s">
        <v>576</v>
      </c>
      <c r="R104" s="15">
        <v>100</v>
      </c>
      <c r="S104" s="15" t="s">
        <v>577</v>
      </c>
      <c r="T104" s="15">
        <v>57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spans="2:30" x14ac:dyDescent="0.2">
      <c r="B105" s="15">
        <v>396.82719650268552</v>
      </c>
      <c r="C105" s="15">
        <v>2.543788944690764</v>
      </c>
      <c r="D105" s="15">
        <v>5.1090451717376713</v>
      </c>
      <c r="E105" s="15">
        <v>0.3764924216369771</v>
      </c>
      <c r="F105" s="15">
        <v>-1.031136636985325</v>
      </c>
      <c r="G105" s="15">
        <v>2.654861961105673E-3</v>
      </c>
      <c r="H105" s="15">
        <v>24</v>
      </c>
      <c r="I105" s="15">
        <v>-1.0305096702119949</v>
      </c>
      <c r="J105" s="15">
        <v>-1.0274332700391711</v>
      </c>
      <c r="K105" s="15">
        <v>-1.0304024274662349</v>
      </c>
      <c r="L105" s="15">
        <v>-1.035639896093701</v>
      </c>
      <c r="M105" s="15">
        <v>-1.0316979211155199</v>
      </c>
      <c r="N105" s="15" t="s">
        <v>575</v>
      </c>
      <c r="O105" s="15" t="s">
        <v>450</v>
      </c>
      <c r="P105" s="15">
        <v>150</v>
      </c>
      <c r="Q105" s="15" t="s">
        <v>576</v>
      </c>
      <c r="R105" s="15">
        <v>5</v>
      </c>
      <c r="S105" s="15" t="s">
        <v>577</v>
      </c>
      <c r="T105" s="15">
        <v>21</v>
      </c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2:30" x14ac:dyDescent="0.2">
      <c r="B106" s="15">
        <v>668.51764473915102</v>
      </c>
      <c r="C106" s="15">
        <v>48.891758859634812</v>
      </c>
      <c r="D106" s="15">
        <v>8.1124504566192623</v>
      </c>
      <c r="E106" s="15">
        <v>1.5711413640549989</v>
      </c>
      <c r="F106" s="15">
        <v>-1.028817608343074</v>
      </c>
      <c r="G106" s="15">
        <v>2.9295413927307658E-3</v>
      </c>
      <c r="H106" s="15">
        <v>16</v>
      </c>
      <c r="I106" s="15">
        <v>-1.0281596206252099</v>
      </c>
      <c r="J106" s="15">
        <v>-1.024712124269447</v>
      </c>
      <c r="K106" s="15">
        <v>-1.0275617026562689</v>
      </c>
      <c r="L106" s="15">
        <v>-1.0335491223979401</v>
      </c>
      <c r="M106" s="15">
        <v>-1.0301054717665019</v>
      </c>
      <c r="N106" s="15" t="s">
        <v>575</v>
      </c>
      <c r="O106" s="15" t="s">
        <v>450</v>
      </c>
      <c r="P106" s="15">
        <v>300</v>
      </c>
      <c r="Q106" s="15" t="s">
        <v>576</v>
      </c>
      <c r="R106" s="15">
        <v>10</v>
      </c>
      <c r="S106" s="15" t="s">
        <v>577</v>
      </c>
      <c r="T106" s="15">
        <v>100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2:30" x14ac:dyDescent="0.2">
      <c r="B107" s="15">
        <v>14.82322034835815</v>
      </c>
      <c r="C107" s="15">
        <v>0.19058456586021361</v>
      </c>
      <c r="D107" s="15">
        <v>1.6561550617218019</v>
      </c>
      <c r="E107" s="15">
        <v>1.861064077069758E-2</v>
      </c>
      <c r="F107" s="15">
        <v>-1.0313966960677929</v>
      </c>
      <c r="G107" s="15">
        <v>3.449567517237797E-3</v>
      </c>
      <c r="H107" s="15">
        <v>51</v>
      </c>
      <c r="I107" s="15">
        <v>-1.0326360680832101</v>
      </c>
      <c r="J107" s="15">
        <v>-1.0254421891668879</v>
      </c>
      <c r="K107" s="15">
        <v>-1.030263875569321</v>
      </c>
      <c r="L107" s="15">
        <v>-1.035756433399516</v>
      </c>
      <c r="M107" s="15">
        <v>-1.032884914120032</v>
      </c>
      <c r="N107" s="15" t="s">
        <v>442</v>
      </c>
      <c r="O107" s="15" t="s">
        <v>578</v>
      </c>
      <c r="P107" s="15">
        <v>0.8</v>
      </c>
      <c r="Q107" s="15" t="s">
        <v>579</v>
      </c>
      <c r="R107" s="15">
        <v>0.1</v>
      </c>
      <c r="S107" s="15" t="s">
        <v>580</v>
      </c>
      <c r="T107" s="15">
        <v>1E-3</v>
      </c>
      <c r="U107" s="15" t="s">
        <v>450</v>
      </c>
      <c r="V107" s="15">
        <v>300</v>
      </c>
      <c r="W107" s="15" t="s">
        <v>577</v>
      </c>
      <c r="X107" s="15">
        <v>13</v>
      </c>
      <c r="Y107" s="15" t="s">
        <v>581</v>
      </c>
      <c r="Z107" s="15">
        <v>0.1</v>
      </c>
      <c r="AA107" s="15" t="s">
        <v>582</v>
      </c>
      <c r="AB107" s="15">
        <v>0.7</v>
      </c>
      <c r="AC107" s="15" t="s">
        <v>583</v>
      </c>
      <c r="AD107" s="15">
        <v>1</v>
      </c>
    </row>
    <row r="108" spans="2:30" x14ac:dyDescent="0.2">
      <c r="B108" s="15">
        <v>26.934198999404909</v>
      </c>
      <c r="C108" s="15">
        <v>1.513525456352572</v>
      </c>
      <c r="D108" s="15">
        <v>0.12736968994140621</v>
      </c>
      <c r="E108" s="15">
        <v>1.4993966091682709E-2</v>
      </c>
      <c r="F108" s="15">
        <v>-1.2586168055477389</v>
      </c>
      <c r="G108" s="15">
        <v>3.0059475961275459E-3</v>
      </c>
      <c r="H108" s="15">
        <v>94</v>
      </c>
      <c r="I108" s="15">
        <v>-1.2619490977875509</v>
      </c>
      <c r="J108" s="15">
        <v>-1.253621342474786</v>
      </c>
      <c r="K108" s="15">
        <v>-1.260898391837028</v>
      </c>
      <c r="L108" s="15">
        <v>-1.2569432432039409</v>
      </c>
      <c r="M108" s="15">
        <v>-1.2596719524353901</v>
      </c>
      <c r="N108" s="15" t="s">
        <v>442</v>
      </c>
      <c r="O108" s="15" t="s">
        <v>578</v>
      </c>
      <c r="P108" s="15">
        <v>1</v>
      </c>
      <c r="Q108" s="15" t="s">
        <v>579</v>
      </c>
      <c r="R108" s="15">
        <v>0</v>
      </c>
      <c r="S108" s="15" t="s">
        <v>580</v>
      </c>
      <c r="T108" s="15">
        <v>5.0000000000000001E-3</v>
      </c>
      <c r="U108" s="15" t="s">
        <v>450</v>
      </c>
      <c r="V108" s="15">
        <v>100</v>
      </c>
      <c r="W108" s="15" t="s">
        <v>577</v>
      </c>
      <c r="X108" s="15">
        <v>21</v>
      </c>
      <c r="Y108" s="15" t="s">
        <v>581</v>
      </c>
      <c r="Z108" s="15">
        <v>0.8</v>
      </c>
      <c r="AA108" s="15" t="s">
        <v>582</v>
      </c>
      <c r="AB108" s="15">
        <v>0.5</v>
      </c>
      <c r="AC108" s="15" t="s">
        <v>583</v>
      </c>
      <c r="AD108" s="15">
        <v>1</v>
      </c>
    </row>
    <row r="109" spans="2:30" x14ac:dyDescent="0.2">
      <c r="B109" s="15">
        <v>13.367654800415041</v>
      </c>
      <c r="C109" s="15">
        <v>2.180756540588725</v>
      </c>
      <c r="D109" s="15">
        <v>0.43275051116943358</v>
      </c>
      <c r="E109" s="15">
        <v>0.14091726621209949</v>
      </c>
      <c r="F109" s="15">
        <v>-0.99976481589948707</v>
      </c>
      <c r="G109" s="15">
        <v>2.9714311746458361E-3</v>
      </c>
      <c r="H109" s="15">
        <v>2</v>
      </c>
      <c r="I109" s="15">
        <v>-1.000875532690352</v>
      </c>
      <c r="J109" s="15">
        <v>-0.99496229402612024</v>
      </c>
      <c r="K109" s="15">
        <v>-0.99813994963628283</v>
      </c>
      <c r="L109" s="15">
        <v>-1.0036631960316611</v>
      </c>
      <c r="M109" s="15">
        <v>-1.0011831071130191</v>
      </c>
      <c r="N109" s="15" t="s">
        <v>442</v>
      </c>
      <c r="O109" s="15" t="s">
        <v>578</v>
      </c>
      <c r="P109" s="15">
        <v>0.6</v>
      </c>
      <c r="Q109" s="15" t="s">
        <v>579</v>
      </c>
      <c r="R109" s="15">
        <v>0.1</v>
      </c>
      <c r="S109" s="15" t="s">
        <v>580</v>
      </c>
      <c r="T109" s="15">
        <v>1</v>
      </c>
      <c r="U109" s="15" t="s">
        <v>450</v>
      </c>
      <c r="V109" s="15">
        <v>400</v>
      </c>
      <c r="W109" s="15" t="s">
        <v>577</v>
      </c>
      <c r="X109" s="15">
        <v>3</v>
      </c>
      <c r="Y109" s="15" t="s">
        <v>581</v>
      </c>
      <c r="Z109" s="15">
        <v>0.2</v>
      </c>
      <c r="AA109" s="15" t="s">
        <v>582</v>
      </c>
      <c r="AB109" s="15">
        <v>0.4</v>
      </c>
      <c r="AC109" s="15" t="s">
        <v>583</v>
      </c>
      <c r="AD109" s="15">
        <v>0.9</v>
      </c>
    </row>
    <row r="110" spans="2:30" x14ac:dyDescent="0.2">
      <c r="B110" s="15">
        <v>62.740615129470832</v>
      </c>
      <c r="C110" s="15">
        <v>0.90987456890496654</v>
      </c>
      <c r="D110" s="15">
        <v>3.078217172622681</v>
      </c>
      <c r="E110" s="15">
        <v>7.5901097530977679E-2</v>
      </c>
      <c r="F110" s="15">
        <v>-1.065861653909232</v>
      </c>
      <c r="G110" s="15">
        <v>4.0935352193894161E-3</v>
      </c>
      <c r="H110" s="15">
        <v>68</v>
      </c>
      <c r="I110" s="15">
        <v>-1.0651693464940879</v>
      </c>
      <c r="J110" s="15">
        <v>-1.059253997483329</v>
      </c>
      <c r="K110" s="15">
        <v>-1.065551917235581</v>
      </c>
      <c r="L110" s="15">
        <v>-1.071968137520676</v>
      </c>
      <c r="M110" s="15">
        <v>-1.067364870812483</v>
      </c>
      <c r="N110" s="15" t="s">
        <v>442</v>
      </c>
      <c r="O110" s="15" t="s">
        <v>578</v>
      </c>
      <c r="P110" s="15">
        <v>1</v>
      </c>
      <c r="Q110" s="15" t="s">
        <v>579</v>
      </c>
      <c r="R110" s="15">
        <v>1E-3</v>
      </c>
      <c r="S110" s="15" t="s">
        <v>580</v>
      </c>
      <c r="T110" s="15">
        <v>0.05</v>
      </c>
      <c r="U110" s="15" t="s">
        <v>450</v>
      </c>
      <c r="V110" s="15">
        <v>400</v>
      </c>
      <c r="W110" s="15" t="s">
        <v>577</v>
      </c>
      <c r="X110" s="15">
        <v>21</v>
      </c>
      <c r="Y110" s="15" t="s">
        <v>581</v>
      </c>
      <c r="Z110" s="15">
        <v>0.1</v>
      </c>
      <c r="AA110" s="15" t="s">
        <v>582</v>
      </c>
      <c r="AB110" s="15">
        <v>0.2</v>
      </c>
      <c r="AC110" s="15" t="s">
        <v>583</v>
      </c>
      <c r="AD110" s="15">
        <v>0.8</v>
      </c>
    </row>
    <row r="111" spans="2:30" x14ac:dyDescent="0.2">
      <c r="B111" s="15">
        <v>16.926011180877691</v>
      </c>
      <c r="C111" s="15">
        <v>0.72175511612919674</v>
      </c>
      <c r="D111" s="15">
        <v>0.4597938060760498</v>
      </c>
      <c r="E111" s="15">
        <v>1.691688376109499E-2</v>
      </c>
      <c r="F111" s="15">
        <v>-1.0057899381631601</v>
      </c>
      <c r="G111" s="15">
        <v>3.113802827547898E-3</v>
      </c>
      <c r="H111" s="15">
        <v>24</v>
      </c>
      <c r="I111" s="15">
        <v>-1.0063171880841451</v>
      </c>
      <c r="J111" s="15">
        <v>-1.000997732769799</v>
      </c>
      <c r="K111" s="15">
        <v>-1.003926194775568</v>
      </c>
      <c r="L111" s="15">
        <v>-1.010075271000078</v>
      </c>
      <c r="M111" s="15">
        <v>-1.007633304186208</v>
      </c>
      <c r="N111" s="15" t="s">
        <v>442</v>
      </c>
      <c r="O111" s="15" t="s">
        <v>578</v>
      </c>
      <c r="P111" s="15">
        <v>0.8</v>
      </c>
      <c r="Q111" s="15" t="s">
        <v>579</v>
      </c>
      <c r="R111" s="15">
        <v>1</v>
      </c>
      <c r="S111" s="15" t="s">
        <v>580</v>
      </c>
      <c r="T111" s="15">
        <v>0.05</v>
      </c>
      <c r="U111" s="15" t="s">
        <v>450</v>
      </c>
      <c r="V111" s="15">
        <v>400</v>
      </c>
      <c r="W111" s="15" t="s">
        <v>577</v>
      </c>
      <c r="X111" s="15">
        <v>3</v>
      </c>
      <c r="Y111" s="15" t="s">
        <v>581</v>
      </c>
      <c r="Z111" s="15">
        <v>0.1</v>
      </c>
      <c r="AA111" s="15" t="s">
        <v>582</v>
      </c>
      <c r="AB111" s="15">
        <v>0.7</v>
      </c>
      <c r="AC111" s="15" t="s">
        <v>583</v>
      </c>
      <c r="AD111" s="15">
        <v>0.6</v>
      </c>
    </row>
    <row r="112" spans="2:30" x14ac:dyDescent="0.2">
      <c r="B112" s="15">
        <v>42.141555595397953</v>
      </c>
      <c r="C112" s="15">
        <v>0.63606874743638486</v>
      </c>
      <c r="D112" s="15">
        <v>6.8246859073638912</v>
      </c>
      <c r="E112" s="15">
        <v>0.29035602194679389</v>
      </c>
      <c r="F112" s="15">
        <v>-1.017450442162354</v>
      </c>
      <c r="G112" s="15">
        <v>2.8714382281744152E-3</v>
      </c>
      <c r="H112" s="15">
        <v>37</v>
      </c>
      <c r="I112" s="15">
        <v>-1.0185963969306009</v>
      </c>
      <c r="J112" s="15">
        <v>-1.013175683180797</v>
      </c>
      <c r="K112" s="15">
        <v>-1.015472973152999</v>
      </c>
      <c r="L112" s="15">
        <v>-1.0215351815313589</v>
      </c>
      <c r="M112" s="15">
        <v>-1.018471976016017</v>
      </c>
      <c r="N112" s="15" t="s">
        <v>442</v>
      </c>
      <c r="O112" s="15" t="s">
        <v>578</v>
      </c>
      <c r="P112" s="15">
        <v>0.6</v>
      </c>
      <c r="Q112" s="15" t="s">
        <v>579</v>
      </c>
      <c r="R112" s="15">
        <v>5.0000000000000001E-3</v>
      </c>
      <c r="S112" s="15" t="s">
        <v>580</v>
      </c>
      <c r="T112" s="15">
        <v>5.0000000000000001E-3</v>
      </c>
      <c r="U112" s="15" t="s">
        <v>450</v>
      </c>
      <c r="V112" s="15">
        <v>300</v>
      </c>
      <c r="W112" s="15" t="s">
        <v>577</v>
      </c>
      <c r="X112" s="15">
        <v>13</v>
      </c>
      <c r="Y112" s="15" t="s">
        <v>581</v>
      </c>
      <c r="Z112" s="15">
        <v>0.01</v>
      </c>
      <c r="AA112" s="15" t="s">
        <v>582</v>
      </c>
      <c r="AB112" s="15">
        <v>1</v>
      </c>
      <c r="AC112" s="15" t="s">
        <v>583</v>
      </c>
      <c r="AD112" s="15">
        <v>0.6</v>
      </c>
    </row>
    <row r="113" spans="2:30" x14ac:dyDescent="0.2">
      <c r="B113" s="15">
        <v>9.9978261470794685</v>
      </c>
      <c r="C113" s="15">
        <v>0.69284119554892387</v>
      </c>
      <c r="D113" s="15">
        <v>0.35943746566772461</v>
      </c>
      <c r="E113" s="15">
        <v>9.3048627648500762E-2</v>
      </c>
      <c r="F113" s="15">
        <v>-1.002150725371687</v>
      </c>
      <c r="G113" s="15">
        <v>3.1289961092653752E-3</v>
      </c>
      <c r="H113" s="15">
        <v>17</v>
      </c>
      <c r="I113" s="15">
        <v>-1.003133394955338</v>
      </c>
      <c r="J113" s="15">
        <v>-0.99718907728978379</v>
      </c>
      <c r="K113" s="15">
        <v>-1.0002447667038219</v>
      </c>
      <c r="L113" s="15">
        <v>-1.0061933236951679</v>
      </c>
      <c r="M113" s="15">
        <v>-1.0039930642143211</v>
      </c>
      <c r="N113" s="15" t="s">
        <v>442</v>
      </c>
      <c r="O113" s="15" t="s">
        <v>578</v>
      </c>
      <c r="P113" s="15">
        <v>0.8</v>
      </c>
      <c r="Q113" s="15" t="s">
        <v>579</v>
      </c>
      <c r="R113" s="15">
        <v>0.5</v>
      </c>
      <c r="S113" s="15" t="s">
        <v>580</v>
      </c>
      <c r="T113" s="15">
        <v>1E-3</v>
      </c>
      <c r="U113" s="15" t="s">
        <v>450</v>
      </c>
      <c r="V113" s="15">
        <v>200</v>
      </c>
      <c r="W113" s="15" t="s">
        <v>577</v>
      </c>
      <c r="X113" s="15">
        <v>3</v>
      </c>
      <c r="Y113" s="15" t="s">
        <v>581</v>
      </c>
      <c r="Z113" s="15">
        <v>0.5</v>
      </c>
      <c r="AA113" s="15" t="s">
        <v>582</v>
      </c>
      <c r="AB113" s="15">
        <v>0.1</v>
      </c>
      <c r="AC113" s="15" t="s">
        <v>583</v>
      </c>
      <c r="AD113" s="15">
        <v>0.7</v>
      </c>
    </row>
    <row r="114" spans="2:30" x14ac:dyDescent="0.2">
      <c r="B114" s="15">
        <v>40.799650478363027</v>
      </c>
      <c r="C114" s="15">
        <v>1.3084633072446461</v>
      </c>
      <c r="D114" s="15">
        <v>3.4309410572051999</v>
      </c>
      <c r="E114" s="15">
        <v>0.1438911351516019</v>
      </c>
      <c r="F114" s="15">
        <v>-1.0414175747622181</v>
      </c>
      <c r="G114" s="15">
        <v>3.3664839611246299E-3</v>
      </c>
      <c r="H114" s="15">
        <v>59</v>
      </c>
      <c r="I114" s="15">
        <v>-1.0412644755166269</v>
      </c>
      <c r="J114" s="15">
        <v>-1.0367544016739241</v>
      </c>
      <c r="K114" s="15">
        <v>-1.0392131520407579</v>
      </c>
      <c r="L114" s="15">
        <v>-1.0465700077942399</v>
      </c>
      <c r="M114" s="15">
        <v>-1.0432858367855411</v>
      </c>
      <c r="N114" s="15" t="s">
        <v>442</v>
      </c>
      <c r="O114" s="15" t="s">
        <v>578</v>
      </c>
      <c r="P114" s="15">
        <v>0.7</v>
      </c>
      <c r="Q114" s="15" t="s">
        <v>579</v>
      </c>
      <c r="R114" s="15">
        <v>5.0000000000000001E-3</v>
      </c>
      <c r="S114" s="15" t="s">
        <v>580</v>
      </c>
      <c r="T114" s="15">
        <v>0.1</v>
      </c>
      <c r="U114" s="15" t="s">
        <v>450</v>
      </c>
      <c r="V114" s="15">
        <v>300</v>
      </c>
      <c r="W114" s="15" t="s">
        <v>577</v>
      </c>
      <c r="X114" s="15">
        <v>21</v>
      </c>
      <c r="Y114" s="15" t="s">
        <v>581</v>
      </c>
      <c r="Z114" s="15">
        <v>0.1</v>
      </c>
      <c r="AA114" s="15" t="s">
        <v>582</v>
      </c>
      <c r="AB114" s="15">
        <v>0.7</v>
      </c>
      <c r="AC114" s="15" t="s">
        <v>583</v>
      </c>
      <c r="AD114" s="15">
        <v>0.6</v>
      </c>
    </row>
    <row r="115" spans="2:30" x14ac:dyDescent="0.2">
      <c r="B115" s="15">
        <v>41.100467824935912</v>
      </c>
      <c r="C115" s="15">
        <v>0.71984323136252049</v>
      </c>
      <c r="D115" s="15">
        <v>6.1643981456756594</v>
      </c>
      <c r="E115" s="15">
        <v>0.25943710081477939</v>
      </c>
      <c r="F115" s="15">
        <v>-1.0153908424132301</v>
      </c>
      <c r="G115" s="15">
        <v>2.837325947721308E-3</v>
      </c>
      <c r="H115" s="15">
        <v>36</v>
      </c>
      <c r="I115" s="15">
        <v>-1.0161106023995401</v>
      </c>
      <c r="J115" s="15">
        <v>-1.011019611791468</v>
      </c>
      <c r="K115" s="15">
        <v>-1.0138376199377459</v>
      </c>
      <c r="L115" s="15">
        <v>-1.0195211722529121</v>
      </c>
      <c r="M115" s="15">
        <v>-1.0164652056844861</v>
      </c>
      <c r="N115" s="15" t="s">
        <v>442</v>
      </c>
      <c r="O115" s="15" t="s">
        <v>578</v>
      </c>
      <c r="P115" s="15">
        <v>0.6</v>
      </c>
      <c r="Q115" s="15" t="s">
        <v>579</v>
      </c>
      <c r="R115" s="15">
        <v>0</v>
      </c>
      <c r="S115" s="15" t="s">
        <v>580</v>
      </c>
      <c r="T115" s="15">
        <v>1E-3</v>
      </c>
      <c r="U115" s="15" t="s">
        <v>450</v>
      </c>
      <c r="V115" s="15">
        <v>200</v>
      </c>
      <c r="W115" s="15" t="s">
        <v>577</v>
      </c>
      <c r="X115" s="15">
        <v>13</v>
      </c>
      <c r="Y115" s="15" t="s">
        <v>581</v>
      </c>
      <c r="Z115" s="15">
        <v>0.01</v>
      </c>
      <c r="AA115" s="15" t="s">
        <v>582</v>
      </c>
      <c r="AB115" s="15">
        <v>0.8</v>
      </c>
      <c r="AC115" s="15" t="s">
        <v>583</v>
      </c>
      <c r="AD115" s="15">
        <v>0.9</v>
      </c>
    </row>
    <row r="116" spans="2:30" x14ac:dyDescent="0.2">
      <c r="B116" s="15">
        <v>356.52012743949888</v>
      </c>
      <c r="C116" s="15">
        <v>7.9672698843459466</v>
      </c>
      <c r="D116" s="15">
        <v>28.258307313919069</v>
      </c>
      <c r="E116" s="15">
        <v>5.2662117579172332</v>
      </c>
      <c r="F116" s="15">
        <v>-1.1813165141114641</v>
      </c>
      <c r="G116" s="15">
        <v>4.1981862838079594E-3</v>
      </c>
      <c r="H116" s="15">
        <v>87</v>
      </c>
      <c r="I116" s="15">
        <v>-1.17912234912842</v>
      </c>
      <c r="J116" s="15">
        <v>-1.174236496833543</v>
      </c>
      <c r="K116" s="15">
        <v>-1.1833669618457721</v>
      </c>
      <c r="L116" s="15">
        <v>-1.186129907398723</v>
      </c>
      <c r="M116" s="15">
        <v>-1.1837268553508611</v>
      </c>
      <c r="N116" s="15" t="s">
        <v>442</v>
      </c>
      <c r="O116" s="15" t="s">
        <v>578</v>
      </c>
      <c r="P116" s="15">
        <v>0.8</v>
      </c>
      <c r="Q116" s="15" t="s">
        <v>579</v>
      </c>
      <c r="R116" s="15">
        <v>0.5</v>
      </c>
      <c r="S116" s="15" t="s">
        <v>580</v>
      </c>
      <c r="T116" s="15">
        <v>5.0000000000000001E-3</v>
      </c>
      <c r="U116" s="15" t="s">
        <v>450</v>
      </c>
      <c r="V116" s="15">
        <v>400</v>
      </c>
      <c r="W116" s="15" t="s">
        <v>577</v>
      </c>
      <c r="X116" s="15">
        <v>21</v>
      </c>
      <c r="Y116" s="15" t="s">
        <v>581</v>
      </c>
      <c r="Z116" s="15">
        <v>0.2</v>
      </c>
      <c r="AA116" s="15" t="s">
        <v>582</v>
      </c>
      <c r="AB116" s="15">
        <v>0</v>
      </c>
      <c r="AC116" s="15" t="s">
        <v>583</v>
      </c>
      <c r="AD116" s="15">
        <v>0.8</v>
      </c>
    </row>
    <row r="117" spans="2:30" x14ac:dyDescent="0.2">
      <c r="B117" s="15">
        <v>33.064512586593629</v>
      </c>
      <c r="C117" s="15">
        <v>1.133154931600334</v>
      </c>
      <c r="D117" s="15">
        <v>2.55208101272583</v>
      </c>
      <c r="E117" s="15">
        <v>9.5482002591240983E-2</v>
      </c>
      <c r="F117" s="15">
        <v>-1.0077114745781659</v>
      </c>
      <c r="G117" s="15">
        <v>2.8661216702661062E-3</v>
      </c>
      <c r="H117" s="15">
        <v>28</v>
      </c>
      <c r="I117" s="15">
        <v>-1.0087037763260009</v>
      </c>
      <c r="J117" s="15">
        <v>-1.0031756816532711</v>
      </c>
      <c r="K117" s="15">
        <v>-1.006074676400087</v>
      </c>
      <c r="L117" s="15">
        <v>-1.0116089791431251</v>
      </c>
      <c r="M117" s="15">
        <v>-1.008994259368347</v>
      </c>
      <c r="N117" s="15" t="s">
        <v>442</v>
      </c>
      <c r="O117" s="15" t="s">
        <v>578</v>
      </c>
      <c r="P117" s="15">
        <v>0.9</v>
      </c>
      <c r="Q117" s="15" t="s">
        <v>579</v>
      </c>
      <c r="R117" s="15">
        <v>5.0000000000000001E-3</v>
      </c>
      <c r="S117" s="15" t="s">
        <v>580</v>
      </c>
      <c r="T117" s="15">
        <v>0.05</v>
      </c>
      <c r="U117" s="15" t="s">
        <v>450</v>
      </c>
      <c r="V117" s="15">
        <v>400</v>
      </c>
      <c r="W117" s="15" t="s">
        <v>577</v>
      </c>
      <c r="X117" s="15">
        <v>8</v>
      </c>
      <c r="Y117" s="15" t="s">
        <v>581</v>
      </c>
      <c r="Z117" s="15">
        <v>0.01</v>
      </c>
      <c r="AA117" s="15" t="s">
        <v>582</v>
      </c>
      <c r="AB117" s="15">
        <v>0.7</v>
      </c>
      <c r="AC117" s="15" t="s">
        <v>583</v>
      </c>
      <c r="AD117" s="15">
        <v>0.8</v>
      </c>
    </row>
    <row r="118" spans="2:30" x14ac:dyDescent="0.2">
      <c r="B118" s="15">
        <v>24.059702539443968</v>
      </c>
      <c r="C118" s="15">
        <v>0.91621204210298834</v>
      </c>
      <c r="D118" s="15">
        <v>3.2860688686370851</v>
      </c>
      <c r="E118" s="15">
        <v>0.16266121062362951</v>
      </c>
      <c r="F118" s="15">
        <v>-1.0398339960902501</v>
      </c>
      <c r="G118" s="15">
        <v>2.9256996612962789E-3</v>
      </c>
      <c r="H118" s="15">
        <v>57</v>
      </c>
      <c r="I118" s="15">
        <v>-1.0386019620012401</v>
      </c>
      <c r="J118" s="15">
        <v>-1.0362797943673721</v>
      </c>
      <c r="K118" s="15">
        <v>-1.038166165137121</v>
      </c>
      <c r="L118" s="15">
        <v>-1.0446483520085541</v>
      </c>
      <c r="M118" s="15">
        <v>-1.0414737069369639</v>
      </c>
      <c r="N118" s="15" t="s">
        <v>442</v>
      </c>
      <c r="O118" s="15" t="s">
        <v>578</v>
      </c>
      <c r="P118" s="15">
        <v>0.7</v>
      </c>
      <c r="Q118" s="15" t="s">
        <v>579</v>
      </c>
      <c r="R118" s="15">
        <v>0.05</v>
      </c>
      <c r="S118" s="15" t="s">
        <v>580</v>
      </c>
      <c r="T118" s="15">
        <v>0</v>
      </c>
      <c r="U118" s="15" t="s">
        <v>450</v>
      </c>
      <c r="V118" s="15">
        <v>200</v>
      </c>
      <c r="W118" s="15" t="s">
        <v>577</v>
      </c>
      <c r="X118" s="15">
        <v>13</v>
      </c>
      <c r="Y118" s="15" t="s">
        <v>581</v>
      </c>
      <c r="Z118" s="15">
        <v>0.1</v>
      </c>
      <c r="AA118" s="15" t="s">
        <v>582</v>
      </c>
      <c r="AB118" s="15">
        <v>0.6</v>
      </c>
      <c r="AC118" s="15" t="s">
        <v>583</v>
      </c>
      <c r="AD118" s="15">
        <v>0.9</v>
      </c>
    </row>
    <row r="119" spans="2:30" x14ac:dyDescent="0.2">
      <c r="B119" s="15">
        <v>7.8946354389190674</v>
      </c>
      <c r="C119" s="15">
        <v>0.40697994451720348</v>
      </c>
      <c r="D119" s="15">
        <v>0.45534200668334962</v>
      </c>
      <c r="E119" s="15">
        <v>6.4332076946644529E-2</v>
      </c>
      <c r="F119" s="15">
        <v>-1.0533165353712319</v>
      </c>
      <c r="G119" s="15">
        <v>2.6686566312069501E-3</v>
      </c>
      <c r="H119" s="15">
        <v>64</v>
      </c>
      <c r="I119" s="15">
        <v>-1.05460971791619</v>
      </c>
      <c r="J119" s="15">
        <v>-1.050086077263733</v>
      </c>
      <c r="K119" s="15">
        <v>-1.0507752062885141</v>
      </c>
      <c r="L119" s="15">
        <v>-1.05742842375418</v>
      </c>
      <c r="M119" s="15">
        <v>-1.0536832516335399</v>
      </c>
      <c r="N119" s="15" t="s">
        <v>442</v>
      </c>
      <c r="O119" s="15" t="s">
        <v>578</v>
      </c>
      <c r="P119" s="15">
        <v>1</v>
      </c>
      <c r="Q119" s="15" t="s">
        <v>579</v>
      </c>
      <c r="R119" s="15">
        <v>1E-3</v>
      </c>
      <c r="S119" s="15" t="s">
        <v>580</v>
      </c>
      <c r="T119" s="15">
        <v>1E-3</v>
      </c>
      <c r="U119" s="15" t="s">
        <v>450</v>
      </c>
      <c r="V119" s="15">
        <v>300</v>
      </c>
      <c r="W119" s="15" t="s">
        <v>577</v>
      </c>
      <c r="X119" s="15">
        <v>3</v>
      </c>
      <c r="Y119" s="15" t="s">
        <v>581</v>
      </c>
      <c r="Z119" s="15">
        <v>0.01</v>
      </c>
      <c r="AA119" s="15" t="s">
        <v>582</v>
      </c>
      <c r="AB119" s="15">
        <v>0.1</v>
      </c>
      <c r="AC119" s="15" t="s">
        <v>583</v>
      </c>
      <c r="AD119" s="15">
        <v>0.6</v>
      </c>
    </row>
    <row r="120" spans="2:30" x14ac:dyDescent="0.2">
      <c r="B120" s="15">
        <v>23.37988114356995</v>
      </c>
      <c r="C120" s="15">
        <v>0.79543557763935457</v>
      </c>
      <c r="D120" s="15">
        <v>2.1210316658020019</v>
      </c>
      <c r="E120" s="15">
        <v>0.11442310949092629</v>
      </c>
      <c r="F120" s="15">
        <v>-1.0123428569012469</v>
      </c>
      <c r="G120" s="15">
        <v>3.406221293105719E-3</v>
      </c>
      <c r="H120" s="15">
        <v>32</v>
      </c>
      <c r="I120" s="15">
        <v>-1.013622391905648</v>
      </c>
      <c r="J120" s="15">
        <v>-1.006539388771704</v>
      </c>
      <c r="K120" s="15">
        <v>-1.011039207748172</v>
      </c>
      <c r="L120" s="15">
        <v>-1.0166734060667879</v>
      </c>
      <c r="M120" s="15">
        <v>-1.0138398900139221</v>
      </c>
      <c r="N120" s="15" t="s">
        <v>442</v>
      </c>
      <c r="O120" s="15" t="s">
        <v>578</v>
      </c>
      <c r="P120" s="15">
        <v>0.9</v>
      </c>
      <c r="Q120" s="15" t="s">
        <v>579</v>
      </c>
      <c r="R120" s="15">
        <v>0</v>
      </c>
      <c r="S120" s="15" t="s">
        <v>580</v>
      </c>
      <c r="T120" s="15">
        <v>0.5</v>
      </c>
      <c r="U120" s="15" t="s">
        <v>450</v>
      </c>
      <c r="V120" s="15">
        <v>300</v>
      </c>
      <c r="W120" s="15" t="s">
        <v>577</v>
      </c>
      <c r="X120" s="15">
        <v>13</v>
      </c>
      <c r="Y120" s="15" t="s">
        <v>581</v>
      </c>
      <c r="Z120" s="15">
        <v>0.1</v>
      </c>
      <c r="AA120" s="15" t="s">
        <v>582</v>
      </c>
      <c r="AB120" s="15">
        <v>0.9</v>
      </c>
      <c r="AC120" s="15" t="s">
        <v>583</v>
      </c>
      <c r="AD120" s="15">
        <v>0.6</v>
      </c>
    </row>
    <row r="121" spans="2:30" x14ac:dyDescent="0.2">
      <c r="B121" s="15">
        <v>8.5997412204742432</v>
      </c>
      <c r="C121" s="15">
        <v>0.36465405266225698</v>
      </c>
      <c r="D121" s="15">
        <v>0.58356652259826658</v>
      </c>
      <c r="E121" s="15">
        <v>7.2304565292415149E-2</v>
      </c>
      <c r="F121" s="15">
        <v>-1.0318353523951991</v>
      </c>
      <c r="G121" s="15">
        <v>3.21293474975843E-3</v>
      </c>
      <c r="H121" s="15">
        <v>52</v>
      </c>
      <c r="I121" s="15">
        <v>-1.033970767745874</v>
      </c>
      <c r="J121" s="15">
        <v>-1.0267321117111059</v>
      </c>
      <c r="K121" s="15">
        <v>-1.030655357330551</v>
      </c>
      <c r="L121" s="15">
        <v>-1.0362562914555209</v>
      </c>
      <c r="M121" s="15">
        <v>-1.031562233732942</v>
      </c>
      <c r="N121" s="15" t="s">
        <v>442</v>
      </c>
      <c r="O121" s="15" t="s">
        <v>578</v>
      </c>
      <c r="P121" s="15">
        <v>0.8</v>
      </c>
      <c r="Q121" s="15" t="s">
        <v>579</v>
      </c>
      <c r="R121" s="15">
        <v>0</v>
      </c>
      <c r="S121" s="15" t="s">
        <v>580</v>
      </c>
      <c r="T121" s="15">
        <v>0.1</v>
      </c>
      <c r="U121" s="15" t="s">
        <v>450</v>
      </c>
      <c r="V121" s="15">
        <v>100</v>
      </c>
      <c r="W121" s="15" t="s">
        <v>577</v>
      </c>
      <c r="X121" s="15">
        <v>8</v>
      </c>
      <c r="Y121" s="15" t="s">
        <v>581</v>
      </c>
      <c r="Z121" s="15">
        <v>0.5</v>
      </c>
      <c r="AA121" s="15" t="s">
        <v>582</v>
      </c>
      <c r="AB121" s="15">
        <v>0.6</v>
      </c>
      <c r="AC121" s="15" t="s">
        <v>583</v>
      </c>
      <c r="AD121" s="15">
        <v>0.8</v>
      </c>
    </row>
    <row r="122" spans="2:30" x14ac:dyDescent="0.2">
      <c r="B122" s="15">
        <v>13.14458203315735</v>
      </c>
      <c r="C122" s="15">
        <v>0.14677262722692319</v>
      </c>
      <c r="D122" s="15">
        <v>0.49738292694091801</v>
      </c>
      <c r="E122" s="15">
        <v>7.6466095963579353E-2</v>
      </c>
      <c r="F122" s="15">
        <v>-1.0010504080211211</v>
      </c>
      <c r="G122" s="15">
        <v>3.181884301706699E-3</v>
      </c>
      <c r="H122" s="15">
        <v>9</v>
      </c>
      <c r="I122" s="15">
        <v>-1.0027231587783689</v>
      </c>
      <c r="J122" s="15">
        <v>-0.99596770661044198</v>
      </c>
      <c r="K122" s="15">
        <v>-0.9991265029546178</v>
      </c>
      <c r="L122" s="15">
        <v>-1.0051427429625539</v>
      </c>
      <c r="M122" s="15">
        <v>-1.0022919287996239</v>
      </c>
      <c r="N122" s="15" t="s">
        <v>442</v>
      </c>
      <c r="O122" s="15" t="s">
        <v>578</v>
      </c>
      <c r="P122" s="15">
        <v>0.7</v>
      </c>
      <c r="Q122" s="15" t="s">
        <v>579</v>
      </c>
      <c r="R122" s="15">
        <v>5.0000000000000001E-3</v>
      </c>
      <c r="S122" s="15" t="s">
        <v>580</v>
      </c>
      <c r="T122" s="15">
        <v>5.0000000000000001E-3</v>
      </c>
      <c r="U122" s="15" t="s">
        <v>450</v>
      </c>
      <c r="V122" s="15">
        <v>200</v>
      </c>
      <c r="W122" s="15" t="s">
        <v>577</v>
      </c>
      <c r="X122" s="15">
        <v>5</v>
      </c>
      <c r="Y122" s="15" t="s">
        <v>581</v>
      </c>
      <c r="Z122" s="15">
        <v>0.2</v>
      </c>
      <c r="AA122" s="15" t="s">
        <v>582</v>
      </c>
      <c r="AB122" s="15">
        <v>0.2</v>
      </c>
      <c r="AC122" s="15" t="s">
        <v>583</v>
      </c>
      <c r="AD122" s="15">
        <v>0.6</v>
      </c>
    </row>
    <row r="123" spans="2:30" x14ac:dyDescent="0.2">
      <c r="B123" s="15">
        <v>30.150309038162231</v>
      </c>
      <c r="C123" s="15">
        <v>0.66809487465178341</v>
      </c>
      <c r="D123" s="15">
        <v>2.3587917804718019</v>
      </c>
      <c r="E123" s="15">
        <v>0.1491896893302424</v>
      </c>
      <c r="F123" s="15">
        <v>-1.2130898443146101</v>
      </c>
      <c r="G123" s="15">
        <v>2.9949538808919682E-3</v>
      </c>
      <c r="H123" s="15">
        <v>93</v>
      </c>
      <c r="I123" s="15">
        <v>-1.2086028149243759</v>
      </c>
      <c r="J123" s="15">
        <v>-1.2148310996705971</v>
      </c>
      <c r="K123" s="15">
        <v>-1.2175793891690261</v>
      </c>
      <c r="L123" s="15">
        <v>-1.2122769480701501</v>
      </c>
      <c r="M123" s="15">
        <v>-1.212158969738899</v>
      </c>
      <c r="N123" s="15" t="s">
        <v>442</v>
      </c>
      <c r="O123" s="15" t="s">
        <v>578</v>
      </c>
      <c r="P123" s="15">
        <v>0.8</v>
      </c>
      <c r="Q123" s="15" t="s">
        <v>579</v>
      </c>
      <c r="R123" s="15">
        <v>5.0000000000000001E-3</v>
      </c>
      <c r="S123" s="15" t="s">
        <v>580</v>
      </c>
      <c r="T123" s="15">
        <v>0.05</v>
      </c>
      <c r="U123" s="15" t="s">
        <v>450</v>
      </c>
      <c r="V123" s="15">
        <v>400</v>
      </c>
      <c r="W123" s="15" t="s">
        <v>577</v>
      </c>
      <c r="X123" s="15">
        <v>8</v>
      </c>
      <c r="Y123" s="15" t="s">
        <v>581</v>
      </c>
      <c r="Z123" s="15">
        <v>0.8</v>
      </c>
      <c r="AA123" s="15" t="s">
        <v>582</v>
      </c>
      <c r="AB123" s="15">
        <v>0.4</v>
      </c>
      <c r="AC123" s="15" t="s">
        <v>583</v>
      </c>
      <c r="AD123" s="15">
        <v>1</v>
      </c>
    </row>
    <row r="124" spans="2:30" x14ac:dyDescent="0.2">
      <c r="B124" s="15">
        <v>20.247672033309939</v>
      </c>
      <c r="C124" s="15">
        <v>2.551831435144241</v>
      </c>
      <c r="D124" s="15">
        <v>0.92518625259399412</v>
      </c>
      <c r="E124" s="15">
        <v>0.27003422514563918</v>
      </c>
      <c r="F124" s="15">
        <v>-1.013876246928662</v>
      </c>
      <c r="G124" s="15">
        <v>3.0873818531139139E-3</v>
      </c>
      <c r="H124" s="15">
        <v>34</v>
      </c>
      <c r="I124" s="15">
        <v>-1.01534452137432</v>
      </c>
      <c r="J124" s="15">
        <v>-1.008692861313083</v>
      </c>
      <c r="K124" s="15">
        <v>-1.0131645950097981</v>
      </c>
      <c r="L124" s="15">
        <v>-1.018130676374426</v>
      </c>
      <c r="M124" s="15">
        <v>-1.014048580571683</v>
      </c>
      <c r="N124" s="15" t="s">
        <v>442</v>
      </c>
      <c r="O124" s="15" t="s">
        <v>578</v>
      </c>
      <c r="P124" s="15">
        <v>0.7</v>
      </c>
      <c r="Q124" s="15" t="s">
        <v>579</v>
      </c>
      <c r="R124" s="15">
        <v>0.05</v>
      </c>
      <c r="S124" s="15" t="s">
        <v>580</v>
      </c>
      <c r="T124" s="15">
        <v>0.01</v>
      </c>
      <c r="U124" s="15" t="s">
        <v>450</v>
      </c>
      <c r="V124" s="15">
        <v>300</v>
      </c>
      <c r="W124" s="15" t="s">
        <v>577</v>
      </c>
      <c r="X124" s="15">
        <v>5</v>
      </c>
      <c r="Y124" s="15" t="s">
        <v>581</v>
      </c>
      <c r="Z124" s="15">
        <v>0.5</v>
      </c>
      <c r="AA124" s="15" t="s">
        <v>582</v>
      </c>
      <c r="AB124" s="15">
        <v>0</v>
      </c>
      <c r="AC124" s="15" t="s">
        <v>583</v>
      </c>
      <c r="AD124" s="15">
        <v>0.8</v>
      </c>
    </row>
    <row r="125" spans="2:30" x14ac:dyDescent="0.2">
      <c r="B125" s="15">
        <v>18.092095994949339</v>
      </c>
      <c r="C125" s="15">
        <v>0.78722883595770843</v>
      </c>
      <c r="D125" s="15">
        <v>0.86993236541748042</v>
      </c>
      <c r="E125" s="15">
        <v>0.1621420634129816</v>
      </c>
      <c r="F125" s="15">
        <v>-1.000674555963966</v>
      </c>
      <c r="G125" s="15">
        <v>2.9257306785890991E-3</v>
      </c>
      <c r="H125" s="15">
        <v>6</v>
      </c>
      <c r="I125" s="15">
        <v>-1.0015465076082539</v>
      </c>
      <c r="J125" s="15">
        <v>-0.99610134336616385</v>
      </c>
      <c r="K125" s="15">
        <v>-0.99883769070869077</v>
      </c>
      <c r="L125" s="15">
        <v>-1.0045425803882519</v>
      </c>
      <c r="M125" s="15">
        <v>-1.0023446577484709</v>
      </c>
      <c r="N125" s="15" t="s">
        <v>442</v>
      </c>
      <c r="O125" s="15" t="s">
        <v>578</v>
      </c>
      <c r="P125" s="15">
        <v>0.9</v>
      </c>
      <c r="Q125" s="15" t="s">
        <v>579</v>
      </c>
      <c r="R125" s="15">
        <v>0.5</v>
      </c>
      <c r="S125" s="15" t="s">
        <v>580</v>
      </c>
      <c r="T125" s="15">
        <v>1E-3</v>
      </c>
      <c r="U125" s="15" t="s">
        <v>450</v>
      </c>
      <c r="V125" s="15">
        <v>200</v>
      </c>
      <c r="W125" s="15" t="s">
        <v>577</v>
      </c>
      <c r="X125" s="15">
        <v>5</v>
      </c>
      <c r="Y125" s="15" t="s">
        <v>581</v>
      </c>
      <c r="Z125" s="15">
        <v>0.1</v>
      </c>
      <c r="AA125" s="15" t="s">
        <v>582</v>
      </c>
      <c r="AB125" s="15">
        <v>0.2</v>
      </c>
      <c r="AC125" s="15" t="s">
        <v>583</v>
      </c>
      <c r="AD125" s="15">
        <v>0.8</v>
      </c>
    </row>
    <row r="126" spans="2:30" x14ac:dyDescent="0.2">
      <c r="B126" s="15">
        <v>8.0971665859222419</v>
      </c>
      <c r="C126" s="15">
        <v>1.7867628967262741</v>
      </c>
      <c r="D126" s="15">
        <v>0.21499438285827641</v>
      </c>
      <c r="E126" s="15">
        <v>7.6658478024447058E-2</v>
      </c>
      <c r="F126" s="15">
        <v>-1.0146462514325489</v>
      </c>
      <c r="G126" s="15">
        <v>2.6972855037093262E-3</v>
      </c>
      <c r="H126" s="15">
        <v>35</v>
      </c>
      <c r="I126" s="15">
        <v>-1.0146982115269501</v>
      </c>
      <c r="J126" s="15">
        <v>-1.011537897255361</v>
      </c>
      <c r="K126" s="15">
        <v>-1.012334918882043</v>
      </c>
      <c r="L126" s="15">
        <v>-1.019196083282752</v>
      </c>
      <c r="M126" s="15">
        <v>-1.015464146215638</v>
      </c>
      <c r="N126" s="15" t="s">
        <v>442</v>
      </c>
      <c r="O126" s="15" t="s">
        <v>578</v>
      </c>
      <c r="P126" s="15">
        <v>0.8</v>
      </c>
      <c r="Q126" s="15" t="s">
        <v>579</v>
      </c>
      <c r="R126" s="15">
        <v>1</v>
      </c>
      <c r="S126" s="15" t="s">
        <v>580</v>
      </c>
      <c r="T126" s="15">
        <v>1</v>
      </c>
      <c r="U126" s="15" t="s">
        <v>450</v>
      </c>
      <c r="V126" s="15">
        <v>100</v>
      </c>
      <c r="W126" s="15" t="s">
        <v>577</v>
      </c>
      <c r="X126" s="15">
        <v>3</v>
      </c>
      <c r="Y126" s="15" t="s">
        <v>581</v>
      </c>
      <c r="Z126" s="15">
        <v>0.2</v>
      </c>
      <c r="AA126" s="15" t="s">
        <v>582</v>
      </c>
      <c r="AB126" s="15">
        <v>0.5</v>
      </c>
      <c r="AC126" s="15" t="s">
        <v>583</v>
      </c>
      <c r="AD126" s="15">
        <v>0.6</v>
      </c>
    </row>
    <row r="127" spans="2:30" x14ac:dyDescent="0.2">
      <c r="B127" s="15">
        <v>48.969619369506837</v>
      </c>
      <c r="C127" s="15">
        <v>0.41313939335564909</v>
      </c>
      <c r="D127" s="15">
        <v>1.6322299480438229</v>
      </c>
      <c r="E127" s="15">
        <v>9.5712546444091176E-2</v>
      </c>
      <c r="F127" s="15">
        <v>-1.266023781711519</v>
      </c>
      <c r="G127" s="15">
        <v>3.0369526767364849E-3</v>
      </c>
      <c r="H127" s="15">
        <v>95</v>
      </c>
      <c r="I127" s="15">
        <v>-1.261241522885199</v>
      </c>
      <c r="J127" s="15">
        <v>-1.264677270352941</v>
      </c>
      <c r="K127" s="15">
        <v>-1.2705038316214341</v>
      </c>
      <c r="L127" s="15">
        <v>-1.266814016967303</v>
      </c>
      <c r="M127" s="15">
        <v>-1.266882266730714</v>
      </c>
      <c r="N127" s="15" t="s">
        <v>442</v>
      </c>
      <c r="O127" s="15" t="s">
        <v>578</v>
      </c>
      <c r="P127" s="15">
        <v>0.7</v>
      </c>
      <c r="Q127" s="15" t="s">
        <v>579</v>
      </c>
      <c r="R127" s="15">
        <v>0.05</v>
      </c>
      <c r="S127" s="15" t="s">
        <v>580</v>
      </c>
      <c r="T127" s="15">
        <v>0.1</v>
      </c>
      <c r="U127" s="15" t="s">
        <v>450</v>
      </c>
      <c r="V127" s="15">
        <v>300</v>
      </c>
      <c r="W127" s="15" t="s">
        <v>577</v>
      </c>
      <c r="X127" s="15">
        <v>21</v>
      </c>
      <c r="Y127" s="15" t="s">
        <v>581</v>
      </c>
      <c r="Z127" s="15">
        <v>0.5</v>
      </c>
      <c r="AA127" s="15" t="s">
        <v>582</v>
      </c>
      <c r="AB127" s="15">
        <v>0.3</v>
      </c>
      <c r="AC127" s="15" t="s">
        <v>583</v>
      </c>
      <c r="AD127" s="15">
        <v>1</v>
      </c>
    </row>
    <row r="128" spans="2:30" x14ac:dyDescent="0.2">
      <c r="B128" s="15">
        <v>29.9257218837738</v>
      </c>
      <c r="C128" s="15">
        <v>0.96518473595626531</v>
      </c>
      <c r="D128" s="15">
        <v>1.2213376045227049</v>
      </c>
      <c r="E128" s="15">
        <v>9.0541643426837126E-2</v>
      </c>
      <c r="F128" s="15">
        <v>-1.061386797327557</v>
      </c>
      <c r="G128" s="15">
        <v>3.2551063688789489E-3</v>
      </c>
      <c r="H128" s="15">
        <v>65</v>
      </c>
      <c r="I128" s="15">
        <v>-1.0610086697030829</v>
      </c>
      <c r="J128" s="15">
        <v>-1.056152862523984</v>
      </c>
      <c r="K128" s="15">
        <v>-1.0601275256749749</v>
      </c>
      <c r="L128" s="15">
        <v>-1.0651747087548691</v>
      </c>
      <c r="M128" s="15">
        <v>-1.0644702199808731</v>
      </c>
      <c r="N128" s="15" t="s">
        <v>442</v>
      </c>
      <c r="O128" s="15" t="s">
        <v>578</v>
      </c>
      <c r="P128" s="15">
        <v>0.7</v>
      </c>
      <c r="Q128" s="15" t="s">
        <v>579</v>
      </c>
      <c r="R128" s="15">
        <v>0.1</v>
      </c>
      <c r="S128" s="15" t="s">
        <v>580</v>
      </c>
      <c r="T128" s="15">
        <v>0.1</v>
      </c>
      <c r="U128" s="15" t="s">
        <v>450</v>
      </c>
      <c r="V128" s="15">
        <v>300</v>
      </c>
      <c r="W128" s="15" t="s">
        <v>577</v>
      </c>
      <c r="X128" s="15">
        <v>21</v>
      </c>
      <c r="Y128" s="15" t="s">
        <v>581</v>
      </c>
      <c r="Z128" s="15">
        <v>0.2</v>
      </c>
      <c r="AA128" s="15" t="s">
        <v>582</v>
      </c>
      <c r="AB128" s="15">
        <v>0.9</v>
      </c>
      <c r="AC128" s="15" t="s">
        <v>583</v>
      </c>
      <c r="AD128" s="15">
        <v>0.7</v>
      </c>
    </row>
    <row r="129" spans="2:30" x14ac:dyDescent="0.2">
      <c r="B129" s="15">
        <v>147.0352187156677</v>
      </c>
      <c r="C129" s="15">
        <v>2.3338892651883509</v>
      </c>
      <c r="D129" s="15">
        <v>11.378997659683231</v>
      </c>
      <c r="E129" s="15">
        <v>0.60531789443110984</v>
      </c>
      <c r="F129" s="15">
        <v>-1.3046750532913709</v>
      </c>
      <c r="G129" s="15">
        <v>2.2809310858591691E-3</v>
      </c>
      <c r="H129" s="15">
        <v>97</v>
      </c>
      <c r="I129" s="15">
        <v>-1.305785538684314</v>
      </c>
      <c r="J129" s="15">
        <v>-1.3055055224273979</v>
      </c>
      <c r="K129" s="15">
        <v>-1.3034718485561689</v>
      </c>
      <c r="L129" s="15">
        <v>-1.300961739930077</v>
      </c>
      <c r="M129" s="15">
        <v>-1.3076506168588971</v>
      </c>
      <c r="N129" s="15" t="s">
        <v>442</v>
      </c>
      <c r="O129" s="15" t="s">
        <v>578</v>
      </c>
      <c r="P129" s="15">
        <v>0.7</v>
      </c>
      <c r="Q129" s="15" t="s">
        <v>579</v>
      </c>
      <c r="R129" s="15">
        <v>5.0000000000000001E-3</v>
      </c>
      <c r="S129" s="15" t="s">
        <v>580</v>
      </c>
      <c r="T129" s="15">
        <v>0.5</v>
      </c>
      <c r="U129" s="15" t="s">
        <v>450</v>
      </c>
      <c r="V129" s="15">
        <v>200</v>
      </c>
      <c r="W129" s="15" t="s">
        <v>577</v>
      </c>
      <c r="X129" s="15">
        <v>21</v>
      </c>
      <c r="Y129" s="15" t="s">
        <v>581</v>
      </c>
      <c r="Z129" s="15">
        <v>0.5</v>
      </c>
      <c r="AA129" s="15" t="s">
        <v>582</v>
      </c>
      <c r="AB129" s="15">
        <v>0</v>
      </c>
      <c r="AC129" s="15" t="s">
        <v>583</v>
      </c>
      <c r="AD129" s="15">
        <v>1</v>
      </c>
    </row>
    <row r="130" spans="2:30" x14ac:dyDescent="0.2">
      <c r="B130" s="15">
        <v>2.9534152507781979</v>
      </c>
      <c r="C130" s="15">
        <v>0.13127567641204579</v>
      </c>
      <c r="D130" s="15">
        <v>0.15565867424011229</v>
      </c>
      <c r="E130" s="15">
        <v>1.693738737530489E-2</v>
      </c>
      <c r="F130" s="15">
        <v>-1.0952619058654061</v>
      </c>
      <c r="G130" s="15">
        <v>2.5775558825573792E-3</v>
      </c>
      <c r="H130" s="15">
        <v>78</v>
      </c>
      <c r="I130" s="15">
        <v>-1.0976346390345579</v>
      </c>
      <c r="J130" s="15">
        <v>-1.093212381034899</v>
      </c>
      <c r="K130" s="15">
        <v>-1.092272556151987</v>
      </c>
      <c r="L130" s="15">
        <v>-1.0989293062522369</v>
      </c>
      <c r="M130" s="15">
        <v>-1.0942606468533489</v>
      </c>
      <c r="N130" s="15" t="s">
        <v>442</v>
      </c>
      <c r="O130" s="15" t="s">
        <v>578</v>
      </c>
      <c r="P130" s="15">
        <v>1</v>
      </c>
      <c r="Q130" s="15" t="s">
        <v>579</v>
      </c>
      <c r="R130" s="15">
        <v>5.0000000000000001E-3</v>
      </c>
      <c r="S130" s="15" t="s">
        <v>580</v>
      </c>
      <c r="T130" s="15">
        <v>0</v>
      </c>
      <c r="U130" s="15" t="s">
        <v>450</v>
      </c>
      <c r="V130" s="15">
        <v>100</v>
      </c>
      <c r="W130" s="15" t="s">
        <v>577</v>
      </c>
      <c r="X130" s="15">
        <v>3</v>
      </c>
      <c r="Y130" s="15" t="s">
        <v>581</v>
      </c>
      <c r="Z130" s="15">
        <v>0.01</v>
      </c>
      <c r="AA130" s="15" t="s">
        <v>582</v>
      </c>
      <c r="AB130" s="15">
        <v>0.9</v>
      </c>
      <c r="AC130" s="15" t="s">
        <v>583</v>
      </c>
      <c r="AD130" s="15">
        <v>1</v>
      </c>
    </row>
    <row r="131" spans="2:30" x14ac:dyDescent="0.2">
      <c r="B131" s="15">
        <v>26.55435309410095</v>
      </c>
      <c r="C131" s="15">
        <v>0.62924211790761364</v>
      </c>
      <c r="D131" s="15">
        <v>4.6007093429565433</v>
      </c>
      <c r="E131" s="15">
        <v>4.2396716825077521E-2</v>
      </c>
      <c r="F131" s="15">
        <v>-1.030795061779856</v>
      </c>
      <c r="G131" s="15">
        <v>2.8739313311510321E-3</v>
      </c>
      <c r="H131" s="15">
        <v>50</v>
      </c>
      <c r="I131" s="15">
        <v>-1.0322640512513039</v>
      </c>
      <c r="J131" s="15">
        <v>-1.02696008162548</v>
      </c>
      <c r="K131" s="15">
        <v>-1.0283835894090501</v>
      </c>
      <c r="L131" s="15">
        <v>-1.035081835458405</v>
      </c>
      <c r="M131" s="15">
        <v>-1.0312857511550391</v>
      </c>
      <c r="N131" s="15" t="s">
        <v>442</v>
      </c>
      <c r="O131" s="15" t="s">
        <v>578</v>
      </c>
      <c r="P131" s="15">
        <v>1</v>
      </c>
      <c r="Q131" s="15" t="s">
        <v>579</v>
      </c>
      <c r="R131" s="15">
        <v>5.0000000000000001E-3</v>
      </c>
      <c r="S131" s="15" t="s">
        <v>580</v>
      </c>
      <c r="T131" s="15">
        <v>1</v>
      </c>
      <c r="U131" s="15" t="s">
        <v>450</v>
      </c>
      <c r="V131" s="15">
        <v>200</v>
      </c>
      <c r="W131" s="15" t="s">
        <v>577</v>
      </c>
      <c r="X131" s="15">
        <v>13</v>
      </c>
      <c r="Y131" s="15" t="s">
        <v>581</v>
      </c>
      <c r="Z131" s="15">
        <v>0.01</v>
      </c>
      <c r="AA131" s="15" t="s">
        <v>582</v>
      </c>
      <c r="AB131" s="15">
        <v>0.7</v>
      </c>
      <c r="AC131" s="15" t="s">
        <v>583</v>
      </c>
      <c r="AD131" s="15">
        <v>0.6</v>
      </c>
    </row>
    <row r="132" spans="2:30" x14ac:dyDescent="0.2">
      <c r="B132" s="15">
        <v>9.2001132965087891</v>
      </c>
      <c r="C132" s="15">
        <v>5.0231238086968243E-2</v>
      </c>
      <c r="D132" s="15">
        <v>0.51606001853942873</v>
      </c>
      <c r="E132" s="15">
        <v>3.5578972889013613E-2</v>
      </c>
      <c r="F132" s="15">
        <v>-1.001343314072102</v>
      </c>
      <c r="G132" s="15">
        <v>2.9763818321123631E-3</v>
      </c>
      <c r="H132" s="15">
        <v>15</v>
      </c>
      <c r="I132" s="15">
        <v>-1.0018470486593469</v>
      </c>
      <c r="J132" s="15">
        <v>-0.99614669270713418</v>
      </c>
      <c r="K132" s="15">
        <v>-1.00064377928566</v>
      </c>
      <c r="L132" s="15">
        <v>-1.0050413152082871</v>
      </c>
      <c r="M132" s="15">
        <v>-1.0030377345000789</v>
      </c>
      <c r="N132" s="15" t="s">
        <v>442</v>
      </c>
      <c r="O132" s="15" t="s">
        <v>578</v>
      </c>
      <c r="P132" s="15">
        <v>0.9</v>
      </c>
      <c r="Q132" s="15" t="s">
        <v>579</v>
      </c>
      <c r="R132" s="15">
        <v>5.0000000000000001E-3</v>
      </c>
      <c r="S132" s="15" t="s">
        <v>580</v>
      </c>
      <c r="T132" s="15">
        <v>5.0000000000000001E-3</v>
      </c>
      <c r="U132" s="15" t="s">
        <v>450</v>
      </c>
      <c r="V132" s="15">
        <v>100</v>
      </c>
      <c r="W132" s="15" t="s">
        <v>577</v>
      </c>
      <c r="X132" s="15">
        <v>8</v>
      </c>
      <c r="Y132" s="15" t="s">
        <v>581</v>
      </c>
      <c r="Z132" s="15">
        <v>0.1</v>
      </c>
      <c r="AA132" s="15" t="s">
        <v>582</v>
      </c>
      <c r="AB132" s="15">
        <v>0.5</v>
      </c>
      <c r="AC132" s="15" t="s">
        <v>583</v>
      </c>
      <c r="AD132" s="15">
        <v>0.9</v>
      </c>
    </row>
    <row r="133" spans="2:30" x14ac:dyDescent="0.2">
      <c r="B133" s="15">
        <v>23.663137483596799</v>
      </c>
      <c r="C133" s="15">
        <v>1.566576381060282</v>
      </c>
      <c r="D133" s="15">
        <v>0.8675511837005615</v>
      </c>
      <c r="E133" s="15">
        <v>0.20139070983153459</v>
      </c>
      <c r="F133" s="15">
        <v>-1.00913264541256</v>
      </c>
      <c r="G133" s="15">
        <v>2.994402822880788E-3</v>
      </c>
      <c r="H133" s="15">
        <v>29</v>
      </c>
      <c r="I133" s="15">
        <v>-1.011368324930735</v>
      </c>
      <c r="J133" s="15">
        <v>-1.003961996909752</v>
      </c>
      <c r="K133" s="15">
        <v>-1.0084779712026399</v>
      </c>
      <c r="L133" s="15">
        <v>-1.012691978985931</v>
      </c>
      <c r="M133" s="15">
        <v>-1.0091629550337431</v>
      </c>
      <c r="N133" s="15" t="s">
        <v>442</v>
      </c>
      <c r="O133" s="15" t="s">
        <v>578</v>
      </c>
      <c r="P133" s="15">
        <v>0.9</v>
      </c>
      <c r="Q133" s="15" t="s">
        <v>579</v>
      </c>
      <c r="R133" s="15">
        <v>1E-3</v>
      </c>
      <c r="S133" s="15" t="s">
        <v>580</v>
      </c>
      <c r="T133" s="15">
        <v>0.5</v>
      </c>
      <c r="U133" s="15" t="s">
        <v>450</v>
      </c>
      <c r="V133" s="15">
        <v>400</v>
      </c>
      <c r="W133" s="15" t="s">
        <v>577</v>
      </c>
      <c r="X133" s="15">
        <v>5</v>
      </c>
      <c r="Y133" s="15" t="s">
        <v>581</v>
      </c>
      <c r="Z133" s="15">
        <v>0.5</v>
      </c>
      <c r="AA133" s="15" t="s">
        <v>582</v>
      </c>
      <c r="AB133" s="15">
        <v>0.8</v>
      </c>
      <c r="AC133" s="15" t="s">
        <v>583</v>
      </c>
      <c r="AD133" s="15">
        <v>0.9</v>
      </c>
    </row>
    <row r="134" spans="2:30" x14ac:dyDescent="0.2">
      <c r="B134" s="15">
        <v>18.066419172286992</v>
      </c>
      <c r="C134" s="15">
        <v>1.4935765531940191</v>
      </c>
      <c r="D134" s="15">
        <v>0.62341914176940916</v>
      </c>
      <c r="E134" s="15">
        <v>6.6708930972377761E-2</v>
      </c>
      <c r="F134" s="15">
        <v>-1.001146882643499</v>
      </c>
      <c r="G134" s="15">
        <v>2.872642438080864E-3</v>
      </c>
      <c r="H134" s="15">
        <v>10</v>
      </c>
      <c r="I134" s="15">
        <v>-1.002431876448209</v>
      </c>
      <c r="J134" s="15">
        <v>-0.99629398647545375</v>
      </c>
      <c r="K134" s="15">
        <v>-0.99986455472849289</v>
      </c>
      <c r="L134" s="15">
        <v>-1.004723481788478</v>
      </c>
      <c r="M134" s="15">
        <v>-1.002420513776862</v>
      </c>
      <c r="N134" s="15" t="s">
        <v>442</v>
      </c>
      <c r="O134" s="15" t="s">
        <v>578</v>
      </c>
      <c r="P134" s="15">
        <v>0.9</v>
      </c>
      <c r="Q134" s="15" t="s">
        <v>579</v>
      </c>
      <c r="R134" s="15">
        <v>0.5</v>
      </c>
      <c r="S134" s="15" t="s">
        <v>580</v>
      </c>
      <c r="T134" s="15">
        <v>1E-3</v>
      </c>
      <c r="U134" s="15" t="s">
        <v>450</v>
      </c>
      <c r="V134" s="15">
        <v>400</v>
      </c>
      <c r="W134" s="15" t="s">
        <v>577</v>
      </c>
      <c r="X134" s="15">
        <v>3</v>
      </c>
      <c r="Y134" s="15" t="s">
        <v>581</v>
      </c>
      <c r="Z134" s="15">
        <v>0.5</v>
      </c>
      <c r="AA134" s="15" t="s">
        <v>582</v>
      </c>
      <c r="AB134" s="15">
        <v>0.3</v>
      </c>
      <c r="AC134" s="15" t="s">
        <v>583</v>
      </c>
      <c r="AD134" s="15">
        <v>0.9</v>
      </c>
    </row>
    <row r="135" spans="2:30" x14ac:dyDescent="0.2">
      <c r="B135" s="15">
        <v>7.1256006717681881</v>
      </c>
      <c r="C135" s="15">
        <v>8.0070599503992687E-2</v>
      </c>
      <c r="D135" s="15">
        <v>0.44153466224670412</v>
      </c>
      <c r="E135" s="15">
        <v>3.4351203215799639E-2</v>
      </c>
      <c r="F135" s="15">
        <v>-1.0329197810026181</v>
      </c>
      <c r="G135" s="15">
        <v>3.470350212760548E-3</v>
      </c>
      <c r="H135" s="15">
        <v>54</v>
      </c>
      <c r="I135" s="15">
        <v>-1.034296805560162</v>
      </c>
      <c r="J135" s="15">
        <v>-1.0270332239429669</v>
      </c>
      <c r="K135" s="15">
        <v>-1.0318013257020091</v>
      </c>
      <c r="L135" s="15">
        <v>-1.037547725941657</v>
      </c>
      <c r="M135" s="15">
        <v>-1.033919823866293</v>
      </c>
      <c r="N135" s="15" t="s">
        <v>442</v>
      </c>
      <c r="O135" s="15" t="s">
        <v>578</v>
      </c>
      <c r="P135" s="15">
        <v>0.7</v>
      </c>
      <c r="Q135" s="15" t="s">
        <v>579</v>
      </c>
      <c r="R135" s="15">
        <v>5.0000000000000001E-3</v>
      </c>
      <c r="S135" s="15" t="s">
        <v>580</v>
      </c>
      <c r="T135" s="15">
        <v>1E-3</v>
      </c>
      <c r="U135" s="15" t="s">
        <v>450</v>
      </c>
      <c r="V135" s="15">
        <v>100</v>
      </c>
      <c r="W135" s="15" t="s">
        <v>577</v>
      </c>
      <c r="X135" s="15">
        <v>8</v>
      </c>
      <c r="Y135" s="15" t="s">
        <v>581</v>
      </c>
      <c r="Z135" s="15">
        <v>0.5</v>
      </c>
      <c r="AA135" s="15" t="s">
        <v>582</v>
      </c>
      <c r="AB135" s="15">
        <v>0.1</v>
      </c>
      <c r="AC135" s="15" t="s">
        <v>583</v>
      </c>
      <c r="AD135" s="15">
        <v>0.6</v>
      </c>
    </row>
    <row r="136" spans="2:30" x14ac:dyDescent="0.2">
      <c r="B136" s="15">
        <v>40.748405885696407</v>
      </c>
      <c r="C136" s="15">
        <v>0.35882399091503048</v>
      </c>
      <c r="D136" s="15">
        <v>2.5454794406890868</v>
      </c>
      <c r="E136" s="15">
        <v>0.20368641076457239</v>
      </c>
      <c r="F136" s="15">
        <v>-1.090053412237346</v>
      </c>
      <c r="G136" s="15">
        <v>3.3406312183836152E-3</v>
      </c>
      <c r="H136" s="15">
        <v>76</v>
      </c>
      <c r="I136" s="15">
        <v>-1.0897277053883561</v>
      </c>
      <c r="J136" s="15">
        <v>-1.084679979839388</v>
      </c>
      <c r="K136" s="15">
        <v>-1.089301930204245</v>
      </c>
      <c r="L136" s="15">
        <v>-1.0949293653740839</v>
      </c>
      <c r="M136" s="15">
        <v>-1.0916280803806571</v>
      </c>
      <c r="N136" s="15" t="s">
        <v>442</v>
      </c>
      <c r="O136" s="15" t="s">
        <v>578</v>
      </c>
      <c r="P136" s="15">
        <v>0.7</v>
      </c>
      <c r="Q136" s="15" t="s">
        <v>579</v>
      </c>
      <c r="R136" s="15">
        <v>1</v>
      </c>
      <c r="S136" s="15" t="s">
        <v>580</v>
      </c>
      <c r="T136" s="15">
        <v>0.05</v>
      </c>
      <c r="U136" s="15" t="s">
        <v>450</v>
      </c>
      <c r="V136" s="15">
        <v>100</v>
      </c>
      <c r="W136" s="15" t="s">
        <v>577</v>
      </c>
      <c r="X136" s="15">
        <v>21</v>
      </c>
      <c r="Y136" s="15" t="s">
        <v>581</v>
      </c>
      <c r="Z136" s="15">
        <v>0.2</v>
      </c>
      <c r="AA136" s="15" t="s">
        <v>582</v>
      </c>
      <c r="AB136" s="15">
        <v>0.3</v>
      </c>
      <c r="AC136" s="15" t="s">
        <v>583</v>
      </c>
      <c r="AD136" s="15">
        <v>0.8</v>
      </c>
    </row>
    <row r="137" spans="2:30" x14ac:dyDescent="0.2">
      <c r="B137" s="15">
        <v>10.263907909393311</v>
      </c>
      <c r="C137" s="15">
        <v>0.19775941207175801</v>
      </c>
      <c r="D137" s="15">
        <v>0.45710487365722657</v>
      </c>
      <c r="E137" s="15">
        <v>5.0350008005028861E-2</v>
      </c>
      <c r="F137" s="15">
        <v>-1.018421684770445</v>
      </c>
      <c r="G137" s="15">
        <v>3.0386705266450551E-3</v>
      </c>
      <c r="H137" s="15">
        <v>38</v>
      </c>
      <c r="I137" s="15">
        <v>-1.021273260957928</v>
      </c>
      <c r="J137" s="15">
        <v>-1.013080168421205</v>
      </c>
      <c r="K137" s="15">
        <v>-1.0174484129542869</v>
      </c>
      <c r="L137" s="15">
        <v>-1.021284690899751</v>
      </c>
      <c r="M137" s="15">
        <v>-1.019021890619056</v>
      </c>
      <c r="N137" s="15" t="s">
        <v>442</v>
      </c>
      <c r="O137" s="15" t="s">
        <v>578</v>
      </c>
      <c r="P137" s="15">
        <v>0.8</v>
      </c>
      <c r="Q137" s="15" t="s">
        <v>579</v>
      </c>
      <c r="R137" s="15">
        <v>1</v>
      </c>
      <c r="S137" s="15" t="s">
        <v>580</v>
      </c>
      <c r="T137" s="15">
        <v>5.0000000000000001E-3</v>
      </c>
      <c r="U137" s="15" t="s">
        <v>450</v>
      </c>
      <c r="V137" s="15">
        <v>200</v>
      </c>
      <c r="W137" s="15" t="s">
        <v>577</v>
      </c>
      <c r="X137" s="15">
        <v>5</v>
      </c>
      <c r="Y137" s="15" t="s">
        <v>581</v>
      </c>
      <c r="Z137" s="15">
        <v>0.8</v>
      </c>
      <c r="AA137" s="15" t="s">
        <v>582</v>
      </c>
      <c r="AB137" s="15">
        <v>0.7</v>
      </c>
      <c r="AC137" s="15" t="s">
        <v>583</v>
      </c>
      <c r="AD137" s="15">
        <v>0.8</v>
      </c>
    </row>
    <row r="138" spans="2:30" x14ac:dyDescent="0.2">
      <c r="B138" s="15">
        <v>15.763461637496951</v>
      </c>
      <c r="C138" s="15">
        <v>0.80585677011232026</v>
      </c>
      <c r="D138" s="15">
        <v>0.42143383026123049</v>
      </c>
      <c r="E138" s="15">
        <v>4.2603269096955089E-2</v>
      </c>
      <c r="F138" s="15">
        <v>-1.0061356206351859</v>
      </c>
      <c r="G138" s="15">
        <v>2.690116576297457E-3</v>
      </c>
      <c r="H138" s="15">
        <v>26</v>
      </c>
      <c r="I138" s="15">
        <v>-1.007043036675626</v>
      </c>
      <c r="J138" s="15">
        <v>-1.0015204833942619</v>
      </c>
      <c r="K138" s="15">
        <v>-1.0048971084276681</v>
      </c>
      <c r="L138" s="15">
        <v>-1.0089922835528</v>
      </c>
      <c r="M138" s="15">
        <v>-1.008225191125572</v>
      </c>
      <c r="N138" s="15" t="s">
        <v>442</v>
      </c>
      <c r="O138" s="15" t="s">
        <v>578</v>
      </c>
      <c r="P138" s="15">
        <v>0.7</v>
      </c>
      <c r="Q138" s="15" t="s">
        <v>579</v>
      </c>
      <c r="R138" s="15">
        <v>0.05</v>
      </c>
      <c r="S138" s="15" t="s">
        <v>580</v>
      </c>
      <c r="T138" s="15">
        <v>0.05</v>
      </c>
      <c r="U138" s="15" t="s">
        <v>450</v>
      </c>
      <c r="V138" s="15">
        <v>300</v>
      </c>
      <c r="W138" s="15" t="s">
        <v>577</v>
      </c>
      <c r="X138" s="15">
        <v>3</v>
      </c>
      <c r="Y138" s="15" t="s">
        <v>581</v>
      </c>
      <c r="Z138" s="15">
        <v>0.8</v>
      </c>
      <c r="AA138" s="15" t="s">
        <v>582</v>
      </c>
      <c r="AB138" s="15">
        <v>0.7</v>
      </c>
      <c r="AC138" s="15" t="s">
        <v>583</v>
      </c>
      <c r="AD138" s="15">
        <v>0.9</v>
      </c>
    </row>
    <row r="139" spans="2:30" x14ac:dyDescent="0.2">
      <c r="B139" s="15">
        <v>10.12457551956177</v>
      </c>
      <c r="C139" s="15">
        <v>0.3900235180149465</v>
      </c>
      <c r="D139" s="15">
        <v>0.9711271286010742</v>
      </c>
      <c r="E139" s="15">
        <v>0.18872149543063171</v>
      </c>
      <c r="F139" s="15">
        <v>-1.0013160442201769</v>
      </c>
      <c r="G139" s="15">
        <v>2.957098420081163E-3</v>
      </c>
      <c r="H139" s="15">
        <v>14</v>
      </c>
      <c r="I139" s="15">
        <v>-1.001760453813598</v>
      </c>
      <c r="J139" s="15">
        <v>-0.99610066119759422</v>
      </c>
      <c r="K139" s="15">
        <v>-1.000773540491714</v>
      </c>
      <c r="L139" s="15">
        <v>-1.004950945700444</v>
      </c>
      <c r="M139" s="15">
        <v>-1.002994619897535</v>
      </c>
      <c r="N139" s="15" t="s">
        <v>442</v>
      </c>
      <c r="O139" s="15" t="s">
        <v>578</v>
      </c>
      <c r="P139" s="15">
        <v>1</v>
      </c>
      <c r="Q139" s="15" t="s">
        <v>579</v>
      </c>
      <c r="R139" s="15">
        <v>1</v>
      </c>
      <c r="S139" s="15" t="s">
        <v>580</v>
      </c>
      <c r="T139" s="15">
        <v>0.05</v>
      </c>
      <c r="U139" s="15" t="s">
        <v>450</v>
      </c>
      <c r="V139" s="15">
        <v>300</v>
      </c>
      <c r="W139" s="15" t="s">
        <v>577</v>
      </c>
      <c r="X139" s="15">
        <v>8</v>
      </c>
      <c r="Y139" s="15" t="s">
        <v>581</v>
      </c>
      <c r="Z139" s="15">
        <v>0.1</v>
      </c>
      <c r="AA139" s="15" t="s">
        <v>582</v>
      </c>
      <c r="AB139" s="15">
        <v>0.4</v>
      </c>
      <c r="AC139" s="15" t="s">
        <v>583</v>
      </c>
      <c r="AD139" s="15">
        <v>0.9</v>
      </c>
    </row>
    <row r="140" spans="2:30" x14ac:dyDescent="0.2">
      <c r="B140" s="15">
        <v>3.4207273006439212</v>
      </c>
      <c r="C140" s="15">
        <v>0.39388568642397248</v>
      </c>
      <c r="D140" s="15">
        <v>0.17315735816955569</v>
      </c>
      <c r="E140" s="15">
        <v>1.2767441095001089E-2</v>
      </c>
      <c r="F140" s="15">
        <v>-1.0113714727310661</v>
      </c>
      <c r="G140" s="15">
        <v>3.0363878681170008E-3</v>
      </c>
      <c r="H140" s="15">
        <v>31</v>
      </c>
      <c r="I140" s="15">
        <v>-1.0119466423769461</v>
      </c>
      <c r="J140" s="15">
        <v>-1.0068848334973739</v>
      </c>
      <c r="K140" s="15">
        <v>-1.00924437270949</v>
      </c>
      <c r="L140" s="15">
        <v>-1.015590921842823</v>
      </c>
      <c r="M140" s="15">
        <v>-1.0131905932286971</v>
      </c>
      <c r="N140" s="15" t="s">
        <v>442</v>
      </c>
      <c r="O140" s="15" t="s">
        <v>578</v>
      </c>
      <c r="P140" s="15">
        <v>1</v>
      </c>
      <c r="Q140" s="15" t="s">
        <v>579</v>
      </c>
      <c r="R140" s="15">
        <v>0.01</v>
      </c>
      <c r="S140" s="15" t="s">
        <v>580</v>
      </c>
      <c r="T140" s="15">
        <v>1E-3</v>
      </c>
      <c r="U140" s="15" t="s">
        <v>450</v>
      </c>
      <c r="V140" s="15">
        <v>100</v>
      </c>
      <c r="W140" s="15" t="s">
        <v>577</v>
      </c>
      <c r="X140" s="15">
        <v>3</v>
      </c>
      <c r="Y140" s="15" t="s">
        <v>581</v>
      </c>
      <c r="Z140" s="15">
        <v>0.2</v>
      </c>
      <c r="AA140" s="15" t="s">
        <v>582</v>
      </c>
      <c r="AB140" s="15">
        <v>0.2</v>
      </c>
      <c r="AC140" s="15" t="s">
        <v>583</v>
      </c>
      <c r="AD140" s="15">
        <v>0.7</v>
      </c>
    </row>
    <row r="141" spans="2:30" x14ac:dyDescent="0.2">
      <c r="B141" s="15">
        <v>13.011849355697629</v>
      </c>
      <c r="C141" s="15">
        <v>0.17189059487462949</v>
      </c>
      <c r="D141" s="15">
        <v>0.51793332099914546</v>
      </c>
      <c r="E141" s="15">
        <v>4.2568992925909002E-2</v>
      </c>
      <c r="F141" s="15">
        <v>-1.020225014556372</v>
      </c>
      <c r="G141" s="15">
        <v>2.412014629839785E-3</v>
      </c>
      <c r="H141" s="15">
        <v>40</v>
      </c>
      <c r="I141" s="15">
        <v>-1.0211564646935929</v>
      </c>
      <c r="J141" s="15">
        <v>-1.0163050276662029</v>
      </c>
      <c r="K141" s="15">
        <v>-1.0189712573272041</v>
      </c>
      <c r="L141" s="15">
        <v>-1.0234149786483711</v>
      </c>
      <c r="M141" s="15">
        <v>-1.0212773444464931</v>
      </c>
      <c r="N141" s="15" t="s">
        <v>442</v>
      </c>
      <c r="O141" s="15" t="s">
        <v>578</v>
      </c>
      <c r="P141" s="15">
        <v>0.7</v>
      </c>
      <c r="Q141" s="15" t="s">
        <v>579</v>
      </c>
      <c r="R141" s="15">
        <v>0.1</v>
      </c>
      <c r="S141" s="15" t="s">
        <v>580</v>
      </c>
      <c r="T141" s="15">
        <v>5.0000000000000001E-3</v>
      </c>
      <c r="U141" s="15" t="s">
        <v>450</v>
      </c>
      <c r="V141" s="15">
        <v>200</v>
      </c>
      <c r="W141" s="15" t="s">
        <v>577</v>
      </c>
      <c r="X141" s="15">
        <v>5</v>
      </c>
      <c r="Y141" s="15" t="s">
        <v>581</v>
      </c>
      <c r="Z141" s="15">
        <v>0.8</v>
      </c>
      <c r="AA141" s="15" t="s">
        <v>582</v>
      </c>
      <c r="AB141" s="15">
        <v>0.6</v>
      </c>
      <c r="AC141" s="15" t="s">
        <v>583</v>
      </c>
      <c r="AD141" s="15">
        <v>0.6</v>
      </c>
    </row>
    <row r="142" spans="2:30" x14ac:dyDescent="0.2">
      <c r="B142" s="15">
        <v>16.656915664672852</v>
      </c>
      <c r="C142" s="15">
        <v>0.36884751300655599</v>
      </c>
      <c r="D142" s="15">
        <v>0.4759981632232666</v>
      </c>
      <c r="E142" s="15">
        <v>4.6217580139536849E-2</v>
      </c>
      <c r="F142" s="15">
        <v>-1.0015428123169181</v>
      </c>
      <c r="G142" s="15">
        <v>3.1370981480170579E-3</v>
      </c>
      <c r="H142" s="15">
        <v>16</v>
      </c>
      <c r="I142" s="15">
        <v>-1.002608084713777</v>
      </c>
      <c r="J142" s="15">
        <v>-0.99636146562224503</v>
      </c>
      <c r="K142" s="15">
        <v>-1.000070416300312</v>
      </c>
      <c r="L142" s="15">
        <v>-1.0056489763678309</v>
      </c>
      <c r="M142" s="15">
        <v>-1.0030251185804231</v>
      </c>
      <c r="N142" s="15" t="s">
        <v>442</v>
      </c>
      <c r="O142" s="15" t="s">
        <v>578</v>
      </c>
      <c r="P142" s="15">
        <v>0.9</v>
      </c>
      <c r="Q142" s="15" t="s">
        <v>579</v>
      </c>
      <c r="R142" s="15">
        <v>0.5</v>
      </c>
      <c r="S142" s="15" t="s">
        <v>580</v>
      </c>
      <c r="T142" s="15">
        <v>0.1</v>
      </c>
      <c r="U142" s="15" t="s">
        <v>450</v>
      </c>
      <c r="V142" s="15">
        <v>300</v>
      </c>
      <c r="W142" s="15" t="s">
        <v>577</v>
      </c>
      <c r="X142" s="15">
        <v>3</v>
      </c>
      <c r="Y142" s="15" t="s">
        <v>581</v>
      </c>
      <c r="Z142" s="15">
        <v>0.2</v>
      </c>
      <c r="AA142" s="15" t="s">
        <v>582</v>
      </c>
      <c r="AB142" s="15">
        <v>0.7</v>
      </c>
      <c r="AC142" s="15" t="s">
        <v>583</v>
      </c>
      <c r="AD142" s="15">
        <v>0.7</v>
      </c>
    </row>
    <row r="143" spans="2:30" x14ac:dyDescent="0.2">
      <c r="B143" s="15">
        <v>17.331382513046261</v>
      </c>
      <c r="C143" s="15">
        <v>0.27801738481959343</v>
      </c>
      <c r="D143" s="15">
        <v>0.52055096626281738</v>
      </c>
      <c r="E143" s="15">
        <v>5.0895705632165257E-2</v>
      </c>
      <c r="F143" s="15">
        <v>-1.003861695892452</v>
      </c>
      <c r="G143" s="15">
        <v>3.2880516206437648E-3</v>
      </c>
      <c r="H143" s="15">
        <v>20</v>
      </c>
      <c r="I143" s="15">
        <v>-1.005454933789766</v>
      </c>
      <c r="J143" s="15">
        <v>-0.99845609713234018</v>
      </c>
      <c r="K143" s="15">
        <v>-1.0024723703567</v>
      </c>
      <c r="L143" s="15">
        <v>-1.0083116626961151</v>
      </c>
      <c r="M143" s="15">
        <v>-1.0046134154873401</v>
      </c>
      <c r="N143" s="15" t="s">
        <v>442</v>
      </c>
      <c r="O143" s="15" t="s">
        <v>578</v>
      </c>
      <c r="P143" s="15">
        <v>0.8</v>
      </c>
      <c r="Q143" s="15" t="s">
        <v>579</v>
      </c>
      <c r="R143" s="15">
        <v>0</v>
      </c>
      <c r="S143" s="15" t="s">
        <v>580</v>
      </c>
      <c r="T143" s="15">
        <v>1</v>
      </c>
      <c r="U143" s="15" t="s">
        <v>450</v>
      </c>
      <c r="V143" s="15">
        <v>300</v>
      </c>
      <c r="W143" s="15" t="s">
        <v>577</v>
      </c>
      <c r="X143" s="15">
        <v>3</v>
      </c>
      <c r="Y143" s="15" t="s">
        <v>581</v>
      </c>
      <c r="Z143" s="15">
        <v>0.8</v>
      </c>
      <c r="AA143" s="15" t="s">
        <v>582</v>
      </c>
      <c r="AB143" s="15">
        <v>0.6</v>
      </c>
      <c r="AC143" s="15" t="s">
        <v>583</v>
      </c>
      <c r="AD143" s="15">
        <v>1</v>
      </c>
    </row>
    <row r="144" spans="2:30" x14ac:dyDescent="0.2">
      <c r="B144" s="15">
        <v>127.28065528869629</v>
      </c>
      <c r="C144" s="15">
        <v>1.648400172531697</v>
      </c>
      <c r="D144" s="15">
        <v>10.76262354850769</v>
      </c>
      <c r="E144" s="15">
        <v>0.4483008249490793</v>
      </c>
      <c r="F144" s="15">
        <v>-1.0292992205847431</v>
      </c>
      <c r="G144" s="15">
        <v>3.111666100171107E-3</v>
      </c>
      <c r="H144" s="15">
        <v>45</v>
      </c>
      <c r="I144" s="15">
        <v>-1.0303423790433619</v>
      </c>
      <c r="J144" s="15">
        <v>-1.024594503571747</v>
      </c>
      <c r="K144" s="15">
        <v>-1.027589902865456</v>
      </c>
      <c r="L144" s="15">
        <v>-1.0339651718891201</v>
      </c>
      <c r="M144" s="15">
        <v>-1.030004145554029</v>
      </c>
      <c r="N144" s="15" t="s">
        <v>442</v>
      </c>
      <c r="O144" s="15" t="s">
        <v>578</v>
      </c>
      <c r="P144" s="15">
        <v>0.8</v>
      </c>
      <c r="Q144" s="15" t="s">
        <v>579</v>
      </c>
      <c r="R144" s="15">
        <v>0</v>
      </c>
      <c r="S144" s="15" t="s">
        <v>580</v>
      </c>
      <c r="T144" s="15">
        <v>0</v>
      </c>
      <c r="U144" s="15" t="s">
        <v>450</v>
      </c>
      <c r="V144" s="15">
        <v>200</v>
      </c>
      <c r="W144" s="15" t="s">
        <v>577</v>
      </c>
      <c r="X144" s="15">
        <v>21</v>
      </c>
      <c r="Y144" s="15" t="s">
        <v>581</v>
      </c>
      <c r="Z144" s="15">
        <v>0.01</v>
      </c>
      <c r="AA144" s="15" t="s">
        <v>582</v>
      </c>
      <c r="AB144" s="15">
        <v>0.9</v>
      </c>
      <c r="AC144" s="15" t="s">
        <v>583</v>
      </c>
      <c r="AD144" s="15">
        <v>0.7</v>
      </c>
    </row>
    <row r="145" spans="2:30" x14ac:dyDescent="0.2">
      <c r="B145" s="15">
        <v>19.567896127700809</v>
      </c>
      <c r="C145" s="15">
        <v>0.38186731356862719</v>
      </c>
      <c r="D145" s="15">
        <v>0.59271149635314946</v>
      </c>
      <c r="E145" s="15">
        <v>4.6542221279608581E-2</v>
      </c>
      <c r="F145" s="15">
        <v>-1.0010458893902221</v>
      </c>
      <c r="G145" s="15">
        <v>2.8132868180553222E-3</v>
      </c>
      <c r="H145" s="15">
        <v>8</v>
      </c>
      <c r="I145" s="15">
        <v>-1.0028609676922791</v>
      </c>
      <c r="J145" s="15">
        <v>-0.99671254216249872</v>
      </c>
      <c r="K145" s="15">
        <v>-0.99901581238650761</v>
      </c>
      <c r="L145" s="15">
        <v>-1.004552046156945</v>
      </c>
      <c r="M145" s="15">
        <v>-1.002088078552879</v>
      </c>
      <c r="N145" s="15" t="s">
        <v>442</v>
      </c>
      <c r="O145" s="15" t="s">
        <v>578</v>
      </c>
      <c r="P145" s="15">
        <v>0.9</v>
      </c>
      <c r="Q145" s="15" t="s">
        <v>579</v>
      </c>
      <c r="R145" s="15">
        <v>0.5</v>
      </c>
      <c r="S145" s="15" t="s">
        <v>580</v>
      </c>
      <c r="T145" s="15">
        <v>1E-3</v>
      </c>
      <c r="U145" s="15" t="s">
        <v>450</v>
      </c>
      <c r="V145" s="15">
        <v>400</v>
      </c>
      <c r="W145" s="15" t="s">
        <v>577</v>
      </c>
      <c r="X145" s="15">
        <v>3</v>
      </c>
      <c r="Y145" s="15" t="s">
        <v>581</v>
      </c>
      <c r="Z145" s="15">
        <v>0.5</v>
      </c>
      <c r="AA145" s="15" t="s">
        <v>582</v>
      </c>
      <c r="AB145" s="15">
        <v>0</v>
      </c>
      <c r="AC145" s="15" t="s">
        <v>583</v>
      </c>
      <c r="AD145" s="15">
        <v>0.9</v>
      </c>
    </row>
    <row r="146" spans="2:30" x14ac:dyDescent="0.2">
      <c r="B146" s="15">
        <v>13.95924000740051</v>
      </c>
      <c r="C146" s="15">
        <v>0.48890369967405711</v>
      </c>
      <c r="D146" s="15">
        <v>0.42845077514648439</v>
      </c>
      <c r="E146" s="15">
        <v>6.9481042923874844E-2</v>
      </c>
      <c r="F146" s="15">
        <v>-1.001045344741782</v>
      </c>
      <c r="G146" s="15">
        <v>2.9399434669542699E-3</v>
      </c>
      <c r="H146" s="15">
        <v>7</v>
      </c>
      <c r="I146" s="15">
        <v>-1.0020779329799261</v>
      </c>
      <c r="J146" s="15">
        <v>-0.99586558103618927</v>
      </c>
      <c r="K146" s="15">
        <v>-1.0002651439730059</v>
      </c>
      <c r="L146" s="15">
        <v>-1.0046430337203121</v>
      </c>
      <c r="M146" s="15">
        <v>-1.002375031999474</v>
      </c>
      <c r="N146" s="15" t="s">
        <v>442</v>
      </c>
      <c r="O146" s="15" t="s">
        <v>578</v>
      </c>
      <c r="P146" s="15">
        <v>0.9</v>
      </c>
      <c r="Q146" s="15" t="s">
        <v>579</v>
      </c>
      <c r="R146" s="15">
        <v>5.0000000000000001E-3</v>
      </c>
      <c r="S146" s="15" t="s">
        <v>580</v>
      </c>
      <c r="T146" s="15">
        <v>0.5</v>
      </c>
      <c r="U146" s="15" t="s">
        <v>450</v>
      </c>
      <c r="V146" s="15">
        <v>300</v>
      </c>
      <c r="W146" s="15" t="s">
        <v>577</v>
      </c>
      <c r="X146" s="15">
        <v>3</v>
      </c>
      <c r="Y146" s="15" t="s">
        <v>581</v>
      </c>
      <c r="Z146" s="15">
        <v>0.5</v>
      </c>
      <c r="AA146" s="15" t="s">
        <v>582</v>
      </c>
      <c r="AB146" s="15">
        <v>1</v>
      </c>
      <c r="AC146" s="15" t="s">
        <v>583</v>
      </c>
      <c r="AD146" s="15">
        <v>0.9</v>
      </c>
    </row>
    <row r="147" spans="2:30" x14ac:dyDescent="0.2">
      <c r="B147" s="15">
        <v>19.743998813629151</v>
      </c>
      <c r="C147" s="15">
        <v>0.50777074811563228</v>
      </c>
      <c r="D147" s="15">
        <v>0.6155402660369873</v>
      </c>
      <c r="E147" s="15">
        <v>5.6935239158832869E-2</v>
      </c>
      <c r="F147" s="15">
        <v>-0.99925332641012798</v>
      </c>
      <c r="G147" s="15">
        <v>2.7262122592670922E-3</v>
      </c>
      <c r="H147" s="15">
        <v>1</v>
      </c>
      <c r="I147" s="15">
        <v>-0.99999992788499603</v>
      </c>
      <c r="J147" s="15">
        <v>-0.99467921402098447</v>
      </c>
      <c r="K147" s="15">
        <v>-0.9981854692614478</v>
      </c>
      <c r="L147" s="15">
        <v>-1.0028320752885991</v>
      </c>
      <c r="M147" s="15">
        <v>-1.000569945594612</v>
      </c>
      <c r="N147" s="15" t="s">
        <v>442</v>
      </c>
      <c r="O147" s="15" t="s">
        <v>578</v>
      </c>
      <c r="P147" s="15">
        <v>0.8</v>
      </c>
      <c r="Q147" s="15" t="s">
        <v>579</v>
      </c>
      <c r="R147" s="15">
        <v>0.05</v>
      </c>
      <c r="S147" s="15" t="s">
        <v>580</v>
      </c>
      <c r="T147" s="15">
        <v>1</v>
      </c>
      <c r="U147" s="15" t="s">
        <v>450</v>
      </c>
      <c r="V147" s="15">
        <v>400</v>
      </c>
      <c r="W147" s="15" t="s">
        <v>577</v>
      </c>
      <c r="X147" s="15">
        <v>3</v>
      </c>
      <c r="Y147" s="15" t="s">
        <v>581</v>
      </c>
      <c r="Z147" s="15">
        <v>0.2</v>
      </c>
      <c r="AA147" s="15" t="s">
        <v>582</v>
      </c>
      <c r="AB147" s="15">
        <v>0.3</v>
      </c>
      <c r="AC147" s="15" t="s">
        <v>583</v>
      </c>
      <c r="AD147" s="15">
        <v>1</v>
      </c>
    </row>
    <row r="148" spans="2:30" x14ac:dyDescent="0.2">
      <c r="B148" s="15">
        <v>16.020032787323</v>
      </c>
      <c r="C148" s="15">
        <v>0.35599495417442828</v>
      </c>
      <c r="D148" s="15">
        <v>1.101017618179321</v>
      </c>
      <c r="E148" s="15">
        <v>0.10070313607887529</v>
      </c>
      <c r="F148" s="15">
        <v>-1.0129020950309711</v>
      </c>
      <c r="G148" s="15">
        <v>3.445142442534519E-3</v>
      </c>
      <c r="H148" s="15">
        <v>33</v>
      </c>
      <c r="I148" s="15">
        <v>-1.014882586254803</v>
      </c>
      <c r="J148" s="15">
        <v>-1.0073036524775261</v>
      </c>
      <c r="K148" s="15">
        <v>-1.0113949976522429</v>
      </c>
      <c r="L148" s="15">
        <v>-1.017547372742414</v>
      </c>
      <c r="M148" s="15">
        <v>-1.0133818660278671</v>
      </c>
      <c r="N148" s="15" t="s">
        <v>442</v>
      </c>
      <c r="O148" s="15" t="s">
        <v>578</v>
      </c>
      <c r="P148" s="15">
        <v>0.8</v>
      </c>
      <c r="Q148" s="15" t="s">
        <v>579</v>
      </c>
      <c r="R148" s="15">
        <v>0.01</v>
      </c>
      <c r="S148" s="15" t="s">
        <v>580</v>
      </c>
      <c r="T148" s="15">
        <v>0</v>
      </c>
      <c r="U148" s="15" t="s">
        <v>450</v>
      </c>
      <c r="V148" s="15">
        <v>200</v>
      </c>
      <c r="W148" s="15" t="s">
        <v>577</v>
      </c>
      <c r="X148" s="15">
        <v>8</v>
      </c>
      <c r="Y148" s="15" t="s">
        <v>581</v>
      </c>
      <c r="Z148" s="15">
        <v>0.2</v>
      </c>
      <c r="AA148" s="15" t="s">
        <v>582</v>
      </c>
      <c r="AB148" s="15">
        <v>0</v>
      </c>
      <c r="AC148" s="15" t="s">
        <v>583</v>
      </c>
      <c r="AD148" s="15">
        <v>0.7</v>
      </c>
    </row>
    <row r="149" spans="2:30" x14ac:dyDescent="0.2">
      <c r="B149" s="15">
        <v>22.000343036651611</v>
      </c>
      <c r="C149" s="15">
        <v>1.0576129289831091</v>
      </c>
      <c r="D149" s="15">
        <v>0.84614424705505376</v>
      </c>
      <c r="E149" s="15">
        <v>4.4699048273269162E-2</v>
      </c>
      <c r="F149" s="15">
        <v>-1.029472113589365</v>
      </c>
      <c r="G149" s="15">
        <v>2.8759266461703191E-3</v>
      </c>
      <c r="H149" s="15">
        <v>48</v>
      </c>
      <c r="I149" s="15">
        <v>-1.0305895971854759</v>
      </c>
      <c r="J149" s="15">
        <v>-1.025632509197828</v>
      </c>
      <c r="K149" s="15">
        <v>-1.026776606738018</v>
      </c>
      <c r="L149" s="15">
        <v>-1.033489043817065</v>
      </c>
      <c r="M149" s="15">
        <v>-1.0308728110084411</v>
      </c>
      <c r="N149" s="15" t="s">
        <v>442</v>
      </c>
      <c r="O149" s="15" t="s">
        <v>578</v>
      </c>
      <c r="P149" s="15">
        <v>0.6</v>
      </c>
      <c r="Q149" s="15" t="s">
        <v>579</v>
      </c>
      <c r="R149" s="15">
        <v>1</v>
      </c>
      <c r="S149" s="15" t="s">
        <v>580</v>
      </c>
      <c r="T149" s="15">
        <v>0.1</v>
      </c>
      <c r="U149" s="15" t="s">
        <v>450</v>
      </c>
      <c r="V149" s="15">
        <v>300</v>
      </c>
      <c r="W149" s="15" t="s">
        <v>577</v>
      </c>
      <c r="X149" s="15">
        <v>5</v>
      </c>
      <c r="Y149" s="15" t="s">
        <v>581</v>
      </c>
      <c r="Z149" s="15">
        <v>0.01</v>
      </c>
      <c r="AA149" s="15" t="s">
        <v>582</v>
      </c>
      <c r="AB149" s="15">
        <v>0.8</v>
      </c>
      <c r="AC149" s="15" t="s">
        <v>583</v>
      </c>
      <c r="AD149" s="15">
        <v>0.7</v>
      </c>
    </row>
    <row r="150" spans="2:30" x14ac:dyDescent="0.2">
      <c r="B150" s="15">
        <v>17.860282993316648</v>
      </c>
      <c r="C150" s="15">
        <v>0.29459569183805029</v>
      </c>
      <c r="D150" s="15">
        <v>1.69805383682251</v>
      </c>
      <c r="E150" s="15">
        <v>6.8949046852765483E-2</v>
      </c>
      <c r="F150" s="15">
        <v>-1.079755143216937</v>
      </c>
      <c r="G150" s="15">
        <v>2.156323730265087E-3</v>
      </c>
      <c r="H150" s="15">
        <v>72</v>
      </c>
      <c r="I150" s="15">
        <v>-1.0765801665105259</v>
      </c>
      <c r="J150" s="15">
        <v>-1.078238728208647</v>
      </c>
      <c r="K150" s="15">
        <v>-1.079785721996058</v>
      </c>
      <c r="L150" s="15">
        <v>-1.082030119941163</v>
      </c>
      <c r="M150" s="15">
        <v>-1.082140979428289</v>
      </c>
      <c r="N150" s="15" t="s">
        <v>442</v>
      </c>
      <c r="O150" s="15" t="s">
        <v>578</v>
      </c>
      <c r="P150" s="15">
        <v>0.6</v>
      </c>
      <c r="Q150" s="15" t="s">
        <v>579</v>
      </c>
      <c r="R150" s="15">
        <v>0.01</v>
      </c>
      <c r="S150" s="15" t="s">
        <v>580</v>
      </c>
      <c r="T150" s="15">
        <v>0</v>
      </c>
      <c r="U150" s="15" t="s">
        <v>450</v>
      </c>
      <c r="V150" s="15">
        <v>100</v>
      </c>
      <c r="W150" s="15" t="s">
        <v>577</v>
      </c>
      <c r="X150" s="15">
        <v>13</v>
      </c>
      <c r="Y150" s="15" t="s">
        <v>581</v>
      </c>
      <c r="Z150" s="15">
        <v>0.2</v>
      </c>
      <c r="AA150" s="15" t="s">
        <v>582</v>
      </c>
      <c r="AB150" s="15">
        <v>0.5</v>
      </c>
      <c r="AC150" s="15" t="s">
        <v>583</v>
      </c>
      <c r="AD150" s="15">
        <v>0.9</v>
      </c>
    </row>
    <row r="151" spans="2:30" x14ac:dyDescent="0.2">
      <c r="B151" s="15">
        <v>21.238622045516969</v>
      </c>
      <c r="C151" s="15">
        <v>0.73045658002961023</v>
      </c>
      <c r="D151" s="15">
        <v>0.71202230453491211</v>
      </c>
      <c r="E151" s="15">
        <v>7.463862217136874E-2</v>
      </c>
      <c r="F151" s="15">
        <v>-1.0265870374173851</v>
      </c>
      <c r="G151" s="15">
        <v>2.7014154686307258E-3</v>
      </c>
      <c r="H151" s="15">
        <v>42</v>
      </c>
      <c r="I151" s="15">
        <v>-1.027653825849449</v>
      </c>
      <c r="J151" s="15">
        <v>-1.0226816918020321</v>
      </c>
      <c r="K151" s="15">
        <v>-1.025229373149064</v>
      </c>
      <c r="L151" s="15">
        <v>-1.030858978430458</v>
      </c>
      <c r="M151" s="15">
        <v>-1.026511317855922</v>
      </c>
      <c r="N151" s="15" t="s">
        <v>442</v>
      </c>
      <c r="O151" s="15" t="s">
        <v>578</v>
      </c>
      <c r="P151" s="15">
        <v>0.9</v>
      </c>
      <c r="Q151" s="15" t="s">
        <v>579</v>
      </c>
      <c r="R151" s="15">
        <v>0.1</v>
      </c>
      <c r="S151" s="15" t="s">
        <v>580</v>
      </c>
      <c r="T151" s="15">
        <v>0</v>
      </c>
      <c r="U151" s="15" t="s">
        <v>450</v>
      </c>
      <c r="V151" s="15">
        <v>400</v>
      </c>
      <c r="W151" s="15" t="s">
        <v>577</v>
      </c>
      <c r="X151" s="15">
        <v>13</v>
      </c>
      <c r="Y151" s="15" t="s">
        <v>581</v>
      </c>
      <c r="Z151" s="15">
        <v>0.2</v>
      </c>
      <c r="AA151" s="15" t="s">
        <v>582</v>
      </c>
      <c r="AB151" s="15">
        <v>1</v>
      </c>
      <c r="AC151" s="15" t="s">
        <v>583</v>
      </c>
      <c r="AD151" s="15">
        <v>0.7</v>
      </c>
    </row>
    <row r="152" spans="2:30" x14ac:dyDescent="0.2">
      <c r="B152" s="15">
        <v>6.058117151260376</v>
      </c>
      <c r="C152" s="15">
        <v>0.19964385438741569</v>
      </c>
      <c r="D152" s="15">
        <v>0.17880721092224119</v>
      </c>
      <c r="E152" s="15">
        <v>4.2661025962116267E-2</v>
      </c>
      <c r="F152" s="15">
        <v>-1.005210461127036</v>
      </c>
      <c r="G152" s="15">
        <v>2.3540450918312431E-3</v>
      </c>
      <c r="H152" s="15">
        <v>23</v>
      </c>
      <c r="I152" s="15">
        <v>-1.0065094886456489</v>
      </c>
      <c r="J152" s="15">
        <v>-1.0012788341209651</v>
      </c>
      <c r="K152" s="15">
        <v>-1.0042571015823709</v>
      </c>
      <c r="L152" s="15">
        <v>-1.0082730926724841</v>
      </c>
      <c r="M152" s="15">
        <v>-1.0057337886137141</v>
      </c>
      <c r="N152" s="15" t="s">
        <v>442</v>
      </c>
      <c r="O152" s="15" t="s">
        <v>578</v>
      </c>
      <c r="P152" s="15">
        <v>0.7</v>
      </c>
      <c r="Q152" s="15" t="s">
        <v>579</v>
      </c>
      <c r="R152" s="15">
        <v>5.0000000000000001E-3</v>
      </c>
      <c r="S152" s="15" t="s">
        <v>580</v>
      </c>
      <c r="T152" s="15">
        <v>5.0000000000000001E-3</v>
      </c>
      <c r="U152" s="15" t="s">
        <v>450</v>
      </c>
      <c r="V152" s="15">
        <v>100</v>
      </c>
      <c r="W152" s="15" t="s">
        <v>577</v>
      </c>
      <c r="X152" s="15">
        <v>3</v>
      </c>
      <c r="Y152" s="15" t="s">
        <v>581</v>
      </c>
      <c r="Z152" s="15">
        <v>0.5</v>
      </c>
      <c r="AA152" s="15" t="s">
        <v>582</v>
      </c>
      <c r="AB152" s="15">
        <v>0.8</v>
      </c>
      <c r="AC152" s="15" t="s">
        <v>583</v>
      </c>
      <c r="AD152" s="15">
        <v>0.8</v>
      </c>
    </row>
    <row r="153" spans="2:30" x14ac:dyDescent="0.2">
      <c r="B153" s="15">
        <v>10.6364604473114</v>
      </c>
      <c r="C153" s="15">
        <v>0.19795574814350561</v>
      </c>
      <c r="D153" s="15">
        <v>1.032362222671509</v>
      </c>
      <c r="E153" s="15">
        <v>0.25025679736896211</v>
      </c>
      <c r="F153" s="15">
        <v>-1.11822619097636</v>
      </c>
      <c r="G153" s="15">
        <v>3.133753407727619E-3</v>
      </c>
      <c r="H153" s="15">
        <v>81</v>
      </c>
      <c r="I153" s="15">
        <v>-1.1171296074251791</v>
      </c>
      <c r="J153" s="15">
        <v>-1.1145011669129321</v>
      </c>
      <c r="K153" s="15">
        <v>-1.1166747515059821</v>
      </c>
      <c r="L153" s="15">
        <v>-1.11903480331988</v>
      </c>
      <c r="M153" s="15">
        <v>-1.123790625717827</v>
      </c>
      <c r="N153" s="15" t="s">
        <v>442</v>
      </c>
      <c r="O153" s="15" t="s">
        <v>578</v>
      </c>
      <c r="P153" s="15">
        <v>0.6</v>
      </c>
      <c r="Q153" s="15" t="s">
        <v>579</v>
      </c>
      <c r="R153" s="15">
        <v>1</v>
      </c>
      <c r="S153" s="15" t="s">
        <v>580</v>
      </c>
      <c r="T153" s="15">
        <v>0.1</v>
      </c>
      <c r="U153" s="15" t="s">
        <v>450</v>
      </c>
      <c r="V153" s="15">
        <v>100</v>
      </c>
      <c r="W153" s="15" t="s">
        <v>577</v>
      </c>
      <c r="X153" s="15">
        <v>21</v>
      </c>
      <c r="Y153" s="15" t="s">
        <v>581</v>
      </c>
      <c r="Z153" s="15">
        <v>0.5</v>
      </c>
      <c r="AA153" s="15" t="s">
        <v>582</v>
      </c>
      <c r="AB153" s="15">
        <v>1</v>
      </c>
      <c r="AC153" s="15" t="s">
        <v>583</v>
      </c>
      <c r="AD153" s="15">
        <v>0.6</v>
      </c>
    </row>
    <row r="154" spans="2:30" x14ac:dyDescent="0.2">
      <c r="B154" s="15">
        <v>35.957707786560057</v>
      </c>
      <c r="C154" s="15">
        <v>0.54489517925985143</v>
      </c>
      <c r="D154" s="15">
        <v>0.21043972969055169</v>
      </c>
      <c r="E154" s="15">
        <v>2.8788063653578961E-2</v>
      </c>
      <c r="F154" s="15">
        <v>-1.2784085666246541</v>
      </c>
      <c r="G154" s="15">
        <v>3.608519669174283E-3</v>
      </c>
      <c r="H154" s="15">
        <v>96</v>
      </c>
      <c r="I154" s="15">
        <v>-1.276340393396217</v>
      </c>
      <c r="J154" s="15">
        <v>-1.2749011164591391</v>
      </c>
      <c r="K154" s="15">
        <v>-1.28113965449388</v>
      </c>
      <c r="L154" s="15">
        <v>-1.2841333331797271</v>
      </c>
      <c r="M154" s="15">
        <v>-1.275528335594307</v>
      </c>
      <c r="N154" s="15" t="s">
        <v>442</v>
      </c>
      <c r="O154" s="15" t="s">
        <v>578</v>
      </c>
      <c r="P154" s="15">
        <v>0.9</v>
      </c>
      <c r="Q154" s="15" t="s">
        <v>579</v>
      </c>
      <c r="R154" s="15">
        <v>0.05</v>
      </c>
      <c r="S154" s="15" t="s">
        <v>580</v>
      </c>
      <c r="T154" s="15">
        <v>1E-3</v>
      </c>
      <c r="U154" s="15" t="s">
        <v>450</v>
      </c>
      <c r="V154" s="15">
        <v>100</v>
      </c>
      <c r="W154" s="15" t="s">
        <v>577</v>
      </c>
      <c r="X154" s="15">
        <v>21</v>
      </c>
      <c r="Y154" s="15" t="s">
        <v>581</v>
      </c>
      <c r="Z154" s="15">
        <v>0.8</v>
      </c>
      <c r="AA154" s="15" t="s">
        <v>582</v>
      </c>
      <c r="AB154" s="15">
        <v>0.6</v>
      </c>
      <c r="AC154" s="15" t="s">
        <v>583</v>
      </c>
      <c r="AD154" s="15">
        <v>1</v>
      </c>
    </row>
    <row r="155" spans="2:30" x14ac:dyDescent="0.2">
      <c r="B155" s="15">
        <v>14.636243486404419</v>
      </c>
      <c r="C155" s="15">
        <v>0.85208855202038214</v>
      </c>
      <c r="D155" s="15">
        <v>0.23747425079345699</v>
      </c>
      <c r="E155" s="15">
        <v>9.0931240229137362E-3</v>
      </c>
      <c r="F155" s="15">
        <v>-1.199902473623333</v>
      </c>
      <c r="G155" s="15">
        <v>1.3977042560658921E-2</v>
      </c>
      <c r="H155" s="15">
        <v>91</v>
      </c>
      <c r="I155" s="15">
        <v>-1.205881858297231</v>
      </c>
      <c r="J155" s="15">
        <v>-1.172530687966985</v>
      </c>
      <c r="K155" s="15">
        <v>-1.205999369335836</v>
      </c>
      <c r="L155" s="15">
        <v>-1.211890302556957</v>
      </c>
      <c r="M155" s="15">
        <v>-1.203210149959657</v>
      </c>
      <c r="N155" s="15" t="s">
        <v>442</v>
      </c>
      <c r="O155" s="15" t="s">
        <v>578</v>
      </c>
      <c r="P155" s="15">
        <v>1</v>
      </c>
      <c r="Q155" s="15" t="s">
        <v>579</v>
      </c>
      <c r="R155" s="15">
        <v>5.0000000000000001E-3</v>
      </c>
      <c r="S155" s="15" t="s">
        <v>580</v>
      </c>
      <c r="T155" s="15">
        <v>0.1</v>
      </c>
      <c r="U155" s="15" t="s">
        <v>450</v>
      </c>
      <c r="V155" s="15">
        <v>300</v>
      </c>
      <c r="W155" s="15" t="s">
        <v>577</v>
      </c>
      <c r="X155" s="15">
        <v>21</v>
      </c>
      <c r="Y155" s="15" t="s">
        <v>581</v>
      </c>
      <c r="Z155" s="15">
        <v>0.8</v>
      </c>
      <c r="AA155" s="15" t="s">
        <v>582</v>
      </c>
      <c r="AB155" s="15">
        <v>0.8</v>
      </c>
      <c r="AC155" s="15" t="s">
        <v>583</v>
      </c>
      <c r="AD155" s="15">
        <v>0.7</v>
      </c>
    </row>
    <row r="156" spans="2:30" x14ac:dyDescent="0.2">
      <c r="B156" s="15">
        <v>23.724143791198731</v>
      </c>
      <c r="C156" s="15">
        <v>0.90877972989663713</v>
      </c>
      <c r="D156" s="15">
        <v>2.9351016521453861</v>
      </c>
      <c r="E156" s="15">
        <v>0.12901877440113091</v>
      </c>
      <c r="F156" s="15">
        <v>-1.048960476841996</v>
      </c>
      <c r="G156" s="15">
        <v>2.8352366425724689E-3</v>
      </c>
      <c r="H156" s="15">
        <v>63</v>
      </c>
      <c r="I156" s="15">
        <v>-1.050572537301798</v>
      </c>
      <c r="J156" s="15">
        <v>-1.045383061813741</v>
      </c>
      <c r="K156" s="15">
        <v>-1.04654503163424</v>
      </c>
      <c r="L156" s="15">
        <v>-1.0533149143909559</v>
      </c>
      <c r="M156" s="15">
        <v>-1.0489868390692469</v>
      </c>
      <c r="N156" s="15" t="s">
        <v>442</v>
      </c>
      <c r="O156" s="15" t="s">
        <v>578</v>
      </c>
      <c r="P156" s="15">
        <v>0.6</v>
      </c>
      <c r="Q156" s="15" t="s">
        <v>579</v>
      </c>
      <c r="R156" s="15">
        <v>0.05</v>
      </c>
      <c r="S156" s="15" t="s">
        <v>580</v>
      </c>
      <c r="T156" s="15">
        <v>0</v>
      </c>
      <c r="U156" s="15" t="s">
        <v>450</v>
      </c>
      <c r="V156" s="15">
        <v>100</v>
      </c>
      <c r="W156" s="15" t="s">
        <v>577</v>
      </c>
      <c r="X156" s="15">
        <v>13</v>
      </c>
      <c r="Y156" s="15" t="s">
        <v>581</v>
      </c>
      <c r="Z156" s="15">
        <v>0.01</v>
      </c>
      <c r="AA156" s="15" t="s">
        <v>582</v>
      </c>
      <c r="AB156" s="15">
        <v>0</v>
      </c>
      <c r="AC156" s="15" t="s">
        <v>583</v>
      </c>
      <c r="AD156" s="15">
        <v>0.9</v>
      </c>
    </row>
    <row r="157" spans="2:30" x14ac:dyDescent="0.2">
      <c r="B157" s="15">
        <v>21.127091264724729</v>
      </c>
      <c r="C157" s="15">
        <v>0.26008718356818128</v>
      </c>
      <c r="D157" s="15">
        <v>0.70598397254943845</v>
      </c>
      <c r="E157" s="15">
        <v>4.7152719024258591E-2</v>
      </c>
      <c r="F157" s="15">
        <v>-1.0294476562987609</v>
      </c>
      <c r="G157" s="15">
        <v>2.851698984148878E-3</v>
      </c>
      <c r="H157" s="15">
        <v>47</v>
      </c>
      <c r="I157" s="15">
        <v>-1.030578257430012</v>
      </c>
      <c r="J157" s="15">
        <v>-1.025669507310224</v>
      </c>
      <c r="K157" s="15">
        <v>-1.0267504519749491</v>
      </c>
      <c r="L157" s="15">
        <v>-1.033452355113041</v>
      </c>
      <c r="M157" s="15">
        <v>-1.03078770966558</v>
      </c>
      <c r="N157" s="15" t="s">
        <v>442</v>
      </c>
      <c r="O157" s="15" t="s">
        <v>578</v>
      </c>
      <c r="P157" s="15">
        <v>0.6</v>
      </c>
      <c r="Q157" s="15" t="s">
        <v>579</v>
      </c>
      <c r="R157" s="15">
        <v>1E-3</v>
      </c>
      <c r="S157" s="15" t="s">
        <v>580</v>
      </c>
      <c r="T157" s="15">
        <v>1E-3</v>
      </c>
      <c r="U157" s="15" t="s">
        <v>450</v>
      </c>
      <c r="V157" s="15">
        <v>300</v>
      </c>
      <c r="W157" s="15" t="s">
        <v>577</v>
      </c>
      <c r="X157" s="15">
        <v>5</v>
      </c>
      <c r="Y157" s="15" t="s">
        <v>581</v>
      </c>
      <c r="Z157" s="15">
        <v>0.01</v>
      </c>
      <c r="AA157" s="15" t="s">
        <v>582</v>
      </c>
      <c r="AB157" s="15">
        <v>0.9</v>
      </c>
      <c r="AC157" s="15" t="s">
        <v>583</v>
      </c>
      <c r="AD157" s="15">
        <v>0.8</v>
      </c>
    </row>
    <row r="158" spans="2:30" x14ac:dyDescent="0.2">
      <c r="B158" s="15">
        <v>12.46351218223572</v>
      </c>
      <c r="C158" s="15">
        <v>0.2158146405430896</v>
      </c>
      <c r="D158" s="15">
        <v>0.47753658294677742</v>
      </c>
      <c r="E158" s="15">
        <v>2.01447440837784E-2</v>
      </c>
      <c r="F158" s="15">
        <v>-0.99983728935095739</v>
      </c>
      <c r="G158" s="15">
        <v>2.8355633643840639E-3</v>
      </c>
      <c r="H158" s="15">
        <v>3</v>
      </c>
      <c r="I158" s="15">
        <v>-1.0006338916380859</v>
      </c>
      <c r="J158" s="15">
        <v>-0.99507236041960778</v>
      </c>
      <c r="K158" s="15">
        <v>-0.99873918042160392</v>
      </c>
      <c r="L158" s="15">
        <v>-1.003558519576905</v>
      </c>
      <c r="M158" s="15">
        <v>-1.0011824946985839</v>
      </c>
      <c r="N158" s="15" t="s">
        <v>442</v>
      </c>
      <c r="O158" s="15" t="s">
        <v>578</v>
      </c>
      <c r="P158" s="15">
        <v>0.9</v>
      </c>
      <c r="Q158" s="15" t="s">
        <v>579</v>
      </c>
      <c r="R158" s="15">
        <v>5.0000000000000001E-3</v>
      </c>
      <c r="S158" s="15" t="s">
        <v>580</v>
      </c>
      <c r="T158" s="15">
        <v>0.1</v>
      </c>
      <c r="U158" s="15" t="s">
        <v>450</v>
      </c>
      <c r="V158" s="15">
        <v>200</v>
      </c>
      <c r="W158" s="15" t="s">
        <v>577</v>
      </c>
      <c r="X158" s="15">
        <v>5</v>
      </c>
      <c r="Y158" s="15" t="s">
        <v>581</v>
      </c>
      <c r="Z158" s="15">
        <v>0.1</v>
      </c>
      <c r="AA158" s="15" t="s">
        <v>582</v>
      </c>
      <c r="AB158" s="15">
        <v>0.6</v>
      </c>
      <c r="AC158" s="15" t="s">
        <v>583</v>
      </c>
      <c r="AD158" s="15">
        <v>1</v>
      </c>
    </row>
    <row r="159" spans="2:30" x14ac:dyDescent="0.2">
      <c r="B159" s="15">
        <v>13.245358848571779</v>
      </c>
      <c r="C159" s="15">
        <v>0.40827990586797808</v>
      </c>
      <c r="D159" s="15">
        <v>0.56868224143981938</v>
      </c>
      <c r="E159" s="15">
        <v>6.0322802799010151E-2</v>
      </c>
      <c r="F159" s="15">
        <v>-1.024790491476202</v>
      </c>
      <c r="G159" s="15">
        <v>3.730899678043114E-3</v>
      </c>
      <c r="H159" s="15">
        <v>41</v>
      </c>
      <c r="I159" s="15">
        <v>-1.028815652503289</v>
      </c>
      <c r="J159" s="15">
        <v>-1.0182767857354269</v>
      </c>
      <c r="K159" s="15">
        <v>-1.0238885832107849</v>
      </c>
      <c r="L159" s="15">
        <v>-1.0279700956208231</v>
      </c>
      <c r="M159" s="15">
        <v>-1.025001340310687</v>
      </c>
      <c r="N159" s="15" t="s">
        <v>442</v>
      </c>
      <c r="O159" s="15" t="s">
        <v>578</v>
      </c>
      <c r="P159" s="15">
        <v>0.7</v>
      </c>
      <c r="Q159" s="15" t="s">
        <v>579</v>
      </c>
      <c r="R159" s="15">
        <v>0.01</v>
      </c>
      <c r="S159" s="15" t="s">
        <v>580</v>
      </c>
      <c r="T159" s="15">
        <v>0.01</v>
      </c>
      <c r="U159" s="15" t="s">
        <v>450</v>
      </c>
      <c r="V159" s="15">
        <v>200</v>
      </c>
      <c r="W159" s="15" t="s">
        <v>577</v>
      </c>
      <c r="X159" s="15">
        <v>5</v>
      </c>
      <c r="Y159" s="15" t="s">
        <v>581</v>
      </c>
      <c r="Z159" s="15">
        <v>0.8</v>
      </c>
      <c r="AA159" s="15" t="s">
        <v>582</v>
      </c>
      <c r="AB159" s="15">
        <v>0.5</v>
      </c>
      <c r="AC159" s="15" t="s">
        <v>583</v>
      </c>
      <c r="AD159" s="15">
        <v>0.7</v>
      </c>
    </row>
    <row r="160" spans="2:30" x14ac:dyDescent="0.2">
      <c r="B160" s="15">
        <v>29.569556427001949</v>
      </c>
      <c r="C160" s="15">
        <v>0.35855199082021272</v>
      </c>
      <c r="D160" s="15">
        <v>3.8861860275268549</v>
      </c>
      <c r="E160" s="15">
        <v>0.18451531156257919</v>
      </c>
      <c r="F160" s="15">
        <v>-1.568632877481098</v>
      </c>
      <c r="G160" s="15">
        <v>3.835636274423594E-3</v>
      </c>
      <c r="H160" s="15">
        <v>99</v>
      </c>
      <c r="I160" s="15">
        <v>-1.5744412024627901</v>
      </c>
      <c r="J160" s="15">
        <v>-1.571186801006986</v>
      </c>
      <c r="K160" s="15">
        <v>-1.567141218651019</v>
      </c>
      <c r="L160" s="15">
        <v>-1.563264474218631</v>
      </c>
      <c r="M160" s="15">
        <v>-1.5671306910660641</v>
      </c>
      <c r="N160" s="15" t="s">
        <v>442</v>
      </c>
      <c r="O160" s="15" t="s">
        <v>578</v>
      </c>
      <c r="P160" s="15">
        <v>0.6</v>
      </c>
      <c r="Q160" s="15" t="s">
        <v>579</v>
      </c>
      <c r="R160" s="15">
        <v>0.05</v>
      </c>
      <c r="S160" s="15" t="s">
        <v>580</v>
      </c>
      <c r="T160" s="15">
        <v>0.1</v>
      </c>
      <c r="U160" s="15" t="s">
        <v>450</v>
      </c>
      <c r="V160" s="15">
        <v>200</v>
      </c>
      <c r="W160" s="15" t="s">
        <v>577</v>
      </c>
      <c r="X160" s="15">
        <v>13</v>
      </c>
      <c r="Y160" s="15" t="s">
        <v>581</v>
      </c>
      <c r="Z160" s="15">
        <v>0.8</v>
      </c>
      <c r="AA160" s="15" t="s">
        <v>582</v>
      </c>
      <c r="AB160" s="15">
        <v>0.4</v>
      </c>
      <c r="AC160" s="15" t="s">
        <v>583</v>
      </c>
      <c r="AD160" s="15">
        <v>0.7</v>
      </c>
    </row>
    <row r="161" spans="2:30" x14ac:dyDescent="0.2">
      <c r="B161" s="15">
        <v>6.5717785358428964</v>
      </c>
      <c r="C161" s="15">
        <v>0.3442907001702305</v>
      </c>
      <c r="D161" s="15">
        <v>0.18279852867126459</v>
      </c>
      <c r="E161" s="15">
        <v>2.3677841536425499E-2</v>
      </c>
      <c r="F161" s="15">
        <v>-1.0112560768507519</v>
      </c>
      <c r="G161" s="15">
        <v>3.2666998962789218E-3</v>
      </c>
      <c r="H161" s="15">
        <v>30</v>
      </c>
      <c r="I161" s="15">
        <v>-1.0111618003915559</v>
      </c>
      <c r="J161" s="15">
        <v>-1.006774775212709</v>
      </c>
      <c r="K161" s="15">
        <v>-1.009015848266031</v>
      </c>
      <c r="L161" s="15">
        <v>-1.0162481920091859</v>
      </c>
      <c r="M161" s="15">
        <v>-1.0130797683742789</v>
      </c>
      <c r="N161" s="15" t="s">
        <v>442</v>
      </c>
      <c r="O161" s="15" t="s">
        <v>578</v>
      </c>
      <c r="P161" s="15">
        <v>0.9</v>
      </c>
      <c r="Q161" s="15" t="s">
        <v>579</v>
      </c>
      <c r="R161" s="15">
        <v>0.05</v>
      </c>
      <c r="S161" s="15" t="s">
        <v>580</v>
      </c>
      <c r="T161" s="15">
        <v>0.1</v>
      </c>
      <c r="U161" s="15" t="s">
        <v>450</v>
      </c>
      <c r="V161" s="15">
        <v>100</v>
      </c>
      <c r="W161" s="15" t="s">
        <v>577</v>
      </c>
      <c r="X161" s="15">
        <v>3</v>
      </c>
      <c r="Y161" s="15" t="s">
        <v>581</v>
      </c>
      <c r="Z161" s="15">
        <v>0.2</v>
      </c>
      <c r="AA161" s="15" t="s">
        <v>582</v>
      </c>
      <c r="AB161" s="15">
        <v>0.5</v>
      </c>
      <c r="AC161" s="15" t="s">
        <v>583</v>
      </c>
      <c r="AD161" s="15">
        <v>0.7</v>
      </c>
    </row>
    <row r="162" spans="2:30" x14ac:dyDescent="0.2">
      <c r="B162" s="15">
        <v>7.2767965793609619</v>
      </c>
      <c r="C162" s="15">
        <v>0.47554649832715978</v>
      </c>
      <c r="D162" s="15">
        <v>0.5408498287200928</v>
      </c>
      <c r="E162" s="15">
        <v>8.1330195954828571E-2</v>
      </c>
      <c r="F162" s="15">
        <v>-1.000564980786314</v>
      </c>
      <c r="G162" s="15">
        <v>2.8281812605991251E-3</v>
      </c>
      <c r="H162" s="15">
        <v>5</v>
      </c>
      <c r="I162" s="15">
        <v>-1.001508821715456</v>
      </c>
      <c r="J162" s="15">
        <v>-0.99601046765194934</v>
      </c>
      <c r="K162" s="15">
        <v>-0.99933854039693282</v>
      </c>
      <c r="L162" s="15">
        <v>-1.004589095470634</v>
      </c>
      <c r="M162" s="15">
        <v>-1.0013779786965991</v>
      </c>
      <c r="N162" s="15" t="s">
        <v>442</v>
      </c>
      <c r="O162" s="15" t="s">
        <v>578</v>
      </c>
      <c r="P162" s="15">
        <v>1</v>
      </c>
      <c r="Q162" s="15" t="s">
        <v>579</v>
      </c>
      <c r="R162" s="15">
        <v>1</v>
      </c>
      <c r="S162" s="15" t="s">
        <v>580</v>
      </c>
      <c r="T162" s="15">
        <v>0.1</v>
      </c>
      <c r="U162" s="15" t="s">
        <v>450</v>
      </c>
      <c r="V162" s="15">
        <v>200</v>
      </c>
      <c r="W162" s="15" t="s">
        <v>577</v>
      </c>
      <c r="X162" s="15">
        <v>5</v>
      </c>
      <c r="Y162" s="15" t="s">
        <v>581</v>
      </c>
      <c r="Z162" s="15">
        <v>0.2</v>
      </c>
      <c r="AA162" s="15" t="s">
        <v>582</v>
      </c>
      <c r="AB162" s="15">
        <v>0.5</v>
      </c>
      <c r="AC162" s="15" t="s">
        <v>583</v>
      </c>
      <c r="AD162" s="15">
        <v>0.6</v>
      </c>
    </row>
    <row r="163" spans="2:30" x14ac:dyDescent="0.2">
      <c r="B163" s="15">
        <v>52.66758842468262</v>
      </c>
      <c r="C163" s="15">
        <v>0.24364749055693169</v>
      </c>
      <c r="D163" s="15">
        <v>6.3420143127441406</v>
      </c>
      <c r="E163" s="15">
        <v>9.0729297013422125E-2</v>
      </c>
      <c r="F163" s="15">
        <v>-1.067500579109592</v>
      </c>
      <c r="G163" s="15">
        <v>2.5227674128622188E-3</v>
      </c>
      <c r="H163" s="15">
        <v>70</v>
      </c>
      <c r="I163" s="15">
        <v>-1.067495897762488</v>
      </c>
      <c r="J163" s="15">
        <v>-1.06316454067209</v>
      </c>
      <c r="K163" s="15">
        <v>-1.0670576560429419</v>
      </c>
      <c r="L163" s="15">
        <v>-1.070723882809038</v>
      </c>
      <c r="M163" s="15">
        <v>-1.069060918261399</v>
      </c>
      <c r="N163" s="15" t="s">
        <v>442</v>
      </c>
      <c r="O163" s="15" t="s">
        <v>578</v>
      </c>
      <c r="P163" s="15">
        <v>0.8</v>
      </c>
      <c r="Q163" s="15" t="s">
        <v>579</v>
      </c>
      <c r="R163" s="15">
        <v>0</v>
      </c>
      <c r="S163" s="15" t="s">
        <v>580</v>
      </c>
      <c r="T163" s="15">
        <v>0.1</v>
      </c>
      <c r="U163" s="15" t="s">
        <v>450</v>
      </c>
      <c r="V163" s="15">
        <v>400</v>
      </c>
      <c r="W163" s="15" t="s">
        <v>577</v>
      </c>
      <c r="X163" s="15">
        <v>13</v>
      </c>
      <c r="Y163" s="15" t="s">
        <v>581</v>
      </c>
      <c r="Z163" s="15">
        <v>0.1</v>
      </c>
      <c r="AA163" s="15" t="s">
        <v>582</v>
      </c>
      <c r="AB163" s="15">
        <v>0.2</v>
      </c>
      <c r="AC163" s="15" t="s">
        <v>583</v>
      </c>
      <c r="AD163" s="15">
        <v>0.7</v>
      </c>
    </row>
    <row r="164" spans="2:30" x14ac:dyDescent="0.2">
      <c r="B164" s="15">
        <v>32.280723476409911</v>
      </c>
      <c r="C164" s="15">
        <v>0.84581935120300122</v>
      </c>
      <c r="D164" s="15">
        <v>4.2582839488983151</v>
      </c>
      <c r="E164" s="15">
        <v>8.1773116235784662E-2</v>
      </c>
      <c r="F164" s="15">
        <v>-1.033789066712111</v>
      </c>
      <c r="G164" s="15">
        <v>3.3040039756985591E-3</v>
      </c>
      <c r="H164" s="15">
        <v>55</v>
      </c>
      <c r="I164" s="15">
        <v>-1.034813884725589</v>
      </c>
      <c r="J164" s="15">
        <v>-1.0283169654206681</v>
      </c>
      <c r="K164" s="15">
        <v>-1.0320808093776619</v>
      </c>
      <c r="L164" s="15">
        <v>-1.037795433705895</v>
      </c>
      <c r="M164" s="15">
        <v>-1.035938240330742</v>
      </c>
      <c r="N164" s="15" t="s">
        <v>442</v>
      </c>
      <c r="O164" s="15" t="s">
        <v>578</v>
      </c>
      <c r="P164" s="15">
        <v>0.8</v>
      </c>
      <c r="Q164" s="15" t="s">
        <v>579</v>
      </c>
      <c r="R164" s="15">
        <v>0.5</v>
      </c>
      <c r="S164" s="15" t="s">
        <v>580</v>
      </c>
      <c r="T164" s="15">
        <v>0.05</v>
      </c>
      <c r="U164" s="15" t="s">
        <v>450</v>
      </c>
      <c r="V164" s="15">
        <v>300</v>
      </c>
      <c r="W164" s="15" t="s">
        <v>577</v>
      </c>
      <c r="X164" s="15">
        <v>13</v>
      </c>
      <c r="Y164" s="15" t="s">
        <v>581</v>
      </c>
      <c r="Z164" s="15">
        <v>0.1</v>
      </c>
      <c r="AA164" s="15" t="s">
        <v>582</v>
      </c>
      <c r="AB164" s="15">
        <v>0.4</v>
      </c>
      <c r="AC164" s="15" t="s">
        <v>583</v>
      </c>
      <c r="AD164" s="15">
        <v>0.6</v>
      </c>
    </row>
    <row r="165" spans="2:30" x14ac:dyDescent="0.2">
      <c r="B165" s="15">
        <v>3.774960803985596</v>
      </c>
      <c r="C165" s="15">
        <v>0.32397293510553132</v>
      </c>
      <c r="D165" s="15">
        <v>0.16897068023681641</v>
      </c>
      <c r="E165" s="15">
        <v>9.7249395183355812E-3</v>
      </c>
      <c r="F165" s="15">
        <v>-1.079966398347546</v>
      </c>
      <c r="G165" s="15">
        <v>3.7887454514753112E-3</v>
      </c>
      <c r="H165" s="15">
        <v>73</v>
      </c>
      <c r="I165" s="15">
        <v>-1.079110787391123</v>
      </c>
      <c r="J165" s="15">
        <v>-1.0742622115545519</v>
      </c>
      <c r="K165" s="15">
        <v>-1.081133780369995</v>
      </c>
      <c r="L165" s="15">
        <v>-1.0860242493308221</v>
      </c>
      <c r="M165" s="15">
        <v>-1.0793009630912369</v>
      </c>
      <c r="N165" s="15" t="s">
        <v>442</v>
      </c>
      <c r="O165" s="15" t="s">
        <v>578</v>
      </c>
      <c r="P165" s="15">
        <v>1</v>
      </c>
      <c r="Q165" s="15" t="s">
        <v>579</v>
      </c>
      <c r="R165" s="15">
        <v>0.5</v>
      </c>
      <c r="S165" s="15" t="s">
        <v>580</v>
      </c>
      <c r="T165" s="15">
        <v>0.05</v>
      </c>
      <c r="U165" s="15" t="s">
        <v>450</v>
      </c>
      <c r="V165" s="15">
        <v>200</v>
      </c>
      <c r="W165" s="15" t="s">
        <v>577</v>
      </c>
      <c r="X165" s="15">
        <v>13</v>
      </c>
      <c r="Y165" s="15" t="s">
        <v>581</v>
      </c>
      <c r="Z165" s="15">
        <v>0.8</v>
      </c>
      <c r="AA165" s="15" t="s">
        <v>582</v>
      </c>
      <c r="AB165" s="15">
        <v>1</v>
      </c>
      <c r="AC165" s="15" t="s">
        <v>583</v>
      </c>
      <c r="AD165" s="15">
        <v>0.9</v>
      </c>
    </row>
    <row r="166" spans="2:30" x14ac:dyDescent="0.2">
      <c r="B166" s="15">
        <v>64.348279523849484</v>
      </c>
      <c r="C166" s="15">
        <v>0.68707395424617834</v>
      </c>
      <c r="D166" s="15">
        <v>2.7511042118072511</v>
      </c>
      <c r="E166" s="15">
        <v>6.2532145340915377E-2</v>
      </c>
      <c r="F166" s="15">
        <v>-1.6950114638376039</v>
      </c>
      <c r="G166" s="15">
        <v>2.967712440326124E-3</v>
      </c>
      <c r="H166" s="15">
        <v>100</v>
      </c>
      <c r="I166" s="15">
        <v>-1.693276450842915</v>
      </c>
      <c r="J166" s="15">
        <v>-1.697013305608724</v>
      </c>
      <c r="K166" s="15">
        <v>-1.693775311201585</v>
      </c>
      <c r="L166" s="15">
        <v>-1.6913115662110001</v>
      </c>
      <c r="M166" s="15">
        <v>-1.6996806853237949</v>
      </c>
      <c r="N166" s="15" t="s">
        <v>442</v>
      </c>
      <c r="O166" s="15" t="s">
        <v>578</v>
      </c>
      <c r="P166" s="15">
        <v>0.7</v>
      </c>
      <c r="Q166" s="15" t="s">
        <v>579</v>
      </c>
      <c r="R166" s="15">
        <v>1E-3</v>
      </c>
      <c r="S166" s="15" t="s">
        <v>580</v>
      </c>
      <c r="T166" s="15">
        <v>0.05</v>
      </c>
      <c r="U166" s="15" t="s">
        <v>450</v>
      </c>
      <c r="V166" s="15">
        <v>100</v>
      </c>
      <c r="W166" s="15" t="s">
        <v>577</v>
      </c>
      <c r="X166" s="15">
        <v>21</v>
      </c>
      <c r="Y166" s="15" t="s">
        <v>581</v>
      </c>
      <c r="Z166" s="15">
        <v>0.8</v>
      </c>
      <c r="AA166" s="15" t="s">
        <v>582</v>
      </c>
      <c r="AB166" s="15">
        <v>0.1</v>
      </c>
      <c r="AC166" s="15" t="s">
        <v>583</v>
      </c>
      <c r="AD166" s="15">
        <v>1</v>
      </c>
    </row>
    <row r="167" spans="2:30" x14ac:dyDescent="0.2">
      <c r="B167" s="15">
        <v>16.48560967445373</v>
      </c>
      <c r="C167" s="15">
        <v>0.54411220524228632</v>
      </c>
      <c r="D167" s="15">
        <v>1.024055576324463</v>
      </c>
      <c r="E167" s="15">
        <v>6.7903643310071177E-2</v>
      </c>
      <c r="F167" s="15">
        <v>-1.0189677154188641</v>
      </c>
      <c r="G167" s="15">
        <v>3.5304852370884182E-3</v>
      </c>
      <c r="H167" s="15">
        <v>39</v>
      </c>
      <c r="I167" s="15">
        <v>-1.0216837525516009</v>
      </c>
      <c r="J167" s="15">
        <v>-1.0126530028627621</v>
      </c>
      <c r="K167" s="15">
        <v>-1.0187471524046721</v>
      </c>
      <c r="L167" s="15">
        <v>-1.0228429437683211</v>
      </c>
      <c r="M167" s="15">
        <v>-1.018911725506964</v>
      </c>
      <c r="N167" s="15" t="s">
        <v>442</v>
      </c>
      <c r="O167" s="15" t="s">
        <v>578</v>
      </c>
      <c r="P167" s="15">
        <v>0.6</v>
      </c>
      <c r="Q167" s="15" t="s">
        <v>579</v>
      </c>
      <c r="R167" s="15">
        <v>0.01</v>
      </c>
      <c r="S167" s="15" t="s">
        <v>580</v>
      </c>
      <c r="T167" s="15">
        <v>0.01</v>
      </c>
      <c r="U167" s="15" t="s">
        <v>450</v>
      </c>
      <c r="V167" s="15">
        <v>200</v>
      </c>
      <c r="W167" s="15" t="s">
        <v>577</v>
      </c>
      <c r="X167" s="15">
        <v>8</v>
      </c>
      <c r="Y167" s="15" t="s">
        <v>581</v>
      </c>
      <c r="Z167" s="15">
        <v>0.2</v>
      </c>
      <c r="AA167" s="15" t="s">
        <v>582</v>
      </c>
      <c r="AB167" s="15">
        <v>0.3</v>
      </c>
      <c r="AC167" s="15" t="s">
        <v>583</v>
      </c>
      <c r="AD167" s="15">
        <v>1</v>
      </c>
    </row>
    <row r="168" spans="2:30" x14ac:dyDescent="0.2">
      <c r="B168" s="15">
        <v>35.432460069656372</v>
      </c>
      <c r="C168" s="15">
        <v>2.453430819985436</v>
      </c>
      <c r="D168" s="15">
        <v>4.4493751525878906</v>
      </c>
      <c r="E168" s="15">
        <v>0.12860482357675199</v>
      </c>
      <c r="F168" s="15">
        <v>-1.1725556637430501</v>
      </c>
      <c r="G168" s="15">
        <v>2.7006387989452342E-3</v>
      </c>
      <c r="H168" s="15">
        <v>85</v>
      </c>
      <c r="I168" s="15">
        <v>-1.1719136661883269</v>
      </c>
      <c r="J168" s="15">
        <v>-1.168056687806263</v>
      </c>
      <c r="K168" s="15">
        <v>-1.173445054175865</v>
      </c>
      <c r="L168" s="15">
        <v>-1.1764113844150661</v>
      </c>
      <c r="M168" s="15">
        <v>-1.172951526129731</v>
      </c>
      <c r="N168" s="15" t="s">
        <v>442</v>
      </c>
      <c r="O168" s="15" t="s">
        <v>578</v>
      </c>
      <c r="P168" s="15">
        <v>0.8</v>
      </c>
      <c r="Q168" s="15" t="s">
        <v>579</v>
      </c>
      <c r="R168" s="15">
        <v>1E-3</v>
      </c>
      <c r="S168" s="15" t="s">
        <v>580</v>
      </c>
      <c r="T168" s="15">
        <v>1</v>
      </c>
      <c r="U168" s="15" t="s">
        <v>450</v>
      </c>
      <c r="V168" s="15">
        <v>400</v>
      </c>
      <c r="W168" s="15" t="s">
        <v>577</v>
      </c>
      <c r="X168" s="15">
        <v>13</v>
      </c>
      <c r="Y168" s="15" t="s">
        <v>581</v>
      </c>
      <c r="Z168" s="15">
        <v>0.5</v>
      </c>
      <c r="AA168" s="15" t="s">
        <v>582</v>
      </c>
      <c r="AB168" s="15">
        <v>0.2</v>
      </c>
      <c r="AC168" s="15" t="s">
        <v>583</v>
      </c>
      <c r="AD168" s="15">
        <v>0.7</v>
      </c>
    </row>
    <row r="169" spans="2:30" x14ac:dyDescent="0.2">
      <c r="B169" s="15">
        <v>57.231760740280151</v>
      </c>
      <c r="C169" s="15">
        <v>1.408411959309765</v>
      </c>
      <c r="D169" s="15">
        <v>1.537702322006226</v>
      </c>
      <c r="E169" s="15">
        <v>0.17151639441850891</v>
      </c>
      <c r="F169" s="15">
        <v>-1.102533049380267</v>
      </c>
      <c r="G169" s="15">
        <v>2.7802331171540092E-3</v>
      </c>
      <c r="H169" s="15">
        <v>79</v>
      </c>
      <c r="I169" s="15">
        <v>-1.102271121611057</v>
      </c>
      <c r="J169" s="15">
        <v>-1.0977677747167041</v>
      </c>
      <c r="K169" s="15">
        <v>-1.104155211213522</v>
      </c>
      <c r="L169" s="15">
        <v>-1.1061647498683009</v>
      </c>
      <c r="M169" s="15">
        <v>-1.10230638949175</v>
      </c>
      <c r="N169" s="15" t="s">
        <v>442</v>
      </c>
      <c r="O169" s="15" t="s">
        <v>578</v>
      </c>
      <c r="P169" s="15">
        <v>0.9</v>
      </c>
      <c r="Q169" s="15" t="s">
        <v>579</v>
      </c>
      <c r="R169" s="15">
        <v>0.1</v>
      </c>
      <c r="S169" s="15" t="s">
        <v>580</v>
      </c>
      <c r="T169" s="15">
        <v>0.1</v>
      </c>
      <c r="U169" s="15" t="s">
        <v>450</v>
      </c>
      <c r="V169" s="15">
        <v>200</v>
      </c>
      <c r="W169" s="15" t="s">
        <v>577</v>
      </c>
      <c r="X169" s="15">
        <v>21</v>
      </c>
      <c r="Y169" s="15" t="s">
        <v>581</v>
      </c>
      <c r="Z169" s="15">
        <v>0.2</v>
      </c>
      <c r="AA169" s="15" t="s">
        <v>582</v>
      </c>
      <c r="AB169" s="15">
        <v>0.2</v>
      </c>
      <c r="AC169" s="15" t="s">
        <v>583</v>
      </c>
      <c r="AD169" s="15">
        <v>1</v>
      </c>
    </row>
    <row r="170" spans="2:30" x14ac:dyDescent="0.2">
      <c r="B170" s="15">
        <v>24.081150770187381</v>
      </c>
      <c r="C170" s="15">
        <v>1.287141922734244</v>
      </c>
      <c r="D170" s="15">
        <v>1.071728801727295</v>
      </c>
      <c r="E170" s="15">
        <v>0.1201342929478398</v>
      </c>
      <c r="F170" s="15">
        <v>-1.0012151185203071</v>
      </c>
      <c r="G170" s="15">
        <v>2.9054734118285981E-3</v>
      </c>
      <c r="H170" s="15">
        <v>13</v>
      </c>
      <c r="I170" s="15">
        <v>-1.0029515229230039</v>
      </c>
      <c r="J170" s="15">
        <v>-0.99635499517725923</v>
      </c>
      <c r="K170" s="15">
        <v>-0.99976851091338403</v>
      </c>
      <c r="L170" s="15">
        <v>-1.004732427002941</v>
      </c>
      <c r="M170" s="15">
        <v>-1.0022681365849451</v>
      </c>
      <c r="N170" s="15" t="s">
        <v>442</v>
      </c>
      <c r="O170" s="15" t="s">
        <v>578</v>
      </c>
      <c r="P170" s="15">
        <v>0.8</v>
      </c>
      <c r="Q170" s="15" t="s">
        <v>579</v>
      </c>
      <c r="R170" s="15">
        <v>0.1</v>
      </c>
      <c r="S170" s="15" t="s">
        <v>580</v>
      </c>
      <c r="T170" s="15">
        <v>0.05</v>
      </c>
      <c r="U170" s="15" t="s">
        <v>450</v>
      </c>
      <c r="V170" s="15">
        <v>400</v>
      </c>
      <c r="W170" s="15" t="s">
        <v>577</v>
      </c>
      <c r="X170" s="15">
        <v>5</v>
      </c>
      <c r="Y170" s="15" t="s">
        <v>581</v>
      </c>
      <c r="Z170" s="15">
        <v>0.2</v>
      </c>
      <c r="AA170" s="15" t="s">
        <v>582</v>
      </c>
      <c r="AB170" s="15">
        <v>0.5</v>
      </c>
      <c r="AC170" s="15" t="s">
        <v>583</v>
      </c>
      <c r="AD170" s="15">
        <v>0.6</v>
      </c>
    </row>
    <row r="171" spans="2:30" x14ac:dyDescent="0.2">
      <c r="B171" s="15">
        <v>19.003525304794309</v>
      </c>
      <c r="C171" s="15">
        <v>0.44842392675459197</v>
      </c>
      <c r="D171" s="15">
        <v>1.833158302307129</v>
      </c>
      <c r="E171" s="15">
        <v>0.11046561786762139</v>
      </c>
      <c r="F171" s="15">
        <v>-1.1910083205526381</v>
      </c>
      <c r="G171" s="15">
        <v>3.8614616912845462E-3</v>
      </c>
      <c r="H171" s="15">
        <v>89</v>
      </c>
      <c r="I171" s="15">
        <v>-1.190114926084046</v>
      </c>
      <c r="J171" s="15">
        <v>-1.1840662944126259</v>
      </c>
      <c r="K171" s="15">
        <v>-1.193850823788235</v>
      </c>
      <c r="L171" s="15">
        <v>-1.1950890953013511</v>
      </c>
      <c r="M171" s="15">
        <v>-1.1919204631769329</v>
      </c>
      <c r="N171" s="15" t="s">
        <v>442</v>
      </c>
      <c r="O171" s="15" t="s">
        <v>578</v>
      </c>
      <c r="P171" s="15">
        <v>0.8</v>
      </c>
      <c r="Q171" s="15" t="s">
        <v>579</v>
      </c>
      <c r="R171" s="15">
        <v>0.5</v>
      </c>
      <c r="S171" s="15" t="s">
        <v>580</v>
      </c>
      <c r="T171" s="15">
        <v>1</v>
      </c>
      <c r="U171" s="15" t="s">
        <v>450</v>
      </c>
      <c r="V171" s="15">
        <v>200</v>
      </c>
      <c r="W171" s="15" t="s">
        <v>577</v>
      </c>
      <c r="X171" s="15">
        <v>13</v>
      </c>
      <c r="Y171" s="15" t="s">
        <v>581</v>
      </c>
      <c r="Z171" s="15">
        <v>0.8</v>
      </c>
      <c r="AA171" s="15" t="s">
        <v>582</v>
      </c>
      <c r="AB171" s="15">
        <v>0.5</v>
      </c>
      <c r="AC171" s="15" t="s">
        <v>583</v>
      </c>
      <c r="AD171" s="15">
        <v>0.7</v>
      </c>
    </row>
    <row r="172" spans="2:30" x14ac:dyDescent="0.2">
      <c r="B172" s="15">
        <v>33.033792066574087</v>
      </c>
      <c r="C172" s="15">
        <v>0.48456362028757011</v>
      </c>
      <c r="D172" s="15">
        <v>2.4400572776794429</v>
      </c>
      <c r="E172" s="15">
        <v>9.4944349480281173E-2</v>
      </c>
      <c r="F172" s="15">
        <v>-1.0640411525654929</v>
      </c>
      <c r="G172" s="15">
        <v>3.1354353296327449E-3</v>
      </c>
      <c r="H172" s="15">
        <v>66</v>
      </c>
      <c r="I172" s="15">
        <v>-1.0647753312791881</v>
      </c>
      <c r="J172" s="15">
        <v>-1.059167148167409</v>
      </c>
      <c r="K172" s="15">
        <v>-1.0622038327465499</v>
      </c>
      <c r="L172" s="15">
        <v>-1.068375265724258</v>
      </c>
      <c r="M172" s="15">
        <v>-1.0656841849100609</v>
      </c>
      <c r="N172" s="15" t="s">
        <v>442</v>
      </c>
      <c r="O172" s="15" t="s">
        <v>578</v>
      </c>
      <c r="P172" s="15">
        <v>0.6</v>
      </c>
      <c r="Q172" s="15" t="s">
        <v>579</v>
      </c>
      <c r="R172" s="15">
        <v>0.1</v>
      </c>
      <c r="S172" s="15" t="s">
        <v>580</v>
      </c>
      <c r="T172" s="15">
        <v>0</v>
      </c>
      <c r="U172" s="15" t="s">
        <v>450</v>
      </c>
      <c r="V172" s="15">
        <v>400</v>
      </c>
      <c r="W172" s="15" t="s">
        <v>577</v>
      </c>
      <c r="X172" s="15">
        <v>13</v>
      </c>
      <c r="Y172" s="15" t="s">
        <v>581</v>
      </c>
      <c r="Z172" s="15">
        <v>0.2</v>
      </c>
      <c r="AA172" s="15" t="s">
        <v>582</v>
      </c>
      <c r="AB172" s="15">
        <v>1</v>
      </c>
      <c r="AC172" s="15" t="s">
        <v>583</v>
      </c>
      <c r="AD172" s="15">
        <v>0.8</v>
      </c>
    </row>
    <row r="173" spans="2:30" x14ac:dyDescent="0.2">
      <c r="B173" s="15">
        <v>19.890276050567628</v>
      </c>
      <c r="C173" s="15">
        <v>1.424529821876382</v>
      </c>
      <c r="D173" s="15">
        <v>0.76775298118591306</v>
      </c>
      <c r="E173" s="15">
        <v>5.3030857873170342E-2</v>
      </c>
      <c r="F173" s="15">
        <v>-1.039825754991462</v>
      </c>
      <c r="G173" s="15">
        <v>2.9688254111553802E-3</v>
      </c>
      <c r="H173" s="15">
        <v>56</v>
      </c>
      <c r="I173" s="15">
        <v>-1.040487003664776</v>
      </c>
      <c r="J173" s="15">
        <v>-1.035141150831306</v>
      </c>
      <c r="K173" s="15">
        <v>-1.0383004129022131</v>
      </c>
      <c r="L173" s="15">
        <v>-1.0440083233610391</v>
      </c>
      <c r="M173" s="15">
        <v>-1.0411918841979739</v>
      </c>
      <c r="N173" s="15" t="s">
        <v>442</v>
      </c>
      <c r="O173" s="15" t="s">
        <v>578</v>
      </c>
      <c r="P173" s="15">
        <v>0.6</v>
      </c>
      <c r="Q173" s="15" t="s">
        <v>579</v>
      </c>
      <c r="R173" s="15">
        <v>0.05</v>
      </c>
      <c r="S173" s="15" t="s">
        <v>580</v>
      </c>
      <c r="T173" s="15">
        <v>1E-3</v>
      </c>
      <c r="U173" s="15" t="s">
        <v>450</v>
      </c>
      <c r="V173" s="15">
        <v>300</v>
      </c>
      <c r="W173" s="15" t="s">
        <v>577</v>
      </c>
      <c r="X173" s="15">
        <v>5</v>
      </c>
      <c r="Y173" s="15" t="s">
        <v>581</v>
      </c>
      <c r="Z173" s="15">
        <v>0.8</v>
      </c>
      <c r="AA173" s="15" t="s">
        <v>582</v>
      </c>
      <c r="AB173" s="15">
        <v>0.3</v>
      </c>
      <c r="AC173" s="15" t="s">
        <v>583</v>
      </c>
      <c r="AD173" s="15">
        <v>0.9</v>
      </c>
    </row>
    <row r="174" spans="2:30" x14ac:dyDescent="0.2">
      <c r="B174" s="15">
        <v>61.67917876243591</v>
      </c>
      <c r="C174" s="15">
        <v>0.61401441968854886</v>
      </c>
      <c r="D174" s="15">
        <v>2.5015414714813229</v>
      </c>
      <c r="E174" s="15">
        <v>5.7639272001977951E-2</v>
      </c>
      <c r="F174" s="15">
        <v>-1.0648876064097641</v>
      </c>
      <c r="G174" s="15">
        <v>3.2502175104663789E-3</v>
      </c>
      <c r="H174" s="15">
        <v>67</v>
      </c>
      <c r="I174" s="15">
        <v>-1.0642436856931861</v>
      </c>
      <c r="J174" s="15">
        <v>-1.059307202236776</v>
      </c>
      <c r="K174" s="15">
        <v>-1.0649066547554491</v>
      </c>
      <c r="L174" s="15">
        <v>-1.0689929742990669</v>
      </c>
      <c r="M174" s="15">
        <v>-1.066987515064342</v>
      </c>
      <c r="N174" s="15" t="s">
        <v>442</v>
      </c>
      <c r="O174" s="15" t="s">
        <v>578</v>
      </c>
      <c r="P174" s="15">
        <v>0.8</v>
      </c>
      <c r="Q174" s="15" t="s">
        <v>579</v>
      </c>
      <c r="R174" s="15">
        <v>0.05</v>
      </c>
      <c r="S174" s="15" t="s">
        <v>580</v>
      </c>
      <c r="T174" s="15">
        <v>5.0000000000000001E-3</v>
      </c>
      <c r="U174" s="15" t="s">
        <v>450</v>
      </c>
      <c r="V174" s="15">
        <v>100</v>
      </c>
      <c r="W174" s="15" t="s">
        <v>577</v>
      </c>
      <c r="X174" s="15">
        <v>21</v>
      </c>
      <c r="Y174" s="15" t="s">
        <v>581</v>
      </c>
      <c r="Z174" s="15">
        <v>0.1</v>
      </c>
      <c r="AA174" s="15" t="s">
        <v>582</v>
      </c>
      <c r="AB174" s="15">
        <v>0.4</v>
      </c>
      <c r="AC174" s="15" t="s">
        <v>583</v>
      </c>
      <c r="AD174" s="15">
        <v>0.9</v>
      </c>
    </row>
    <row r="175" spans="2:30" x14ac:dyDescent="0.2">
      <c r="B175" s="15">
        <v>9.9749502658843987</v>
      </c>
      <c r="C175" s="15">
        <v>0.4778682822510939</v>
      </c>
      <c r="D175" s="15">
        <v>0.27129521369934079</v>
      </c>
      <c r="E175" s="15">
        <v>1.976030520103967E-2</v>
      </c>
      <c r="F175" s="15">
        <v>-1.005798846781778</v>
      </c>
      <c r="G175" s="15">
        <v>3.133106378610047E-3</v>
      </c>
      <c r="H175" s="15">
        <v>25</v>
      </c>
      <c r="I175" s="15">
        <v>-1.006511933326911</v>
      </c>
      <c r="J175" s="15">
        <v>-1.0011097012072521</v>
      </c>
      <c r="K175" s="15">
        <v>-1.0038507147280551</v>
      </c>
      <c r="L175" s="15">
        <v>-1.0103798865418181</v>
      </c>
      <c r="M175" s="15">
        <v>-1.0071419981048539</v>
      </c>
      <c r="N175" s="15" t="s">
        <v>442</v>
      </c>
      <c r="O175" s="15" t="s">
        <v>578</v>
      </c>
      <c r="P175" s="15">
        <v>0.8</v>
      </c>
      <c r="Q175" s="15" t="s">
        <v>579</v>
      </c>
      <c r="R175" s="15">
        <v>0.1</v>
      </c>
      <c r="S175" s="15" t="s">
        <v>580</v>
      </c>
      <c r="T175" s="15">
        <v>0</v>
      </c>
      <c r="U175" s="15" t="s">
        <v>450</v>
      </c>
      <c r="V175" s="15">
        <v>200</v>
      </c>
      <c r="W175" s="15" t="s">
        <v>577</v>
      </c>
      <c r="X175" s="15">
        <v>3</v>
      </c>
      <c r="Y175" s="15" t="s">
        <v>581</v>
      </c>
      <c r="Z175" s="15">
        <v>0.2</v>
      </c>
      <c r="AA175" s="15" t="s">
        <v>582</v>
      </c>
      <c r="AB175" s="15">
        <v>0.7</v>
      </c>
      <c r="AC175" s="15" t="s">
        <v>583</v>
      </c>
      <c r="AD175" s="15">
        <v>0.6</v>
      </c>
    </row>
    <row r="176" spans="2:30" x14ac:dyDescent="0.2">
      <c r="B176" s="15">
        <v>37.956776094436648</v>
      </c>
      <c r="C176" s="15">
        <v>2.4247242331126082</v>
      </c>
      <c r="D176" s="15">
        <v>1.574499273300171</v>
      </c>
      <c r="E176" s="15">
        <v>0.23367804119233429</v>
      </c>
      <c r="F176" s="15">
        <v>-1.1990469115606679</v>
      </c>
      <c r="G176" s="15">
        <v>2.071220626309626E-3</v>
      </c>
      <c r="H176" s="15">
        <v>90</v>
      </c>
      <c r="I176" s="15">
        <v>-1.1967752775890059</v>
      </c>
      <c r="J176" s="15">
        <v>-1.1989096345870569</v>
      </c>
      <c r="K176" s="15">
        <v>-1.197807071660983</v>
      </c>
      <c r="L176" s="15">
        <v>-1.202880853379714</v>
      </c>
      <c r="M176" s="15">
        <v>-1.1988617205865799</v>
      </c>
      <c r="N176" s="15" t="s">
        <v>442</v>
      </c>
      <c r="O176" s="15" t="s">
        <v>578</v>
      </c>
      <c r="P176" s="15">
        <v>0.7</v>
      </c>
      <c r="Q176" s="15" t="s">
        <v>579</v>
      </c>
      <c r="R176" s="15">
        <v>1</v>
      </c>
      <c r="S176" s="15" t="s">
        <v>580</v>
      </c>
      <c r="T176" s="15">
        <v>0.05</v>
      </c>
      <c r="U176" s="15" t="s">
        <v>450</v>
      </c>
      <c r="V176" s="15">
        <v>100</v>
      </c>
      <c r="W176" s="15" t="s">
        <v>577</v>
      </c>
      <c r="X176" s="15">
        <v>21</v>
      </c>
      <c r="Y176" s="15" t="s">
        <v>581</v>
      </c>
      <c r="Z176" s="15">
        <v>0.5</v>
      </c>
      <c r="AA176" s="15" t="s">
        <v>582</v>
      </c>
      <c r="AB176" s="15">
        <v>0.3</v>
      </c>
      <c r="AC176" s="15" t="s">
        <v>583</v>
      </c>
      <c r="AD176" s="15">
        <v>0.9</v>
      </c>
    </row>
    <row r="177" spans="2:30" x14ac:dyDescent="0.2">
      <c r="B177" s="15">
        <v>683.58272042274473</v>
      </c>
      <c r="C177" s="15">
        <v>41.048451461245953</v>
      </c>
      <c r="D177" s="15">
        <v>40.600463962554933</v>
      </c>
      <c r="E177" s="15">
        <v>13.016183465313111</v>
      </c>
      <c r="F177" s="15">
        <v>-1.150392899495517</v>
      </c>
      <c r="G177" s="15">
        <v>2.7181545561739068E-3</v>
      </c>
      <c r="H177" s="15">
        <v>84</v>
      </c>
      <c r="I177" s="15">
        <v>-1.149090326136563</v>
      </c>
      <c r="J177" s="15">
        <v>-1.1462544317956691</v>
      </c>
      <c r="K177" s="15">
        <v>-1.150899560606232</v>
      </c>
      <c r="L177" s="15">
        <v>-1.154546424323756</v>
      </c>
      <c r="M177" s="15">
        <v>-1.151173754615364</v>
      </c>
      <c r="N177" s="15" t="s">
        <v>442</v>
      </c>
      <c r="O177" s="15" t="s">
        <v>578</v>
      </c>
      <c r="P177" s="15">
        <v>0.7</v>
      </c>
      <c r="Q177" s="15" t="s">
        <v>579</v>
      </c>
      <c r="R177" s="15">
        <v>0.05</v>
      </c>
      <c r="S177" s="15" t="s">
        <v>580</v>
      </c>
      <c r="T177" s="15">
        <v>5.0000000000000001E-3</v>
      </c>
      <c r="U177" s="15" t="s">
        <v>450</v>
      </c>
      <c r="V177" s="15">
        <v>400</v>
      </c>
      <c r="W177" s="15" t="s">
        <v>577</v>
      </c>
      <c r="X177" s="15">
        <v>21</v>
      </c>
      <c r="Y177" s="15" t="s">
        <v>581</v>
      </c>
      <c r="Z177" s="15">
        <v>0.1</v>
      </c>
      <c r="AA177" s="15" t="s">
        <v>582</v>
      </c>
      <c r="AB177" s="15">
        <v>0</v>
      </c>
      <c r="AC177" s="15" t="s">
        <v>583</v>
      </c>
      <c r="AD177" s="15">
        <v>1</v>
      </c>
    </row>
    <row r="178" spans="2:30" x14ac:dyDescent="0.2">
      <c r="B178" s="15">
        <v>33.979838657379148</v>
      </c>
      <c r="C178" s="15">
        <v>1.43901785081109</v>
      </c>
      <c r="D178" s="15">
        <v>2.6445013046264649</v>
      </c>
      <c r="E178" s="15">
        <v>0.28287068974116741</v>
      </c>
      <c r="F178" s="15">
        <v>-1.126605342391787</v>
      </c>
      <c r="G178" s="15">
        <v>3.3430339106569019E-3</v>
      </c>
      <c r="H178" s="15">
        <v>82</v>
      </c>
      <c r="I178" s="15">
        <v>-1.126022842261245</v>
      </c>
      <c r="J178" s="15">
        <v>-1.120663987629485</v>
      </c>
      <c r="K178" s="15">
        <v>-1.1306842728658071</v>
      </c>
      <c r="L178" s="15">
        <v>-1.12838182369231</v>
      </c>
      <c r="M178" s="15">
        <v>-1.1272737855100869</v>
      </c>
      <c r="N178" s="15" t="s">
        <v>442</v>
      </c>
      <c r="O178" s="15" t="s">
        <v>578</v>
      </c>
      <c r="P178" s="15">
        <v>0.7</v>
      </c>
      <c r="Q178" s="15" t="s">
        <v>579</v>
      </c>
      <c r="R178" s="15">
        <v>5.0000000000000001E-3</v>
      </c>
      <c r="S178" s="15" t="s">
        <v>580</v>
      </c>
      <c r="T178" s="15">
        <v>0.05</v>
      </c>
      <c r="U178" s="15" t="s">
        <v>450</v>
      </c>
      <c r="V178" s="15">
        <v>400</v>
      </c>
      <c r="W178" s="15" t="s">
        <v>577</v>
      </c>
      <c r="X178" s="15">
        <v>8</v>
      </c>
      <c r="Y178" s="15" t="s">
        <v>581</v>
      </c>
      <c r="Z178" s="15">
        <v>0.5</v>
      </c>
      <c r="AA178" s="15" t="s">
        <v>582</v>
      </c>
      <c r="AB178" s="15">
        <v>0</v>
      </c>
      <c r="AC178" s="15" t="s">
        <v>583</v>
      </c>
      <c r="AD178" s="15">
        <v>1</v>
      </c>
    </row>
    <row r="179" spans="2:30" x14ac:dyDescent="0.2">
      <c r="B179" s="15">
        <v>17.169821405410769</v>
      </c>
      <c r="C179" s="15">
        <v>0.6572952566302005</v>
      </c>
      <c r="D179" s="15">
        <v>1.0778550148010251</v>
      </c>
      <c r="E179" s="15">
        <v>6.9334002045240609E-2</v>
      </c>
      <c r="F179" s="15">
        <v>-1.0032459820193069</v>
      </c>
      <c r="G179" s="15">
        <v>3.430973742697668E-3</v>
      </c>
      <c r="H179" s="15">
        <v>19</v>
      </c>
      <c r="I179" s="15">
        <v>-1.0046412932619859</v>
      </c>
      <c r="J179" s="15">
        <v>-0.99743185602957785</v>
      </c>
      <c r="K179" s="15">
        <v>-1.001952927339506</v>
      </c>
      <c r="L179" s="15">
        <v>-1.007702265608347</v>
      </c>
      <c r="M179" s="15">
        <v>-1.0045015678571181</v>
      </c>
      <c r="N179" s="15" t="s">
        <v>442</v>
      </c>
      <c r="O179" s="15" t="s">
        <v>578</v>
      </c>
      <c r="P179" s="15">
        <v>0.6</v>
      </c>
      <c r="Q179" s="15" t="s">
        <v>579</v>
      </c>
      <c r="R179" s="15">
        <v>5.0000000000000001E-3</v>
      </c>
      <c r="S179" s="15" t="s">
        <v>580</v>
      </c>
      <c r="T179" s="15">
        <v>0.01</v>
      </c>
      <c r="U179" s="15" t="s">
        <v>450</v>
      </c>
      <c r="V179" s="15">
        <v>200</v>
      </c>
      <c r="W179" s="15" t="s">
        <v>577</v>
      </c>
      <c r="X179" s="15">
        <v>8</v>
      </c>
      <c r="Y179" s="15" t="s">
        <v>581</v>
      </c>
      <c r="Z179" s="15">
        <v>0.1</v>
      </c>
      <c r="AA179" s="15" t="s">
        <v>582</v>
      </c>
      <c r="AB179" s="15">
        <v>0.6</v>
      </c>
      <c r="AC179" s="15" t="s">
        <v>583</v>
      </c>
      <c r="AD179" s="15">
        <v>0.7</v>
      </c>
    </row>
    <row r="180" spans="2:30" x14ac:dyDescent="0.2">
      <c r="B180" s="15">
        <v>8.1210951328277581</v>
      </c>
      <c r="C180" s="15">
        <v>0.21644880984969031</v>
      </c>
      <c r="D180" s="15">
        <v>0.45366210937500001</v>
      </c>
      <c r="E180" s="15">
        <v>4.9624113355375067E-2</v>
      </c>
      <c r="F180" s="15">
        <v>-1.0003518311372079</v>
      </c>
      <c r="G180" s="15">
        <v>2.8514945764507851E-3</v>
      </c>
      <c r="H180" s="15">
        <v>4</v>
      </c>
      <c r="I180" s="15">
        <v>-1.0018967196883679</v>
      </c>
      <c r="J180" s="15">
        <v>-0.99552733866435017</v>
      </c>
      <c r="K180" s="15">
        <v>-0.99889615182885383</v>
      </c>
      <c r="L180" s="15">
        <v>-1.0036311312569091</v>
      </c>
      <c r="M180" s="15">
        <v>-1.001807814247561</v>
      </c>
      <c r="N180" s="15" t="s">
        <v>442</v>
      </c>
      <c r="O180" s="15" t="s">
        <v>578</v>
      </c>
      <c r="P180" s="15">
        <v>1</v>
      </c>
      <c r="Q180" s="15" t="s">
        <v>579</v>
      </c>
      <c r="R180" s="15">
        <v>0.5</v>
      </c>
      <c r="S180" s="15" t="s">
        <v>580</v>
      </c>
      <c r="T180" s="15">
        <v>0.5</v>
      </c>
      <c r="U180" s="15" t="s">
        <v>450</v>
      </c>
      <c r="V180" s="15">
        <v>400</v>
      </c>
      <c r="W180" s="15" t="s">
        <v>577</v>
      </c>
      <c r="X180" s="15">
        <v>5</v>
      </c>
      <c r="Y180" s="15" t="s">
        <v>581</v>
      </c>
      <c r="Z180" s="15">
        <v>0.2</v>
      </c>
      <c r="AA180" s="15" t="s">
        <v>582</v>
      </c>
      <c r="AB180" s="15">
        <v>0.9</v>
      </c>
      <c r="AC180" s="15" t="s">
        <v>583</v>
      </c>
      <c r="AD180" s="15">
        <v>0.9</v>
      </c>
    </row>
    <row r="181" spans="2:30" x14ac:dyDescent="0.2">
      <c r="B181" s="15">
        <v>22.87893543243408</v>
      </c>
      <c r="C181" s="15">
        <v>1.020082644154368</v>
      </c>
      <c r="D181" s="15">
        <v>0.73840570449829102</v>
      </c>
      <c r="E181" s="15">
        <v>0.1060269824929632</v>
      </c>
      <c r="F181" s="15">
        <v>-1.0295091024795471</v>
      </c>
      <c r="G181" s="15">
        <v>2.8345495816238029E-3</v>
      </c>
      <c r="H181" s="15">
        <v>49</v>
      </c>
      <c r="I181" s="15">
        <v>-1.0306107703237579</v>
      </c>
      <c r="J181" s="15">
        <v>-1.0257193636994411</v>
      </c>
      <c r="K181" s="15">
        <v>-1.02685537740972</v>
      </c>
      <c r="L181" s="15">
        <v>-1.0334621696528801</v>
      </c>
      <c r="M181" s="15">
        <v>-1.030897831311935</v>
      </c>
      <c r="N181" s="15" t="s">
        <v>442</v>
      </c>
      <c r="O181" s="15" t="s">
        <v>578</v>
      </c>
      <c r="P181" s="15">
        <v>0.7</v>
      </c>
      <c r="Q181" s="15" t="s">
        <v>579</v>
      </c>
      <c r="R181" s="15">
        <v>1E-3</v>
      </c>
      <c r="S181" s="15" t="s">
        <v>580</v>
      </c>
      <c r="T181" s="15">
        <v>0.05</v>
      </c>
      <c r="U181" s="15" t="s">
        <v>450</v>
      </c>
      <c r="V181" s="15">
        <v>300</v>
      </c>
      <c r="W181" s="15" t="s">
        <v>577</v>
      </c>
      <c r="X181" s="15">
        <v>5</v>
      </c>
      <c r="Y181" s="15" t="s">
        <v>581</v>
      </c>
      <c r="Z181" s="15">
        <v>0.01</v>
      </c>
      <c r="AA181" s="15" t="s">
        <v>582</v>
      </c>
      <c r="AB181" s="15">
        <v>0</v>
      </c>
      <c r="AC181" s="15" t="s">
        <v>583</v>
      </c>
      <c r="AD181" s="15">
        <v>0.8</v>
      </c>
    </row>
    <row r="182" spans="2:30" x14ac:dyDescent="0.2">
      <c r="B182" s="15">
        <v>15.69211254119873</v>
      </c>
      <c r="C182" s="15">
        <v>0.79533012712651396</v>
      </c>
      <c r="D182" s="15">
        <v>0.40893054008483892</v>
      </c>
      <c r="E182" s="15">
        <v>2.4388020057725512E-2</v>
      </c>
      <c r="F182" s="15">
        <v>-1.0040037934963131</v>
      </c>
      <c r="G182" s="15">
        <v>3.1656394286582118E-3</v>
      </c>
      <c r="H182" s="15">
        <v>21</v>
      </c>
      <c r="I182" s="15">
        <v>-1.004588260764899</v>
      </c>
      <c r="J182" s="15">
        <v>-0.99910279230494237</v>
      </c>
      <c r="K182" s="15">
        <v>-1.0023050218052789</v>
      </c>
      <c r="L182" s="15">
        <v>-1.008555333317132</v>
      </c>
      <c r="M182" s="15">
        <v>-1.0054675592893121</v>
      </c>
      <c r="N182" s="15" t="s">
        <v>442</v>
      </c>
      <c r="O182" s="15" t="s">
        <v>578</v>
      </c>
      <c r="P182" s="15">
        <v>0.7</v>
      </c>
      <c r="Q182" s="15" t="s">
        <v>579</v>
      </c>
      <c r="R182" s="15">
        <v>1E-3</v>
      </c>
      <c r="S182" s="15" t="s">
        <v>580</v>
      </c>
      <c r="T182" s="15">
        <v>5.0000000000000001E-3</v>
      </c>
      <c r="U182" s="15" t="s">
        <v>450</v>
      </c>
      <c r="V182" s="15">
        <v>300</v>
      </c>
      <c r="W182" s="15" t="s">
        <v>577</v>
      </c>
      <c r="X182" s="15">
        <v>3</v>
      </c>
      <c r="Y182" s="15" t="s">
        <v>581</v>
      </c>
      <c r="Z182" s="15">
        <v>0.1</v>
      </c>
      <c r="AA182" s="15" t="s">
        <v>582</v>
      </c>
      <c r="AB182" s="15">
        <v>0.3</v>
      </c>
      <c r="AC182" s="15" t="s">
        <v>583</v>
      </c>
      <c r="AD182" s="15">
        <v>0.9</v>
      </c>
    </row>
    <row r="183" spans="2:30" x14ac:dyDescent="0.2">
      <c r="B183" s="15">
        <v>19.391779804229731</v>
      </c>
      <c r="C183" s="15">
        <v>0.37360997469483292</v>
      </c>
      <c r="D183" s="15">
        <v>1.2255855083465581</v>
      </c>
      <c r="E183" s="15">
        <v>0.13316720431531259</v>
      </c>
      <c r="F183" s="15">
        <v>-1.027017533047087</v>
      </c>
      <c r="G183" s="15">
        <v>2.8356656810037731E-3</v>
      </c>
      <c r="H183" s="15">
        <v>43</v>
      </c>
      <c r="I183" s="15">
        <v>-1.0284780957711941</v>
      </c>
      <c r="J183" s="15">
        <v>-1.0230925165891711</v>
      </c>
      <c r="K183" s="15">
        <v>-1.0246025182093179</v>
      </c>
      <c r="L183" s="15">
        <v>-1.0310271555723689</v>
      </c>
      <c r="M183" s="15">
        <v>-1.0278873790933809</v>
      </c>
      <c r="N183" s="15" t="s">
        <v>442</v>
      </c>
      <c r="O183" s="15" t="s">
        <v>578</v>
      </c>
      <c r="P183" s="15">
        <v>0.9</v>
      </c>
      <c r="Q183" s="15" t="s">
        <v>579</v>
      </c>
      <c r="R183" s="15">
        <v>0.05</v>
      </c>
      <c r="S183" s="15" t="s">
        <v>580</v>
      </c>
      <c r="T183" s="15">
        <v>5.0000000000000001E-3</v>
      </c>
      <c r="U183" s="15" t="s">
        <v>450</v>
      </c>
      <c r="V183" s="15">
        <v>200</v>
      </c>
      <c r="W183" s="15" t="s">
        <v>577</v>
      </c>
      <c r="X183" s="15">
        <v>8</v>
      </c>
      <c r="Y183" s="15" t="s">
        <v>581</v>
      </c>
      <c r="Z183" s="15">
        <v>0.01</v>
      </c>
      <c r="AA183" s="15" t="s">
        <v>582</v>
      </c>
      <c r="AB183" s="15">
        <v>0.8</v>
      </c>
      <c r="AC183" s="15" t="s">
        <v>583</v>
      </c>
      <c r="AD183" s="15">
        <v>0.8</v>
      </c>
    </row>
    <row r="184" spans="2:30" x14ac:dyDescent="0.2">
      <c r="B184" s="15">
        <v>5.2691431045532227</v>
      </c>
      <c r="C184" s="15">
        <v>0.3618276953332713</v>
      </c>
      <c r="D184" s="15">
        <v>0.27450566291809081</v>
      </c>
      <c r="E184" s="15">
        <v>1.582846016776809E-2</v>
      </c>
      <c r="F184" s="15">
        <v>-1.0011561708788901</v>
      </c>
      <c r="G184" s="15">
        <v>2.9334477421840898E-3</v>
      </c>
      <c r="H184" s="15">
        <v>11</v>
      </c>
      <c r="I184" s="15">
        <v>-1.0024101889643851</v>
      </c>
      <c r="J184" s="15">
        <v>-0.99620668521345901</v>
      </c>
      <c r="K184" s="15">
        <v>-0.99968382237039943</v>
      </c>
      <c r="L184" s="15">
        <v>-1.0045870254613269</v>
      </c>
      <c r="M184" s="15">
        <v>-1.0028931323848791</v>
      </c>
      <c r="N184" s="15" t="s">
        <v>442</v>
      </c>
      <c r="O184" s="15" t="s">
        <v>578</v>
      </c>
      <c r="P184" s="15">
        <v>1</v>
      </c>
      <c r="Q184" s="15" t="s">
        <v>579</v>
      </c>
      <c r="R184" s="15">
        <v>0.5</v>
      </c>
      <c r="S184" s="15" t="s">
        <v>580</v>
      </c>
      <c r="T184" s="15">
        <v>1</v>
      </c>
      <c r="U184" s="15" t="s">
        <v>450</v>
      </c>
      <c r="V184" s="15">
        <v>200</v>
      </c>
      <c r="W184" s="15" t="s">
        <v>577</v>
      </c>
      <c r="X184" s="15">
        <v>3</v>
      </c>
      <c r="Y184" s="15" t="s">
        <v>581</v>
      </c>
      <c r="Z184" s="15">
        <v>0.5</v>
      </c>
      <c r="AA184" s="15" t="s">
        <v>582</v>
      </c>
      <c r="AB184" s="15">
        <v>0.5</v>
      </c>
      <c r="AC184" s="15" t="s">
        <v>583</v>
      </c>
      <c r="AD184" s="15">
        <v>1</v>
      </c>
    </row>
    <row r="185" spans="2:30" x14ac:dyDescent="0.2">
      <c r="B185" s="15">
        <v>14.58184370994568</v>
      </c>
      <c r="C185" s="15">
        <v>0.74464084827563226</v>
      </c>
      <c r="D185" s="15">
        <v>2.0184031486511231</v>
      </c>
      <c r="E185" s="15">
        <v>0.23164948924022949</v>
      </c>
      <c r="F185" s="15">
        <v>-1.0694389257459109</v>
      </c>
      <c r="G185" s="15">
        <v>2.9419995022902201E-3</v>
      </c>
      <c r="H185" s="15">
        <v>71</v>
      </c>
      <c r="I185" s="15">
        <v>-1.0689030794265819</v>
      </c>
      <c r="J185" s="15">
        <v>-1.0652813294678769</v>
      </c>
      <c r="K185" s="15">
        <v>-1.068445103368789</v>
      </c>
      <c r="L185" s="15">
        <v>-1.074349426988789</v>
      </c>
      <c r="M185" s="15">
        <v>-1.070215689477519</v>
      </c>
      <c r="N185" s="15" t="s">
        <v>442</v>
      </c>
      <c r="O185" s="15" t="s">
        <v>578</v>
      </c>
      <c r="P185" s="15">
        <v>1</v>
      </c>
      <c r="Q185" s="15" t="s">
        <v>579</v>
      </c>
      <c r="R185" s="15">
        <v>5.0000000000000001E-3</v>
      </c>
      <c r="S185" s="15" t="s">
        <v>580</v>
      </c>
      <c r="T185" s="15">
        <v>0.05</v>
      </c>
      <c r="U185" s="15" t="s">
        <v>450</v>
      </c>
      <c r="V185" s="15">
        <v>300</v>
      </c>
      <c r="W185" s="15" t="s">
        <v>577</v>
      </c>
      <c r="X185" s="15">
        <v>8</v>
      </c>
      <c r="Y185" s="15" t="s">
        <v>581</v>
      </c>
      <c r="Z185" s="15">
        <v>0.5</v>
      </c>
      <c r="AA185" s="15" t="s">
        <v>582</v>
      </c>
      <c r="AB185" s="15">
        <v>0</v>
      </c>
      <c r="AC185" s="15" t="s">
        <v>583</v>
      </c>
      <c r="AD185" s="15">
        <v>1</v>
      </c>
    </row>
    <row r="186" spans="2:30" x14ac:dyDescent="0.2">
      <c r="B186" s="15">
        <v>7.3021195888519284</v>
      </c>
      <c r="C186" s="15">
        <v>0.41067294312685981</v>
      </c>
      <c r="D186" s="15">
        <v>0.42551412582397458</v>
      </c>
      <c r="E186" s="15">
        <v>0.1129540020186485</v>
      </c>
      <c r="F186" s="15">
        <v>-1.029098457724799</v>
      </c>
      <c r="G186" s="15">
        <v>3.3736315849488851E-3</v>
      </c>
      <c r="H186" s="15">
        <v>44</v>
      </c>
      <c r="I186" s="15">
        <v>-1.0306227361590521</v>
      </c>
      <c r="J186" s="15">
        <v>-1.022959953297097</v>
      </c>
      <c r="K186" s="15">
        <v>-1.029754972345803</v>
      </c>
      <c r="L186" s="15">
        <v>-1.0331557187972971</v>
      </c>
      <c r="M186" s="15">
        <v>-1.0289989080247459</v>
      </c>
      <c r="N186" s="15" t="s">
        <v>442</v>
      </c>
      <c r="O186" s="15" t="s">
        <v>578</v>
      </c>
      <c r="P186" s="15">
        <v>1</v>
      </c>
      <c r="Q186" s="15" t="s">
        <v>579</v>
      </c>
      <c r="R186" s="15">
        <v>1E-3</v>
      </c>
      <c r="S186" s="15" t="s">
        <v>580</v>
      </c>
      <c r="T186" s="15">
        <v>0.05</v>
      </c>
      <c r="U186" s="15" t="s">
        <v>450</v>
      </c>
      <c r="V186" s="15">
        <v>400</v>
      </c>
      <c r="W186" s="15" t="s">
        <v>577</v>
      </c>
      <c r="X186" s="15">
        <v>8</v>
      </c>
      <c r="Y186" s="15" t="s">
        <v>581</v>
      </c>
      <c r="Z186" s="15">
        <v>0.8</v>
      </c>
      <c r="AA186" s="15" t="s">
        <v>582</v>
      </c>
      <c r="AB186" s="15">
        <v>0.6</v>
      </c>
      <c r="AC186" s="15" t="s">
        <v>583</v>
      </c>
      <c r="AD186" s="15">
        <v>0.7</v>
      </c>
    </row>
    <row r="187" spans="2:30" x14ac:dyDescent="0.2">
      <c r="B187" s="15">
        <v>392.56463108062752</v>
      </c>
      <c r="C187" s="15">
        <v>45.381852641312953</v>
      </c>
      <c r="D187" s="15">
        <v>21.804017114639279</v>
      </c>
      <c r="E187" s="15">
        <v>2.2951386612953408</v>
      </c>
      <c r="F187" s="15">
        <v>-1.04385641999196</v>
      </c>
      <c r="G187" s="15">
        <v>2.6558614535080881E-3</v>
      </c>
      <c r="H187" s="15">
        <v>61</v>
      </c>
      <c r="I187" s="15">
        <v>-1.043695894471983</v>
      </c>
      <c r="J187" s="15">
        <v>-1.0398657752742151</v>
      </c>
      <c r="K187" s="15">
        <v>-1.0431080536405259</v>
      </c>
      <c r="L187" s="15">
        <v>-1.0481438777332519</v>
      </c>
      <c r="M187" s="15">
        <v>-1.0444684988398241</v>
      </c>
      <c r="N187" s="15" t="s">
        <v>442</v>
      </c>
      <c r="O187" s="15" t="s">
        <v>578</v>
      </c>
      <c r="P187" s="15">
        <v>0.6</v>
      </c>
      <c r="Q187" s="15" t="s">
        <v>579</v>
      </c>
      <c r="R187" s="15">
        <v>0.5</v>
      </c>
      <c r="S187" s="15" t="s">
        <v>580</v>
      </c>
      <c r="T187" s="15">
        <v>1E-3</v>
      </c>
      <c r="U187" s="15" t="s">
        <v>450</v>
      </c>
      <c r="V187" s="15">
        <v>200</v>
      </c>
      <c r="W187" s="15" t="s">
        <v>577</v>
      </c>
      <c r="X187" s="15">
        <v>21</v>
      </c>
      <c r="Y187" s="15" t="s">
        <v>581</v>
      </c>
      <c r="Z187" s="15">
        <v>0.01</v>
      </c>
      <c r="AA187" s="15" t="s">
        <v>582</v>
      </c>
      <c r="AB187" s="15">
        <v>0.1</v>
      </c>
      <c r="AC187" s="15" t="s">
        <v>583</v>
      </c>
      <c r="AD187" s="15">
        <v>1</v>
      </c>
    </row>
    <row r="188" spans="2:30" x14ac:dyDescent="0.2">
      <c r="B188" s="15">
        <v>8.9771944046020504</v>
      </c>
      <c r="C188" s="15">
        <v>0.73088588347528538</v>
      </c>
      <c r="D188" s="15">
        <v>0.61787815093994136</v>
      </c>
      <c r="E188" s="15">
        <v>5.6124740457941379E-2</v>
      </c>
      <c r="F188" s="15">
        <v>-1.001189801398193</v>
      </c>
      <c r="G188" s="15">
        <v>3.0153288210522529E-3</v>
      </c>
      <c r="H188" s="15">
        <v>12</v>
      </c>
      <c r="I188" s="15">
        <v>-1.001530153055624</v>
      </c>
      <c r="J188" s="15">
        <v>-0.9962047210801116</v>
      </c>
      <c r="K188" s="15">
        <v>-1.000167408956093</v>
      </c>
      <c r="L188" s="15">
        <v>-1.005325429030141</v>
      </c>
      <c r="M188" s="15">
        <v>-1.0027212948689941</v>
      </c>
      <c r="N188" s="15" t="s">
        <v>442</v>
      </c>
      <c r="O188" s="15" t="s">
        <v>578</v>
      </c>
      <c r="P188" s="15">
        <v>1</v>
      </c>
      <c r="Q188" s="15" t="s">
        <v>579</v>
      </c>
      <c r="R188" s="15">
        <v>1</v>
      </c>
      <c r="S188" s="15" t="s">
        <v>580</v>
      </c>
      <c r="T188" s="15">
        <v>0.01</v>
      </c>
      <c r="U188" s="15" t="s">
        <v>450</v>
      </c>
      <c r="V188" s="15">
        <v>400</v>
      </c>
      <c r="W188" s="15" t="s">
        <v>577</v>
      </c>
      <c r="X188" s="15">
        <v>8</v>
      </c>
      <c r="Y188" s="15" t="s">
        <v>581</v>
      </c>
      <c r="Z188" s="15">
        <v>0.1</v>
      </c>
      <c r="AA188" s="15" t="s">
        <v>582</v>
      </c>
      <c r="AB188" s="15">
        <v>0.9</v>
      </c>
      <c r="AC188" s="15" t="s">
        <v>583</v>
      </c>
      <c r="AD188" s="15">
        <v>0.9</v>
      </c>
    </row>
    <row r="189" spans="2:30" x14ac:dyDescent="0.2">
      <c r="B189" s="15">
        <v>22.017499828338622</v>
      </c>
      <c r="C189" s="15">
        <v>0.54420845463745615</v>
      </c>
      <c r="D189" s="15">
        <v>1.9594123363494871</v>
      </c>
      <c r="E189" s="15">
        <v>0.1719962130589999</v>
      </c>
      <c r="F189" s="15">
        <v>-1.18959698381274</v>
      </c>
      <c r="G189" s="15">
        <v>4.3569561139543654E-3</v>
      </c>
      <c r="H189" s="15">
        <v>88</v>
      </c>
      <c r="I189" s="15">
        <v>-1.1864259725405339</v>
      </c>
      <c r="J189" s="15">
        <v>-1.1853742116193819</v>
      </c>
      <c r="K189" s="15">
        <v>-1.1869329079411921</v>
      </c>
      <c r="L189" s="15">
        <v>-1.1924636637342421</v>
      </c>
      <c r="M189" s="15">
        <v>-1.196788163228347</v>
      </c>
      <c r="N189" s="15" t="s">
        <v>442</v>
      </c>
      <c r="O189" s="15" t="s">
        <v>578</v>
      </c>
      <c r="P189" s="15">
        <v>0.9</v>
      </c>
      <c r="Q189" s="15" t="s">
        <v>579</v>
      </c>
      <c r="R189" s="15">
        <v>1E-3</v>
      </c>
      <c r="S189" s="15" t="s">
        <v>580</v>
      </c>
      <c r="T189" s="15">
        <v>1</v>
      </c>
      <c r="U189" s="15" t="s">
        <v>450</v>
      </c>
      <c r="V189" s="15">
        <v>300</v>
      </c>
      <c r="W189" s="15" t="s">
        <v>577</v>
      </c>
      <c r="X189" s="15">
        <v>13</v>
      </c>
      <c r="Y189" s="15" t="s">
        <v>581</v>
      </c>
      <c r="Z189" s="15">
        <v>0.8</v>
      </c>
      <c r="AA189" s="15" t="s">
        <v>582</v>
      </c>
      <c r="AB189" s="15">
        <v>0.3</v>
      </c>
      <c r="AC189" s="15" t="s">
        <v>583</v>
      </c>
      <c r="AD189" s="15">
        <v>0.7</v>
      </c>
    </row>
    <row r="190" spans="2:30" x14ac:dyDescent="0.2">
      <c r="B190" s="15">
        <v>13.105136919021611</v>
      </c>
      <c r="C190" s="15">
        <v>0.3389153972330155</v>
      </c>
      <c r="D190" s="15">
        <v>1.355538415908814</v>
      </c>
      <c r="E190" s="15">
        <v>0.14141278301197019</v>
      </c>
      <c r="F190" s="15">
        <v>-1.032563832956813</v>
      </c>
      <c r="G190" s="15">
        <v>3.5715632995822031E-3</v>
      </c>
      <c r="H190" s="15">
        <v>53</v>
      </c>
      <c r="I190" s="15">
        <v>-1.0338678045131959</v>
      </c>
      <c r="J190" s="15">
        <v>-1.0260548726397629</v>
      </c>
      <c r="K190" s="15">
        <v>-1.032734450092941</v>
      </c>
      <c r="L190" s="15">
        <v>-1.0369534312171971</v>
      </c>
      <c r="M190" s="15">
        <v>-1.0332086063209649</v>
      </c>
      <c r="N190" s="15" t="s">
        <v>442</v>
      </c>
      <c r="O190" s="15" t="s">
        <v>578</v>
      </c>
      <c r="P190" s="15">
        <v>1</v>
      </c>
      <c r="Q190" s="15" t="s">
        <v>579</v>
      </c>
      <c r="R190" s="15">
        <v>0.5</v>
      </c>
      <c r="S190" s="15" t="s">
        <v>580</v>
      </c>
      <c r="T190" s="15">
        <v>0</v>
      </c>
      <c r="U190" s="15" t="s">
        <v>450</v>
      </c>
      <c r="V190" s="15">
        <v>400</v>
      </c>
      <c r="W190" s="15" t="s">
        <v>577</v>
      </c>
      <c r="X190" s="15">
        <v>13</v>
      </c>
      <c r="Y190" s="15" t="s">
        <v>581</v>
      </c>
      <c r="Z190" s="15">
        <v>0.2</v>
      </c>
      <c r="AA190" s="15" t="s">
        <v>582</v>
      </c>
      <c r="AB190" s="15">
        <v>0.3</v>
      </c>
      <c r="AC190" s="15" t="s">
        <v>583</v>
      </c>
      <c r="AD190" s="15">
        <v>0.6</v>
      </c>
    </row>
    <row r="191" spans="2:30" x14ac:dyDescent="0.2">
      <c r="B191" s="15">
        <v>96.183084058761594</v>
      </c>
      <c r="C191" s="15">
        <v>1.651453526176081</v>
      </c>
      <c r="D191" s="15">
        <v>4.2625389099121094</v>
      </c>
      <c r="E191" s="15">
        <v>0.28137967230422228</v>
      </c>
      <c r="F191" s="15">
        <v>-1.0924108262401331</v>
      </c>
      <c r="G191" s="15">
        <v>2.714893277435724E-3</v>
      </c>
      <c r="H191" s="15">
        <v>77</v>
      </c>
      <c r="I191" s="15">
        <v>-1.0905257140115141</v>
      </c>
      <c r="J191" s="15">
        <v>-1.08979205143438</v>
      </c>
      <c r="K191" s="15">
        <v>-1.0951352772455849</v>
      </c>
      <c r="L191" s="15">
        <v>-1.096253150592218</v>
      </c>
      <c r="M191" s="15">
        <v>-1.0903479379169669</v>
      </c>
      <c r="N191" s="15" t="s">
        <v>442</v>
      </c>
      <c r="O191" s="15" t="s">
        <v>578</v>
      </c>
      <c r="P191" s="15">
        <v>1</v>
      </c>
      <c r="Q191" s="15" t="s">
        <v>579</v>
      </c>
      <c r="R191" s="15">
        <v>1</v>
      </c>
      <c r="S191" s="15" t="s">
        <v>580</v>
      </c>
      <c r="T191" s="15">
        <v>0.05</v>
      </c>
      <c r="U191" s="15" t="s">
        <v>450</v>
      </c>
      <c r="V191" s="15">
        <v>200</v>
      </c>
      <c r="W191" s="15" t="s">
        <v>577</v>
      </c>
      <c r="X191" s="15">
        <v>21</v>
      </c>
      <c r="Y191" s="15" t="s">
        <v>581</v>
      </c>
      <c r="Z191" s="15">
        <v>0.1</v>
      </c>
      <c r="AA191" s="15" t="s">
        <v>582</v>
      </c>
      <c r="AB191" s="15">
        <v>0.1</v>
      </c>
      <c r="AC191" s="15" t="s">
        <v>583</v>
      </c>
      <c r="AD191" s="15">
        <v>1</v>
      </c>
    </row>
    <row r="192" spans="2:30" x14ac:dyDescent="0.2">
      <c r="B192" s="15">
        <v>8.3748099327087395</v>
      </c>
      <c r="C192" s="15">
        <v>0.84147872418933434</v>
      </c>
      <c r="D192" s="15">
        <v>0.58470625877380367</v>
      </c>
      <c r="E192" s="15">
        <v>0.102004448238264</v>
      </c>
      <c r="F192" s="15">
        <v>-1.0849461994804639</v>
      </c>
      <c r="G192" s="15">
        <v>3.944534490096221E-3</v>
      </c>
      <c r="H192" s="15">
        <v>75</v>
      </c>
      <c r="I192" s="15">
        <v>-1.0896310649208789</v>
      </c>
      <c r="J192" s="15">
        <v>-1.077819505034479</v>
      </c>
      <c r="K192" s="15">
        <v>-1.086168193978764</v>
      </c>
      <c r="L192" s="15">
        <v>-1.086743920406877</v>
      </c>
      <c r="M192" s="15">
        <v>-1.08436831306132</v>
      </c>
      <c r="N192" s="15" t="s">
        <v>442</v>
      </c>
      <c r="O192" s="15" t="s">
        <v>578</v>
      </c>
      <c r="P192" s="15">
        <v>0.7</v>
      </c>
      <c r="Q192" s="15" t="s">
        <v>579</v>
      </c>
      <c r="R192" s="15">
        <v>1E-3</v>
      </c>
      <c r="S192" s="15" t="s">
        <v>580</v>
      </c>
      <c r="T192" s="15">
        <v>0.01</v>
      </c>
      <c r="U192" s="15" t="s">
        <v>450</v>
      </c>
      <c r="V192" s="15">
        <v>100</v>
      </c>
      <c r="W192" s="15" t="s">
        <v>577</v>
      </c>
      <c r="X192" s="15">
        <v>8</v>
      </c>
      <c r="Y192" s="15" t="s">
        <v>581</v>
      </c>
      <c r="Z192" s="15">
        <v>0.8</v>
      </c>
      <c r="AA192" s="15" t="s">
        <v>582</v>
      </c>
      <c r="AB192" s="15">
        <v>0.8</v>
      </c>
      <c r="AC192" s="15" t="s">
        <v>583</v>
      </c>
      <c r="AD192" s="15">
        <v>0.7</v>
      </c>
    </row>
    <row r="193" spans="2:30" x14ac:dyDescent="0.2">
      <c r="B193" s="15">
        <v>31.403214502334599</v>
      </c>
      <c r="C193" s="15">
        <v>0.98316366304703817</v>
      </c>
      <c r="D193" s="15">
        <v>0.67945976257324214</v>
      </c>
      <c r="E193" s="15">
        <v>3.4927625702375217E-2</v>
      </c>
      <c r="F193" s="15">
        <v>-1.3718207529582189</v>
      </c>
      <c r="G193" s="15">
        <v>2.817643422515944E-3</v>
      </c>
      <c r="H193" s="15">
        <v>98</v>
      </c>
      <c r="I193" s="15">
        <v>-1.366449412555045</v>
      </c>
      <c r="J193" s="15">
        <v>-1.373361372325842</v>
      </c>
      <c r="K193" s="15">
        <v>-1.3744121356725401</v>
      </c>
      <c r="L193" s="15">
        <v>-1.373143103558129</v>
      </c>
      <c r="M193" s="15">
        <v>-1.371737740679539</v>
      </c>
      <c r="N193" s="15" t="s">
        <v>442</v>
      </c>
      <c r="O193" s="15" t="s">
        <v>578</v>
      </c>
      <c r="P193" s="15">
        <v>0.8</v>
      </c>
      <c r="Q193" s="15" t="s">
        <v>579</v>
      </c>
      <c r="R193" s="15">
        <v>0.01</v>
      </c>
      <c r="S193" s="15" t="s">
        <v>580</v>
      </c>
      <c r="T193" s="15">
        <v>0.01</v>
      </c>
      <c r="U193" s="15" t="s">
        <v>450</v>
      </c>
      <c r="V193" s="15">
        <v>100</v>
      </c>
      <c r="W193" s="15" t="s">
        <v>577</v>
      </c>
      <c r="X193" s="15">
        <v>21</v>
      </c>
      <c r="Y193" s="15" t="s">
        <v>581</v>
      </c>
      <c r="Z193" s="15">
        <v>0.8</v>
      </c>
      <c r="AA193" s="15" t="s">
        <v>582</v>
      </c>
      <c r="AB193" s="15">
        <v>0.6</v>
      </c>
      <c r="AC193" s="15" t="s">
        <v>583</v>
      </c>
      <c r="AD193" s="15">
        <v>0.7</v>
      </c>
    </row>
    <row r="194" spans="2:30" x14ac:dyDescent="0.2">
      <c r="B194" s="15">
        <v>25.13575987815857</v>
      </c>
      <c r="C194" s="15">
        <v>1.439112802258804</v>
      </c>
      <c r="D194" s="15">
        <v>0.6777066230773926</v>
      </c>
      <c r="E194" s="15">
        <v>0.13376318672869361</v>
      </c>
      <c r="F194" s="15">
        <v>-1.0026097043266711</v>
      </c>
      <c r="G194" s="15">
        <v>3.09745480071134E-3</v>
      </c>
      <c r="H194" s="15">
        <v>18</v>
      </c>
      <c r="I194" s="15">
        <v>-1.0047408504052231</v>
      </c>
      <c r="J194" s="15">
        <v>-0.99782596536327306</v>
      </c>
      <c r="K194" s="15">
        <v>-1.0006488496903869</v>
      </c>
      <c r="L194" s="15">
        <v>-1.00665687188329</v>
      </c>
      <c r="M194" s="15">
        <v>-1.00317598429118</v>
      </c>
      <c r="N194" s="15" t="s">
        <v>442</v>
      </c>
      <c r="O194" s="15" t="s">
        <v>578</v>
      </c>
      <c r="P194" s="15">
        <v>0.6</v>
      </c>
      <c r="Q194" s="15" t="s">
        <v>579</v>
      </c>
      <c r="R194" s="15">
        <v>5.0000000000000001E-3</v>
      </c>
      <c r="S194" s="15" t="s">
        <v>580</v>
      </c>
      <c r="T194" s="15">
        <v>1</v>
      </c>
      <c r="U194" s="15" t="s">
        <v>450</v>
      </c>
      <c r="V194" s="15">
        <v>400</v>
      </c>
      <c r="W194" s="15" t="s">
        <v>577</v>
      </c>
      <c r="X194" s="15">
        <v>3</v>
      </c>
      <c r="Y194" s="15" t="s">
        <v>581</v>
      </c>
      <c r="Z194" s="15">
        <v>0.5</v>
      </c>
      <c r="AA194" s="15" t="s">
        <v>582</v>
      </c>
      <c r="AB194" s="15">
        <v>0.2</v>
      </c>
      <c r="AC194" s="15" t="s">
        <v>583</v>
      </c>
      <c r="AD194" s="15">
        <v>0.8</v>
      </c>
    </row>
    <row r="195" spans="2:30" x14ac:dyDescent="0.2">
      <c r="B195" s="15">
        <v>17.59075655937195</v>
      </c>
      <c r="C195" s="15">
        <v>0.93231987474576361</v>
      </c>
      <c r="D195" s="15">
        <v>1.977512693405151</v>
      </c>
      <c r="E195" s="15">
        <v>0.19123232338942439</v>
      </c>
      <c r="F195" s="15">
        <v>-1.2086933508475011</v>
      </c>
      <c r="G195" s="15">
        <v>2.7213488037236859E-3</v>
      </c>
      <c r="H195" s="15">
        <v>92</v>
      </c>
      <c r="I195" s="15">
        <v>-1.207209936779382</v>
      </c>
      <c r="J195" s="15">
        <v>-1.204150933803569</v>
      </c>
      <c r="K195" s="15">
        <v>-1.209861669363868</v>
      </c>
      <c r="L195" s="15">
        <v>-1.211840419123124</v>
      </c>
      <c r="M195" s="15">
        <v>-1.2104037951675619</v>
      </c>
      <c r="N195" s="15" t="s">
        <v>442</v>
      </c>
      <c r="O195" s="15" t="s">
        <v>578</v>
      </c>
      <c r="P195" s="15">
        <v>0.6</v>
      </c>
      <c r="Q195" s="15" t="s">
        <v>579</v>
      </c>
      <c r="R195" s="15">
        <v>0.5</v>
      </c>
      <c r="S195" s="15" t="s">
        <v>580</v>
      </c>
      <c r="T195" s="15">
        <v>0.1</v>
      </c>
      <c r="U195" s="15" t="s">
        <v>450</v>
      </c>
      <c r="V195" s="15">
        <v>100</v>
      </c>
      <c r="W195" s="15" t="s">
        <v>577</v>
      </c>
      <c r="X195" s="15">
        <v>13</v>
      </c>
      <c r="Y195" s="15" t="s">
        <v>581</v>
      </c>
      <c r="Z195" s="15">
        <v>0.5</v>
      </c>
      <c r="AA195" s="15" t="s">
        <v>582</v>
      </c>
      <c r="AB195" s="15">
        <v>0.2</v>
      </c>
      <c r="AC195" s="15" t="s">
        <v>583</v>
      </c>
      <c r="AD195" s="15">
        <v>0.8</v>
      </c>
    </row>
    <row r="196" spans="2:30" x14ac:dyDescent="0.2">
      <c r="B196" s="15">
        <v>16.189655971527099</v>
      </c>
      <c r="C196" s="15">
        <v>0.51269513156522151</v>
      </c>
      <c r="D196" s="15">
        <v>0.42609591484069831</v>
      </c>
      <c r="E196" s="15">
        <v>3.592200199681643E-2</v>
      </c>
      <c r="F196" s="15">
        <v>-1.0477778577981069</v>
      </c>
      <c r="G196" s="15">
        <v>2.5867313437960889E-3</v>
      </c>
      <c r="H196" s="15">
        <v>62</v>
      </c>
      <c r="I196" s="15">
        <v>-1.0488840954241181</v>
      </c>
      <c r="J196" s="15">
        <v>-1.0444050445476889</v>
      </c>
      <c r="K196" s="15">
        <v>-1.045391053460784</v>
      </c>
      <c r="L196" s="15">
        <v>-1.0515763590506211</v>
      </c>
      <c r="M196" s="15">
        <v>-1.048632736507322</v>
      </c>
      <c r="N196" s="15" t="s">
        <v>442</v>
      </c>
      <c r="O196" s="15" t="s">
        <v>578</v>
      </c>
      <c r="P196" s="15">
        <v>0.9</v>
      </c>
      <c r="Q196" s="15" t="s">
        <v>579</v>
      </c>
      <c r="R196" s="15">
        <v>0.01</v>
      </c>
      <c r="S196" s="15" t="s">
        <v>580</v>
      </c>
      <c r="T196" s="15">
        <v>1</v>
      </c>
      <c r="U196" s="15" t="s">
        <v>450</v>
      </c>
      <c r="V196" s="15">
        <v>300</v>
      </c>
      <c r="W196" s="15" t="s">
        <v>577</v>
      </c>
      <c r="X196" s="15">
        <v>3</v>
      </c>
      <c r="Y196" s="15" t="s">
        <v>581</v>
      </c>
      <c r="Z196" s="15">
        <v>0.01</v>
      </c>
      <c r="AA196" s="15" t="s">
        <v>582</v>
      </c>
      <c r="AB196" s="15">
        <v>0.3</v>
      </c>
      <c r="AC196" s="15" t="s">
        <v>583</v>
      </c>
      <c r="AD196" s="15">
        <v>0.7</v>
      </c>
    </row>
    <row r="197" spans="2:30" x14ac:dyDescent="0.2">
      <c r="B197" s="15">
        <v>42.996491289138802</v>
      </c>
      <c r="C197" s="15">
        <v>0.70113808741810979</v>
      </c>
      <c r="D197" s="15">
        <v>0.5938013076782227</v>
      </c>
      <c r="E197" s="15">
        <v>3.328290615713126E-2</v>
      </c>
      <c r="F197" s="15">
        <v>-1.1810593512643059</v>
      </c>
      <c r="G197" s="15">
        <v>4.290732980344659E-3</v>
      </c>
      <c r="H197" s="15">
        <v>86</v>
      </c>
      <c r="I197" s="15">
        <v>-1.179196316435833</v>
      </c>
      <c r="J197" s="15">
        <v>-1.176406965670737</v>
      </c>
      <c r="K197" s="15">
        <v>-1.1773896749053849</v>
      </c>
      <c r="L197" s="15">
        <v>-1.187046811455396</v>
      </c>
      <c r="M197" s="15">
        <v>-1.1852569878541781</v>
      </c>
      <c r="N197" s="15" t="s">
        <v>442</v>
      </c>
      <c r="O197" s="15" t="s">
        <v>578</v>
      </c>
      <c r="P197" s="15">
        <v>1</v>
      </c>
      <c r="Q197" s="15" t="s">
        <v>579</v>
      </c>
      <c r="R197" s="15">
        <v>0.01</v>
      </c>
      <c r="S197" s="15" t="s">
        <v>580</v>
      </c>
      <c r="T197" s="15">
        <v>0</v>
      </c>
      <c r="U197" s="15" t="s">
        <v>450</v>
      </c>
      <c r="V197" s="15">
        <v>100</v>
      </c>
      <c r="W197" s="15" t="s">
        <v>577</v>
      </c>
      <c r="X197" s="15">
        <v>21</v>
      </c>
      <c r="Y197" s="15" t="s">
        <v>581</v>
      </c>
      <c r="Z197" s="15">
        <v>0.5</v>
      </c>
      <c r="AA197" s="15" t="s">
        <v>582</v>
      </c>
      <c r="AB197" s="15">
        <v>0.2</v>
      </c>
      <c r="AC197" s="15" t="s">
        <v>583</v>
      </c>
      <c r="AD197" s="15">
        <v>0.7</v>
      </c>
    </row>
    <row r="198" spans="2:30" x14ac:dyDescent="0.2">
      <c r="B198" s="15">
        <v>7.10341854095459</v>
      </c>
      <c r="C198" s="15">
        <v>0.72131836192308729</v>
      </c>
      <c r="D198" s="15">
        <v>0.32401318550109859</v>
      </c>
      <c r="E198" s="15">
        <v>5.4961707302645477E-2</v>
      </c>
      <c r="F198" s="15">
        <v>-1.0067035669771609</v>
      </c>
      <c r="G198" s="15">
        <v>3.0566437001392881E-3</v>
      </c>
      <c r="H198" s="15">
        <v>27</v>
      </c>
      <c r="I198" s="15">
        <v>-1.007608467056512</v>
      </c>
      <c r="J198" s="15">
        <v>-1.002394230527059</v>
      </c>
      <c r="K198" s="15">
        <v>-1.004235065699753</v>
      </c>
      <c r="L198" s="15">
        <v>-1.0110519373360649</v>
      </c>
      <c r="M198" s="15">
        <v>-1.008228134266417</v>
      </c>
      <c r="N198" s="15" t="s">
        <v>442</v>
      </c>
      <c r="O198" s="15" t="s">
        <v>578</v>
      </c>
      <c r="P198" s="15">
        <v>0.7</v>
      </c>
      <c r="Q198" s="15" t="s">
        <v>579</v>
      </c>
      <c r="R198" s="15">
        <v>0.01</v>
      </c>
      <c r="S198" s="15" t="s">
        <v>580</v>
      </c>
      <c r="T198" s="15">
        <v>0</v>
      </c>
      <c r="U198" s="15" t="s">
        <v>450</v>
      </c>
      <c r="V198" s="15">
        <v>100</v>
      </c>
      <c r="W198" s="15" t="s">
        <v>577</v>
      </c>
      <c r="X198" s="15">
        <v>5</v>
      </c>
      <c r="Y198" s="15" t="s">
        <v>581</v>
      </c>
      <c r="Z198" s="15">
        <v>0.1</v>
      </c>
      <c r="AA198" s="15" t="s">
        <v>582</v>
      </c>
      <c r="AB198" s="15">
        <v>0.1</v>
      </c>
      <c r="AC198" s="15" t="s">
        <v>583</v>
      </c>
      <c r="AD198" s="15">
        <v>0.7</v>
      </c>
    </row>
    <row r="199" spans="2:30" x14ac:dyDescent="0.2">
      <c r="B199" s="15">
        <v>490.36619749069212</v>
      </c>
      <c r="C199" s="15">
        <v>15.86376793616248</v>
      </c>
      <c r="D199" s="15">
        <v>35.915684032440183</v>
      </c>
      <c r="E199" s="15">
        <v>4.4963058580697703</v>
      </c>
      <c r="F199" s="15">
        <v>-1.0436057603995541</v>
      </c>
      <c r="G199" s="15">
        <v>3.0715845006497869E-3</v>
      </c>
      <c r="H199" s="15">
        <v>60</v>
      </c>
      <c r="I199" s="15">
        <v>-1.0446308555584869</v>
      </c>
      <c r="J199" s="15">
        <v>-1.038687716820238</v>
      </c>
      <c r="K199" s="15">
        <v>-1.042578573801058</v>
      </c>
      <c r="L199" s="15">
        <v>-1.0481606080144119</v>
      </c>
      <c r="M199" s="15">
        <v>-1.0439710478035731</v>
      </c>
      <c r="N199" s="15" t="s">
        <v>442</v>
      </c>
      <c r="O199" s="15" t="s">
        <v>578</v>
      </c>
      <c r="P199" s="15">
        <v>0.7</v>
      </c>
      <c r="Q199" s="15" t="s">
        <v>579</v>
      </c>
      <c r="R199" s="15">
        <v>0.01</v>
      </c>
      <c r="S199" s="15" t="s">
        <v>580</v>
      </c>
      <c r="T199" s="15">
        <v>0.05</v>
      </c>
      <c r="U199" s="15" t="s">
        <v>450</v>
      </c>
      <c r="V199" s="15">
        <v>400</v>
      </c>
      <c r="W199" s="15" t="s">
        <v>577</v>
      </c>
      <c r="X199" s="15">
        <v>21</v>
      </c>
      <c r="Y199" s="15" t="s">
        <v>581</v>
      </c>
      <c r="Z199" s="15">
        <v>0.01</v>
      </c>
      <c r="AA199" s="15" t="s">
        <v>582</v>
      </c>
      <c r="AB199" s="15">
        <v>0</v>
      </c>
      <c r="AC199" s="15" t="s">
        <v>583</v>
      </c>
      <c r="AD199" s="15">
        <v>0.6</v>
      </c>
    </row>
    <row r="200" spans="2:30" x14ac:dyDescent="0.2">
      <c r="B200" s="15">
        <v>43.618050718307487</v>
      </c>
      <c r="C200" s="15">
        <v>1.991315715952469</v>
      </c>
      <c r="D200" s="15">
        <v>5.8715529918670653</v>
      </c>
      <c r="E200" s="15">
        <v>0.31015777415568202</v>
      </c>
      <c r="F200" s="15">
        <v>-1.0828316807028799</v>
      </c>
      <c r="G200" s="15">
        <v>3.1596807245414232E-3</v>
      </c>
      <c r="H200" s="15">
        <v>74</v>
      </c>
      <c r="I200" s="15">
        <v>-1.082661274121218</v>
      </c>
      <c r="J200" s="15">
        <v>-1.077997284364842</v>
      </c>
      <c r="K200" s="15">
        <v>-1.0813331848943839</v>
      </c>
      <c r="L200" s="15">
        <v>-1.087333439699514</v>
      </c>
      <c r="M200" s="15">
        <v>-1.084833220434444</v>
      </c>
      <c r="N200" s="15" t="s">
        <v>442</v>
      </c>
      <c r="O200" s="15" t="s">
        <v>578</v>
      </c>
      <c r="P200" s="15">
        <v>0.9</v>
      </c>
      <c r="Q200" s="15" t="s">
        <v>579</v>
      </c>
      <c r="R200" s="15">
        <v>1</v>
      </c>
      <c r="S200" s="15" t="s">
        <v>580</v>
      </c>
      <c r="T200" s="15">
        <v>1E-3</v>
      </c>
      <c r="U200" s="15" t="s">
        <v>450</v>
      </c>
      <c r="V200" s="15">
        <v>300</v>
      </c>
      <c r="W200" s="15" t="s">
        <v>577</v>
      </c>
      <c r="X200" s="15">
        <v>13</v>
      </c>
      <c r="Y200" s="15" t="s">
        <v>581</v>
      </c>
      <c r="Z200" s="15">
        <v>0.2</v>
      </c>
      <c r="AA200" s="15" t="s">
        <v>582</v>
      </c>
      <c r="AB200" s="15">
        <v>0.1</v>
      </c>
      <c r="AC200" s="15" t="s">
        <v>583</v>
      </c>
      <c r="AD200" s="15">
        <v>0.6</v>
      </c>
    </row>
    <row r="201" spans="2:30" x14ac:dyDescent="0.2">
      <c r="B201" s="15">
        <v>32.163421440124509</v>
      </c>
      <c r="C201" s="15">
        <v>0.99075298816387791</v>
      </c>
      <c r="D201" s="15">
        <v>4.7851387500762943</v>
      </c>
      <c r="E201" s="15">
        <v>0.31752897267859631</v>
      </c>
      <c r="F201" s="15">
        <v>-1.066985488229764</v>
      </c>
      <c r="G201" s="15">
        <v>3.439110390279086E-3</v>
      </c>
      <c r="H201" s="15">
        <v>69</v>
      </c>
      <c r="I201" s="15">
        <v>-1.0680824786984719</v>
      </c>
      <c r="J201" s="15">
        <v>-1.060884681100857</v>
      </c>
      <c r="K201" s="15">
        <v>-1.0660940467008151</v>
      </c>
      <c r="L201" s="15">
        <v>-1.071060606373551</v>
      </c>
      <c r="M201" s="15">
        <v>-1.068805628275123</v>
      </c>
      <c r="N201" s="15" t="s">
        <v>442</v>
      </c>
      <c r="O201" s="15" t="s">
        <v>578</v>
      </c>
      <c r="P201" s="15">
        <v>0.6</v>
      </c>
      <c r="Q201" s="15" t="s">
        <v>579</v>
      </c>
      <c r="R201" s="15">
        <v>0.5</v>
      </c>
      <c r="S201" s="15" t="s">
        <v>580</v>
      </c>
      <c r="T201" s="15">
        <v>1</v>
      </c>
      <c r="U201" s="15" t="s">
        <v>450</v>
      </c>
      <c r="V201" s="15">
        <v>200</v>
      </c>
      <c r="W201" s="15" t="s">
        <v>577</v>
      </c>
      <c r="X201" s="15">
        <v>13</v>
      </c>
      <c r="Y201" s="15" t="s">
        <v>581</v>
      </c>
      <c r="Z201" s="15">
        <v>0.2</v>
      </c>
      <c r="AA201" s="15" t="s">
        <v>582</v>
      </c>
      <c r="AB201" s="15">
        <v>0.1</v>
      </c>
      <c r="AC201" s="15" t="s">
        <v>583</v>
      </c>
      <c r="AD201" s="15">
        <v>0.6</v>
      </c>
    </row>
    <row r="202" spans="2:30" x14ac:dyDescent="0.2">
      <c r="B202" s="15">
        <v>3.4903715610504151</v>
      </c>
      <c r="C202" s="15">
        <v>0.40648842600843621</v>
      </c>
      <c r="D202" s="15">
        <v>0.18711266517639161</v>
      </c>
      <c r="E202" s="15">
        <v>2.100018156663995E-2</v>
      </c>
      <c r="F202" s="15">
        <v>-1.0042328169286561</v>
      </c>
      <c r="G202" s="15">
        <v>3.162799114720749E-3</v>
      </c>
      <c r="H202" s="15">
        <v>22</v>
      </c>
      <c r="I202" s="15">
        <v>-1.0059418497806929</v>
      </c>
      <c r="J202" s="15">
        <v>-0.99845944110868379</v>
      </c>
      <c r="K202" s="15">
        <v>-1.003647261469627</v>
      </c>
      <c r="L202" s="15">
        <v>-1.007700170769728</v>
      </c>
      <c r="M202" s="15">
        <v>-1.005415361514546</v>
      </c>
      <c r="N202" s="15" t="s">
        <v>442</v>
      </c>
      <c r="O202" s="15" t="s">
        <v>578</v>
      </c>
      <c r="P202" s="15">
        <v>1</v>
      </c>
      <c r="Q202" s="15" t="s">
        <v>579</v>
      </c>
      <c r="R202" s="15">
        <v>1E-3</v>
      </c>
      <c r="S202" s="15" t="s">
        <v>580</v>
      </c>
      <c r="T202" s="15">
        <v>0.5</v>
      </c>
      <c r="U202" s="15" t="s">
        <v>450</v>
      </c>
      <c r="V202" s="15">
        <v>100</v>
      </c>
      <c r="W202" s="15" t="s">
        <v>577</v>
      </c>
      <c r="X202" s="15">
        <v>3</v>
      </c>
      <c r="Y202" s="15" t="s">
        <v>581</v>
      </c>
      <c r="Z202" s="15">
        <v>0.8</v>
      </c>
      <c r="AA202" s="15" t="s">
        <v>582</v>
      </c>
      <c r="AB202" s="15">
        <v>0.5</v>
      </c>
      <c r="AC202" s="15" t="s">
        <v>583</v>
      </c>
      <c r="AD202" s="15">
        <v>0.9</v>
      </c>
    </row>
    <row r="203" spans="2:30" x14ac:dyDescent="0.2">
      <c r="B203" s="15">
        <v>224.68435935974119</v>
      </c>
      <c r="C203" s="15">
        <v>17.489147397444299</v>
      </c>
      <c r="D203" s="15">
        <v>19.366902351379391</v>
      </c>
      <c r="E203" s="15">
        <v>4.9508109463563912</v>
      </c>
      <c r="F203" s="15">
        <v>-1.029400080204687</v>
      </c>
      <c r="G203" s="15">
        <v>3.4097530101480718E-3</v>
      </c>
      <c r="H203" s="15">
        <v>46</v>
      </c>
      <c r="I203" s="15">
        <v>-1.0295631939597909</v>
      </c>
      <c r="J203" s="15">
        <v>-1.0242592635711321</v>
      </c>
      <c r="K203" s="15">
        <v>-1.02799242915607</v>
      </c>
      <c r="L203" s="15">
        <v>-1.0347502583075601</v>
      </c>
      <c r="M203" s="15">
        <v>-1.0304352560288801</v>
      </c>
      <c r="N203" s="15" t="s">
        <v>442</v>
      </c>
      <c r="O203" s="15" t="s">
        <v>578</v>
      </c>
      <c r="P203" s="15">
        <v>0.6</v>
      </c>
      <c r="Q203" s="15" t="s">
        <v>579</v>
      </c>
      <c r="R203" s="15">
        <v>0.01</v>
      </c>
      <c r="S203" s="15" t="s">
        <v>580</v>
      </c>
      <c r="T203" s="15">
        <v>1E-3</v>
      </c>
      <c r="U203" s="15" t="s">
        <v>450</v>
      </c>
      <c r="V203" s="15">
        <v>300</v>
      </c>
      <c r="W203" s="15" t="s">
        <v>577</v>
      </c>
      <c r="X203" s="15">
        <v>21</v>
      </c>
      <c r="Y203" s="15" t="s">
        <v>581</v>
      </c>
      <c r="Z203" s="15">
        <v>0.01</v>
      </c>
      <c r="AA203" s="15" t="s">
        <v>582</v>
      </c>
      <c r="AB203" s="15">
        <v>0.6</v>
      </c>
      <c r="AC203" s="15" t="s">
        <v>583</v>
      </c>
      <c r="AD203" s="15">
        <v>0.7</v>
      </c>
    </row>
    <row r="204" spans="2:30" x14ac:dyDescent="0.2">
      <c r="B204" s="15">
        <v>24.85206398963928</v>
      </c>
      <c r="C204" s="15">
        <v>2.409127057345668</v>
      </c>
      <c r="D204" s="15">
        <v>0.69762821197509761</v>
      </c>
      <c r="E204" s="15">
        <v>5.7300460972077832E-2</v>
      </c>
      <c r="F204" s="15">
        <v>-1.040203795870384</v>
      </c>
      <c r="G204" s="15">
        <v>2.7287006608736428E-3</v>
      </c>
      <c r="H204" s="15">
        <v>58</v>
      </c>
      <c r="I204" s="15">
        <v>-1.0412091134007859</v>
      </c>
      <c r="J204" s="15">
        <v>-1.036474733405643</v>
      </c>
      <c r="K204" s="15">
        <v>-1.0379650780416989</v>
      </c>
      <c r="L204" s="15">
        <v>-1.0442642027371909</v>
      </c>
      <c r="M204" s="15">
        <v>-1.041105851766603</v>
      </c>
      <c r="N204" s="15" t="s">
        <v>442</v>
      </c>
      <c r="O204" s="15" t="s">
        <v>578</v>
      </c>
      <c r="P204" s="15">
        <v>0.8</v>
      </c>
      <c r="Q204" s="15" t="s">
        <v>579</v>
      </c>
      <c r="R204" s="15">
        <v>5.0000000000000001E-3</v>
      </c>
      <c r="S204" s="15" t="s">
        <v>580</v>
      </c>
      <c r="T204" s="15">
        <v>1E-3</v>
      </c>
      <c r="U204" s="15" t="s">
        <v>450</v>
      </c>
      <c r="V204" s="15">
        <v>400</v>
      </c>
      <c r="W204" s="15" t="s">
        <v>577</v>
      </c>
      <c r="X204" s="15">
        <v>3</v>
      </c>
      <c r="Y204" s="15" t="s">
        <v>581</v>
      </c>
      <c r="Z204" s="15">
        <v>0.01</v>
      </c>
      <c r="AA204" s="15" t="s">
        <v>582</v>
      </c>
      <c r="AB204" s="15">
        <v>0.5</v>
      </c>
      <c r="AC204" s="15" t="s">
        <v>583</v>
      </c>
      <c r="AD204" s="15">
        <v>0.8</v>
      </c>
    </row>
    <row r="205" spans="2:30" x14ac:dyDescent="0.2">
      <c r="B205" s="15">
        <v>27.853442478179929</v>
      </c>
      <c r="C205" s="15">
        <v>0.55357913750584054</v>
      </c>
      <c r="D205" s="15">
        <v>0.35772900581359862</v>
      </c>
      <c r="E205" s="15">
        <v>1.6697212626710471E-2</v>
      </c>
      <c r="F205" s="15">
        <v>-1.128174386574605</v>
      </c>
      <c r="G205" s="15">
        <v>4.0892733328146474E-3</v>
      </c>
      <c r="H205" s="15">
        <v>83</v>
      </c>
      <c r="I205" s="15">
        <v>-1.127117293234015</v>
      </c>
      <c r="J205" s="15">
        <v>-1.125595081643979</v>
      </c>
      <c r="K205" s="15">
        <v>-1.124238896535769</v>
      </c>
      <c r="L205" s="15">
        <v>-1.135940638102231</v>
      </c>
      <c r="M205" s="15">
        <v>-1.1279800233570301</v>
      </c>
      <c r="N205" s="15" t="s">
        <v>442</v>
      </c>
      <c r="O205" s="15" t="s">
        <v>578</v>
      </c>
      <c r="P205" s="15">
        <v>0.9</v>
      </c>
      <c r="Q205" s="15" t="s">
        <v>579</v>
      </c>
      <c r="R205" s="15">
        <v>0.05</v>
      </c>
      <c r="S205" s="15" t="s">
        <v>580</v>
      </c>
      <c r="T205" s="15">
        <v>0.05</v>
      </c>
      <c r="U205" s="15" t="s">
        <v>450</v>
      </c>
      <c r="V205" s="15">
        <v>100</v>
      </c>
      <c r="W205" s="15" t="s">
        <v>577</v>
      </c>
      <c r="X205" s="15">
        <v>21</v>
      </c>
      <c r="Y205" s="15" t="s">
        <v>581</v>
      </c>
      <c r="Z205" s="15">
        <v>0.5</v>
      </c>
      <c r="AA205" s="15" t="s">
        <v>582</v>
      </c>
      <c r="AB205" s="15">
        <v>0.8</v>
      </c>
      <c r="AC205" s="15" t="s">
        <v>583</v>
      </c>
      <c r="AD205" s="15">
        <v>0.7</v>
      </c>
    </row>
    <row r="206" spans="2:30" x14ac:dyDescent="0.2">
      <c r="B206" s="15">
        <v>54.105830621719363</v>
      </c>
      <c r="C206" s="15">
        <v>0.63461906026427839</v>
      </c>
      <c r="D206" s="15">
        <v>2.4310789108276372</v>
      </c>
      <c r="E206" s="15">
        <v>0.33351002001020191</v>
      </c>
      <c r="F206" s="15">
        <v>-1.1168829391981829</v>
      </c>
      <c r="G206" s="15">
        <v>4.7371069125562307E-3</v>
      </c>
      <c r="H206" s="15">
        <v>80</v>
      </c>
      <c r="I206" s="15">
        <v>-1.1127746929432729</v>
      </c>
      <c r="J206" s="15">
        <v>-1.111563351931433</v>
      </c>
      <c r="K206" s="15">
        <v>-1.116938948499568</v>
      </c>
      <c r="L206" s="15">
        <v>-1.124967860860798</v>
      </c>
      <c r="M206" s="15">
        <v>-1.1181698417558441</v>
      </c>
      <c r="N206" s="15" t="s">
        <v>442</v>
      </c>
      <c r="O206" s="15" t="s">
        <v>578</v>
      </c>
      <c r="P206" s="15">
        <v>0.6</v>
      </c>
      <c r="Q206" s="15" t="s">
        <v>579</v>
      </c>
      <c r="R206" s="15">
        <v>0.1</v>
      </c>
      <c r="S206" s="15" t="s">
        <v>580</v>
      </c>
      <c r="T206" s="15">
        <v>5.0000000000000001E-3</v>
      </c>
      <c r="U206" s="15" t="s">
        <v>450</v>
      </c>
      <c r="V206" s="15">
        <v>100</v>
      </c>
      <c r="W206" s="15" t="s">
        <v>577</v>
      </c>
      <c r="X206" s="15">
        <v>21</v>
      </c>
      <c r="Y206" s="15" t="s">
        <v>581</v>
      </c>
      <c r="Z206" s="15">
        <v>0.2</v>
      </c>
      <c r="AA206" s="15" t="s">
        <v>582</v>
      </c>
      <c r="AB206" s="15">
        <v>0.4</v>
      </c>
      <c r="AC206" s="15" t="s">
        <v>583</v>
      </c>
      <c r="AD206" s="15">
        <v>0.8</v>
      </c>
    </row>
    <row r="207" spans="2:30" x14ac:dyDescent="0.2">
      <c r="B207" s="15">
        <v>0.16262860298156739</v>
      </c>
      <c r="C207" s="15">
        <v>7.7454676713695093E-3</v>
      </c>
      <c r="D207" s="15">
        <v>6.3406944274902342E-3</v>
      </c>
      <c r="E207" s="15">
        <v>7.7670596560966013E-3</v>
      </c>
      <c r="F207" s="15">
        <v>-1.2088904387227759</v>
      </c>
      <c r="G207" s="15">
        <v>3.6520766751858441E-3</v>
      </c>
      <c r="H207" s="15">
        <v>6</v>
      </c>
      <c r="I207" s="15">
        <v>-1.212644081850818</v>
      </c>
      <c r="J207" s="15">
        <v>-1.20900801297169</v>
      </c>
      <c r="K207" s="15">
        <v>-1.204265570368831</v>
      </c>
      <c r="L207" s="15">
        <v>-1.213198628960414</v>
      </c>
      <c r="M207" s="15">
        <v>-1.2053358994621299</v>
      </c>
      <c r="N207" s="15" t="s">
        <v>584</v>
      </c>
      <c r="O207" s="15" t="s">
        <v>566</v>
      </c>
      <c r="P207" s="15">
        <v>10000</v>
      </c>
      <c r="Q207" s="15" t="s">
        <v>567</v>
      </c>
      <c r="R207" s="15">
        <v>0.7</v>
      </c>
      <c r="S207" s="15" t="s">
        <v>568</v>
      </c>
      <c r="T207" s="15">
        <v>0.4</v>
      </c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2:30" x14ac:dyDescent="0.2">
      <c r="B208" s="15">
        <v>0.1029745101928711</v>
      </c>
      <c r="C208" s="15">
        <v>1.488299023205612E-2</v>
      </c>
      <c r="D208" s="15">
        <v>1.2047624588012701E-2</v>
      </c>
      <c r="E208" s="15">
        <v>8.7238825506549787E-3</v>
      </c>
      <c r="F208" s="15">
        <v>-1.2407202300002551</v>
      </c>
      <c r="G208" s="15">
        <v>3.8419033302253881E-3</v>
      </c>
      <c r="H208" s="15">
        <v>9</v>
      </c>
      <c r="I208" s="15">
        <v>-1.244513571444009</v>
      </c>
      <c r="J208" s="15">
        <v>-1.2408100283579231</v>
      </c>
      <c r="K208" s="15">
        <v>-1.236373361033007</v>
      </c>
      <c r="L208" s="15">
        <v>-1.245446580691278</v>
      </c>
      <c r="M208" s="15">
        <v>-1.236457608475058</v>
      </c>
      <c r="N208" s="15" t="s">
        <v>584</v>
      </c>
      <c r="O208" s="15" t="s">
        <v>566</v>
      </c>
      <c r="P208" s="15">
        <v>10000</v>
      </c>
      <c r="Q208" s="15" t="s">
        <v>567</v>
      </c>
      <c r="R208" s="15">
        <v>0.4</v>
      </c>
      <c r="S208" s="15" t="s">
        <v>568</v>
      </c>
      <c r="T208" s="15">
        <v>10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2:30" x14ac:dyDescent="0.2">
      <c r="B209" s="15">
        <v>9.8104047775268557E-2</v>
      </c>
      <c r="C209" s="15">
        <v>8.0269307361424454E-3</v>
      </c>
      <c r="D209" s="15">
        <v>6.1265945434570311E-3</v>
      </c>
      <c r="E209" s="15">
        <v>5.851834326737337E-3</v>
      </c>
      <c r="F209" s="15">
        <v>-1.2407202300002551</v>
      </c>
      <c r="G209" s="15">
        <v>3.8419033302253881E-3</v>
      </c>
      <c r="H209" s="15">
        <v>9</v>
      </c>
      <c r="I209" s="15">
        <v>-1.244513571444009</v>
      </c>
      <c r="J209" s="15">
        <v>-1.2408100283579231</v>
      </c>
      <c r="K209" s="15">
        <v>-1.236373361033007</v>
      </c>
      <c r="L209" s="15">
        <v>-1.245446580691278</v>
      </c>
      <c r="M209" s="15">
        <v>-1.236457608475058</v>
      </c>
      <c r="N209" s="15" t="s">
        <v>584</v>
      </c>
      <c r="O209" s="15" t="s">
        <v>566</v>
      </c>
      <c r="P209" s="15">
        <v>10000</v>
      </c>
      <c r="Q209" s="15" t="s">
        <v>567</v>
      </c>
      <c r="R209" s="15">
        <v>0.6</v>
      </c>
      <c r="S209" s="15" t="s">
        <v>568</v>
      </c>
      <c r="T209" s="15">
        <v>3</v>
      </c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2:30" x14ac:dyDescent="0.2">
      <c r="B210" s="15">
        <v>158.37675638198851</v>
      </c>
      <c r="C210" s="15">
        <v>0.96271399039205041</v>
      </c>
      <c r="D210" s="15">
        <v>1.24971866607666E-2</v>
      </c>
      <c r="E210" s="15">
        <v>1.1690461923873789E-2</v>
      </c>
      <c r="F210" s="15">
        <v>-1.1242263822383569</v>
      </c>
      <c r="G210" s="15">
        <v>5.4273458425255286E-3</v>
      </c>
      <c r="H210" s="15">
        <v>1</v>
      </c>
      <c r="I210" s="15">
        <v>-1.1256805605290621</v>
      </c>
      <c r="J210" s="15">
        <v>-1.1175315376528761</v>
      </c>
      <c r="K210" s="15">
        <v>-1.1214570427411039</v>
      </c>
      <c r="L210" s="15">
        <v>-1.1337357242546371</v>
      </c>
      <c r="M210" s="15">
        <v>-1.122727046014107</v>
      </c>
      <c r="N210" s="15" t="s">
        <v>584</v>
      </c>
      <c r="O210" s="15" t="s">
        <v>566</v>
      </c>
      <c r="P210" s="15">
        <v>10000</v>
      </c>
      <c r="Q210" s="15" t="s">
        <v>567</v>
      </c>
      <c r="R210" s="15">
        <v>0.4</v>
      </c>
      <c r="S210" s="15" t="s">
        <v>568</v>
      </c>
      <c r="T210" s="15">
        <v>0</v>
      </c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2:30" x14ac:dyDescent="0.2">
      <c r="B211" s="15">
        <v>0.123476505279541</v>
      </c>
      <c r="C211" s="15">
        <v>1.0909974795793431E-2</v>
      </c>
      <c r="D211" s="15">
        <v>6.2499523162841799E-3</v>
      </c>
      <c r="E211" s="15">
        <v>7.6545970907386336E-3</v>
      </c>
      <c r="F211" s="15">
        <v>-1.2407202300002551</v>
      </c>
      <c r="G211" s="15">
        <v>3.8419033302253881E-3</v>
      </c>
      <c r="H211" s="15">
        <v>9</v>
      </c>
      <c r="I211" s="15">
        <v>-1.244513571444009</v>
      </c>
      <c r="J211" s="15">
        <v>-1.2408100283579231</v>
      </c>
      <c r="K211" s="15">
        <v>-1.236373361033007</v>
      </c>
      <c r="L211" s="15">
        <v>-1.245446580691278</v>
      </c>
      <c r="M211" s="15">
        <v>-1.236457608475058</v>
      </c>
      <c r="N211" s="15" t="s">
        <v>584</v>
      </c>
      <c r="O211" s="15" t="s">
        <v>566</v>
      </c>
      <c r="P211" s="15">
        <v>10000</v>
      </c>
      <c r="Q211" s="15" t="s">
        <v>567</v>
      </c>
      <c r="R211" s="15">
        <v>0.9</v>
      </c>
      <c r="S211" s="15" t="s">
        <v>568</v>
      </c>
      <c r="T211" s="15">
        <v>7</v>
      </c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spans="2:30" x14ac:dyDescent="0.2">
      <c r="B212" s="15">
        <v>0.13742289543151859</v>
      </c>
      <c r="C212" s="15">
        <v>6.2183792162211612E-3</v>
      </c>
      <c r="D212" s="15">
        <v>9.3739986419677738E-3</v>
      </c>
      <c r="E212" s="15">
        <v>7.6538381363739274E-3</v>
      </c>
      <c r="F212" s="15">
        <v>-1.2407202300002551</v>
      </c>
      <c r="G212" s="15">
        <v>3.8419033302253881E-3</v>
      </c>
      <c r="H212" s="15">
        <v>9</v>
      </c>
      <c r="I212" s="15">
        <v>-1.244513571444009</v>
      </c>
      <c r="J212" s="15">
        <v>-1.2408100283579231</v>
      </c>
      <c r="K212" s="15">
        <v>-1.236373361033007</v>
      </c>
      <c r="L212" s="15">
        <v>-1.245446580691278</v>
      </c>
      <c r="M212" s="15">
        <v>-1.236457608475058</v>
      </c>
      <c r="N212" s="15" t="s">
        <v>584</v>
      </c>
      <c r="O212" s="15" t="s">
        <v>566</v>
      </c>
      <c r="P212" s="15">
        <v>10000</v>
      </c>
      <c r="Q212" s="15" t="s">
        <v>567</v>
      </c>
      <c r="R212" s="15">
        <v>0.7</v>
      </c>
      <c r="S212" s="15" t="s">
        <v>568</v>
      </c>
      <c r="T212" s="15">
        <v>100</v>
      </c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2:30" x14ac:dyDescent="0.2">
      <c r="B213" s="15">
        <v>0.1216296672821045</v>
      </c>
      <c r="C213" s="15">
        <v>1.194254971638648E-2</v>
      </c>
      <c r="D213" s="15">
        <v>1.5623283386230469E-2</v>
      </c>
      <c r="E213" s="15">
        <v>1.3520666960485291E-6</v>
      </c>
      <c r="F213" s="15">
        <v>-1.2407202300002551</v>
      </c>
      <c r="G213" s="15">
        <v>3.8419033302253881E-3</v>
      </c>
      <c r="H213" s="15">
        <v>9</v>
      </c>
      <c r="I213" s="15">
        <v>-1.244513571444009</v>
      </c>
      <c r="J213" s="15">
        <v>-1.2408100283579231</v>
      </c>
      <c r="K213" s="15">
        <v>-1.236373361033007</v>
      </c>
      <c r="L213" s="15">
        <v>-1.245446580691278</v>
      </c>
      <c r="M213" s="15">
        <v>-1.236457608475058</v>
      </c>
      <c r="N213" s="15" t="s">
        <v>584</v>
      </c>
      <c r="O213" s="15" t="s">
        <v>566</v>
      </c>
      <c r="P213" s="15">
        <v>10000</v>
      </c>
      <c r="Q213" s="15" t="s">
        <v>567</v>
      </c>
      <c r="R213" s="15">
        <v>1</v>
      </c>
      <c r="S213" s="15" t="s">
        <v>568</v>
      </c>
      <c r="T213" s="15">
        <v>1</v>
      </c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spans="2:30" x14ac:dyDescent="0.2">
      <c r="B214" s="15">
        <v>0.22842879295349119</v>
      </c>
      <c r="C214" s="15">
        <v>1.596532355724354E-2</v>
      </c>
      <c r="D214" s="15">
        <v>9.3795299530029293E-3</v>
      </c>
      <c r="E214" s="15">
        <v>7.658357433378768E-3</v>
      </c>
      <c r="F214" s="15">
        <v>-1.186907137768497</v>
      </c>
      <c r="G214" s="15">
        <v>3.3811384527335708E-3</v>
      </c>
      <c r="H214" s="15">
        <v>4</v>
      </c>
      <c r="I214" s="15">
        <v>-1.1899962980923471</v>
      </c>
      <c r="J214" s="15">
        <v>-1.1863240200911971</v>
      </c>
      <c r="K214" s="15">
        <v>-1.181976700421939</v>
      </c>
      <c r="L214" s="15">
        <v>-1.191283943403241</v>
      </c>
      <c r="M214" s="15">
        <v>-1.184954726833761</v>
      </c>
      <c r="N214" s="15" t="s">
        <v>584</v>
      </c>
      <c r="O214" s="15" t="s">
        <v>566</v>
      </c>
      <c r="P214" s="15">
        <v>10000</v>
      </c>
      <c r="Q214" s="15" t="s">
        <v>567</v>
      </c>
      <c r="R214" s="15">
        <v>0.1</v>
      </c>
      <c r="S214" s="15" t="s">
        <v>568</v>
      </c>
      <c r="T214" s="15">
        <v>1</v>
      </c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spans="2:30" x14ac:dyDescent="0.2">
      <c r="B215" s="15">
        <v>157.25039467811581</v>
      </c>
      <c r="C215" s="15">
        <v>3.6543148114263322</v>
      </c>
      <c r="D215" s="15">
        <v>2.1876716613769529E-2</v>
      </c>
      <c r="E215" s="15">
        <v>7.6504335806021964E-3</v>
      </c>
      <c r="F215" s="15">
        <v>-1.2378429083813289</v>
      </c>
      <c r="G215" s="15">
        <v>3.816818766691979E-3</v>
      </c>
      <c r="H215" s="15">
        <v>8</v>
      </c>
      <c r="I215" s="15">
        <v>-1.2416234051136199</v>
      </c>
      <c r="J215" s="15">
        <v>-1.237916228333759</v>
      </c>
      <c r="K215" s="15">
        <v>-1.233467509899782</v>
      </c>
      <c r="L215" s="15">
        <v>-1.2425344362654389</v>
      </c>
      <c r="M215" s="15">
        <v>-1.2336729622940441</v>
      </c>
      <c r="N215" s="15" t="s">
        <v>584</v>
      </c>
      <c r="O215" s="15" t="s">
        <v>566</v>
      </c>
      <c r="P215" s="15">
        <v>10000</v>
      </c>
      <c r="Q215" s="15" t="s">
        <v>567</v>
      </c>
      <c r="R215" s="15">
        <v>0</v>
      </c>
      <c r="S215" s="15" t="s">
        <v>568</v>
      </c>
      <c r="T215" s="15">
        <v>100</v>
      </c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spans="2:30" x14ac:dyDescent="0.2">
      <c r="B216" s="15">
        <v>0.16263065338134769</v>
      </c>
      <c r="C216" s="15">
        <v>7.8365796354160615E-3</v>
      </c>
      <c r="D216" s="15">
        <v>1.5623760223388671E-2</v>
      </c>
      <c r="E216" s="15">
        <v>9.8812887240998029E-3</v>
      </c>
      <c r="F216" s="15">
        <v>-1.2407202300002551</v>
      </c>
      <c r="G216" s="15">
        <v>3.8419033302253881E-3</v>
      </c>
      <c r="H216" s="15">
        <v>9</v>
      </c>
      <c r="I216" s="15">
        <v>-1.244513571444009</v>
      </c>
      <c r="J216" s="15">
        <v>-1.2408100283579231</v>
      </c>
      <c r="K216" s="15">
        <v>-1.236373361033007</v>
      </c>
      <c r="L216" s="15">
        <v>-1.245446580691278</v>
      </c>
      <c r="M216" s="15">
        <v>-1.236457608475058</v>
      </c>
      <c r="N216" s="15" t="s">
        <v>584</v>
      </c>
      <c r="O216" s="15" t="s">
        <v>566</v>
      </c>
      <c r="P216" s="15">
        <v>10000</v>
      </c>
      <c r="Q216" s="15" t="s">
        <v>567</v>
      </c>
      <c r="R216" s="15">
        <v>0.3</v>
      </c>
      <c r="S216" s="15" t="s">
        <v>568</v>
      </c>
      <c r="T216" s="15">
        <v>10</v>
      </c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2:30" x14ac:dyDescent="0.2">
      <c r="B217" s="15">
        <v>0.34758486747741701</v>
      </c>
      <c r="C217" s="15">
        <v>1.155993514043204E-2</v>
      </c>
      <c r="D217" s="15">
        <v>6.25452995300293E-3</v>
      </c>
      <c r="E217" s="15">
        <v>7.6602046052733118E-3</v>
      </c>
      <c r="F217" s="15">
        <v>-1.1607875261396929</v>
      </c>
      <c r="G217" s="15">
        <v>3.83845224744734E-3</v>
      </c>
      <c r="H217" s="15">
        <v>2</v>
      </c>
      <c r="I217" s="15">
        <v>-1.162815718137316</v>
      </c>
      <c r="J217" s="15">
        <v>-1.1584063017333059</v>
      </c>
      <c r="K217" s="15">
        <v>-1.155688591160974</v>
      </c>
      <c r="L217" s="15">
        <v>-1.166906419625382</v>
      </c>
      <c r="M217" s="15">
        <v>-1.160120600041489</v>
      </c>
      <c r="N217" s="15" t="s">
        <v>584</v>
      </c>
      <c r="O217" s="15" t="s">
        <v>566</v>
      </c>
      <c r="P217" s="15">
        <v>10000</v>
      </c>
      <c r="Q217" s="15" t="s">
        <v>567</v>
      </c>
      <c r="R217" s="15">
        <v>0.1</v>
      </c>
      <c r="S217" s="15" t="s">
        <v>568</v>
      </c>
      <c r="T217" s="15">
        <v>0.4</v>
      </c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spans="2:30" x14ac:dyDescent="0.2">
      <c r="B218" s="15">
        <v>0.16582899093627931</v>
      </c>
      <c r="C218" s="15">
        <v>1.267367966620324E-2</v>
      </c>
      <c r="D218" s="15">
        <v>1.2504482269287111E-2</v>
      </c>
      <c r="E218" s="15">
        <v>6.2522459905116467E-3</v>
      </c>
      <c r="F218" s="15">
        <v>-1.2407202300002551</v>
      </c>
      <c r="G218" s="15">
        <v>3.8419033302253881E-3</v>
      </c>
      <c r="H218" s="15">
        <v>9</v>
      </c>
      <c r="I218" s="15">
        <v>-1.244513571444009</v>
      </c>
      <c r="J218" s="15">
        <v>-1.2408100283579231</v>
      </c>
      <c r="K218" s="15">
        <v>-1.236373361033007</v>
      </c>
      <c r="L218" s="15">
        <v>-1.245446580691278</v>
      </c>
      <c r="M218" s="15">
        <v>-1.236457608475058</v>
      </c>
      <c r="N218" s="15" t="s">
        <v>584</v>
      </c>
      <c r="O218" s="15" t="s">
        <v>566</v>
      </c>
      <c r="P218" s="15">
        <v>10000</v>
      </c>
      <c r="Q218" s="15" t="s">
        <v>567</v>
      </c>
      <c r="R218" s="15">
        <v>0.3</v>
      </c>
      <c r="S218" s="15" t="s">
        <v>568</v>
      </c>
      <c r="T218" s="15">
        <v>100</v>
      </c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spans="2:30" x14ac:dyDescent="0.2">
      <c r="B219" s="15">
        <v>0.1398214817047119</v>
      </c>
      <c r="C219" s="15">
        <v>1.2617691089066191E-2</v>
      </c>
      <c r="D219" s="15">
        <v>1.117682456970215E-2</v>
      </c>
      <c r="E219" s="15">
        <v>1.16363274806207E-2</v>
      </c>
      <c r="F219" s="15">
        <v>-1.2407202300002551</v>
      </c>
      <c r="G219" s="15">
        <v>3.8419033302253881E-3</v>
      </c>
      <c r="H219" s="15">
        <v>9</v>
      </c>
      <c r="I219" s="15">
        <v>-1.244513571444009</v>
      </c>
      <c r="J219" s="15">
        <v>-1.2408100283579231</v>
      </c>
      <c r="K219" s="15">
        <v>-1.236373361033007</v>
      </c>
      <c r="L219" s="15">
        <v>-1.245446580691278</v>
      </c>
      <c r="M219" s="15">
        <v>-1.236457608475058</v>
      </c>
      <c r="N219" s="15" t="s">
        <v>584</v>
      </c>
      <c r="O219" s="15" t="s">
        <v>566</v>
      </c>
      <c r="P219" s="15">
        <v>10000</v>
      </c>
      <c r="Q219" s="15" t="s">
        <v>567</v>
      </c>
      <c r="R219" s="15">
        <v>0.8</v>
      </c>
      <c r="S219" s="15" t="s">
        <v>568</v>
      </c>
      <c r="T219" s="15">
        <v>100</v>
      </c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2:30" x14ac:dyDescent="0.2">
      <c r="B220" s="15">
        <v>0.1378324031829834</v>
      </c>
      <c r="C220" s="15">
        <v>1.1236456150296311E-2</v>
      </c>
      <c r="D220" s="15">
        <v>1.2532758712768551E-2</v>
      </c>
      <c r="E220" s="15">
        <v>6.3570753286078226E-3</v>
      </c>
      <c r="F220" s="15">
        <v>-1.2407202300002551</v>
      </c>
      <c r="G220" s="15">
        <v>3.8419033302253881E-3</v>
      </c>
      <c r="H220" s="15">
        <v>9</v>
      </c>
      <c r="I220" s="15">
        <v>-1.244513571444009</v>
      </c>
      <c r="J220" s="15">
        <v>-1.2408100283579231</v>
      </c>
      <c r="K220" s="15">
        <v>-1.236373361033007</v>
      </c>
      <c r="L220" s="15">
        <v>-1.245446580691278</v>
      </c>
      <c r="M220" s="15">
        <v>-1.236457608475058</v>
      </c>
      <c r="N220" s="15" t="s">
        <v>584</v>
      </c>
      <c r="O220" s="15" t="s">
        <v>566</v>
      </c>
      <c r="P220" s="15">
        <v>10000</v>
      </c>
      <c r="Q220" s="15" t="s">
        <v>567</v>
      </c>
      <c r="R220" s="15">
        <v>0.3</v>
      </c>
      <c r="S220" s="15" t="s">
        <v>568</v>
      </c>
      <c r="T220" s="15">
        <v>1.5</v>
      </c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spans="2:30" x14ac:dyDescent="0.2">
      <c r="B221" s="15">
        <v>0.15311017036437991</v>
      </c>
      <c r="C221" s="15">
        <v>1.16911379744997E-2</v>
      </c>
      <c r="D221" s="15">
        <v>9.5337390899658207E-3</v>
      </c>
      <c r="E221" s="15">
        <v>7.7896829966366933E-3</v>
      </c>
      <c r="F221" s="15">
        <v>-1.2174558433517131</v>
      </c>
      <c r="G221" s="15">
        <v>3.8374872228317601E-3</v>
      </c>
      <c r="H221" s="15">
        <v>7</v>
      </c>
      <c r="I221" s="15">
        <v>-1.221357622837715</v>
      </c>
      <c r="J221" s="15">
        <v>-1.2176522396942291</v>
      </c>
      <c r="K221" s="15">
        <v>-1.212960896126432</v>
      </c>
      <c r="L221" s="15">
        <v>-1.2220180474421409</v>
      </c>
      <c r="M221" s="15">
        <v>-1.213290410658046</v>
      </c>
      <c r="N221" s="15" t="s">
        <v>584</v>
      </c>
      <c r="O221" s="15" t="s">
        <v>566</v>
      </c>
      <c r="P221" s="15">
        <v>10000</v>
      </c>
      <c r="Q221" s="15" t="s">
        <v>567</v>
      </c>
      <c r="R221" s="15">
        <v>0.8</v>
      </c>
      <c r="S221" s="15" t="s">
        <v>568</v>
      </c>
      <c r="T221" s="15">
        <v>0.4</v>
      </c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2:30" x14ac:dyDescent="0.2">
      <c r="B222" s="15">
        <v>0.14384884834289549</v>
      </c>
      <c r="C222" s="15">
        <v>1.135081478048031E-2</v>
      </c>
      <c r="D222" s="15">
        <v>6.2529563903808592E-3</v>
      </c>
      <c r="E222" s="15">
        <v>7.6681360110945913E-3</v>
      </c>
      <c r="F222" s="15">
        <v>-1.2407202300002551</v>
      </c>
      <c r="G222" s="15">
        <v>3.8419033302253881E-3</v>
      </c>
      <c r="H222" s="15">
        <v>9</v>
      </c>
      <c r="I222" s="15">
        <v>-1.244513571444009</v>
      </c>
      <c r="J222" s="15">
        <v>-1.2408100283579231</v>
      </c>
      <c r="K222" s="15">
        <v>-1.236373361033007</v>
      </c>
      <c r="L222" s="15">
        <v>-1.245446580691278</v>
      </c>
      <c r="M222" s="15">
        <v>-1.236457608475058</v>
      </c>
      <c r="N222" s="15" t="s">
        <v>584</v>
      </c>
      <c r="O222" s="15" t="s">
        <v>566</v>
      </c>
      <c r="P222" s="15">
        <v>10000</v>
      </c>
      <c r="Q222" s="15" t="s">
        <v>567</v>
      </c>
      <c r="R222" s="15">
        <v>0.9</v>
      </c>
      <c r="S222" s="15" t="s">
        <v>568</v>
      </c>
      <c r="T222" s="15">
        <v>10</v>
      </c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2:30" x14ac:dyDescent="0.2">
      <c r="B223" s="15">
        <v>151.44285078048699</v>
      </c>
      <c r="C223" s="15">
        <v>1.266265873604091</v>
      </c>
      <c r="D223" s="15">
        <v>7.6719760894775387E-3</v>
      </c>
      <c r="E223" s="15">
        <v>7.0304863516299576E-3</v>
      </c>
      <c r="F223" s="15">
        <v>-1.180557560500693</v>
      </c>
      <c r="G223" s="15">
        <v>3.518656168079629E-3</v>
      </c>
      <c r="H223" s="15">
        <v>3</v>
      </c>
      <c r="I223" s="15">
        <v>-1.183619799918022</v>
      </c>
      <c r="J223" s="15">
        <v>-1.1794970974356001</v>
      </c>
      <c r="K223" s="15">
        <v>-1.1755797090260509</v>
      </c>
      <c r="L223" s="15">
        <v>-1.1853769114000301</v>
      </c>
      <c r="M223" s="15">
        <v>-1.1787142847237631</v>
      </c>
      <c r="N223" s="15" t="s">
        <v>584</v>
      </c>
      <c r="O223" s="15" t="s">
        <v>566</v>
      </c>
      <c r="P223" s="15">
        <v>10000</v>
      </c>
      <c r="Q223" s="15" t="s">
        <v>567</v>
      </c>
      <c r="R223" s="15">
        <v>0</v>
      </c>
      <c r="S223" s="15" t="s">
        <v>568</v>
      </c>
      <c r="T223" s="15">
        <v>2</v>
      </c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spans="2:30" x14ac:dyDescent="0.2">
      <c r="B224" s="15">
        <v>0.19520053863525391</v>
      </c>
      <c r="C224" s="15">
        <v>2.2870773639199329E-2</v>
      </c>
      <c r="D224" s="15">
        <v>1.509809494018555E-2</v>
      </c>
      <c r="E224" s="15">
        <v>9.0751994539920305E-3</v>
      </c>
      <c r="F224" s="15">
        <v>-1.2407202300002551</v>
      </c>
      <c r="G224" s="15">
        <v>3.8419033302253881E-3</v>
      </c>
      <c r="H224" s="15">
        <v>9</v>
      </c>
      <c r="I224" s="15">
        <v>-1.244513571444009</v>
      </c>
      <c r="J224" s="15">
        <v>-1.2408100283579231</v>
      </c>
      <c r="K224" s="15">
        <v>-1.236373361033007</v>
      </c>
      <c r="L224" s="15">
        <v>-1.245446580691278</v>
      </c>
      <c r="M224" s="15">
        <v>-1.236457608475058</v>
      </c>
      <c r="N224" s="15" t="s">
        <v>584</v>
      </c>
      <c r="O224" s="15" t="s">
        <v>566</v>
      </c>
      <c r="P224" s="15">
        <v>10000</v>
      </c>
      <c r="Q224" s="15" t="s">
        <v>567</v>
      </c>
      <c r="R224" s="15">
        <v>0.9</v>
      </c>
      <c r="S224" s="15" t="s">
        <v>568</v>
      </c>
      <c r="T224" s="15">
        <v>100</v>
      </c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2:30" x14ac:dyDescent="0.2">
      <c r="B225" s="15">
        <v>0.2930919647216797</v>
      </c>
      <c r="C225" s="15">
        <v>5.0894373066737358E-2</v>
      </c>
      <c r="D225" s="15">
        <v>2.188472747802734E-2</v>
      </c>
      <c r="E225" s="15">
        <v>1.249740624654707E-2</v>
      </c>
      <c r="F225" s="15">
        <v>-1.202519344151133</v>
      </c>
      <c r="G225" s="15">
        <v>3.492464199366808E-3</v>
      </c>
      <c r="H225" s="15">
        <v>5</v>
      </c>
      <c r="I225" s="15">
        <v>-1.206033544461369</v>
      </c>
      <c r="J225" s="15">
        <v>-1.2023906404003659</v>
      </c>
      <c r="K225" s="15">
        <v>-1.1977823972197441</v>
      </c>
      <c r="L225" s="15">
        <v>-1.2067495374519239</v>
      </c>
      <c r="M225" s="15">
        <v>-1.1996406012222629</v>
      </c>
      <c r="N225" s="15" t="s">
        <v>584</v>
      </c>
      <c r="O225" s="15" t="s">
        <v>566</v>
      </c>
      <c r="P225" s="15">
        <v>10000</v>
      </c>
      <c r="Q225" s="15" t="s">
        <v>567</v>
      </c>
      <c r="R225" s="15">
        <v>0.2</v>
      </c>
      <c r="S225" s="15" t="s">
        <v>568</v>
      </c>
      <c r="T225" s="15">
        <v>1</v>
      </c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spans="2:30" x14ac:dyDescent="0.2">
      <c r="B226" s="15">
        <v>0.21866898536682131</v>
      </c>
      <c r="C226" s="15">
        <v>4.6192287629081043E-2</v>
      </c>
      <c r="D226" s="15">
        <v>1.2501144409179691E-2</v>
      </c>
      <c r="E226" s="15">
        <v>1.1691712292401081E-2</v>
      </c>
      <c r="F226" s="15">
        <v>-1.2407202300002551</v>
      </c>
      <c r="G226" s="15">
        <v>3.8419033302253881E-3</v>
      </c>
      <c r="H226" s="15">
        <v>9</v>
      </c>
      <c r="I226" s="15">
        <v>-1.244513571444009</v>
      </c>
      <c r="J226" s="15">
        <v>-1.2408100283579231</v>
      </c>
      <c r="K226" s="15">
        <v>-1.236373361033007</v>
      </c>
      <c r="L226" s="15">
        <v>-1.245446580691278</v>
      </c>
      <c r="M226" s="15">
        <v>-1.236457608475058</v>
      </c>
      <c r="N226" s="15" t="s">
        <v>584</v>
      </c>
      <c r="O226" s="15" t="s">
        <v>566</v>
      </c>
      <c r="P226" s="15">
        <v>10000</v>
      </c>
      <c r="Q226" s="15" t="s">
        <v>567</v>
      </c>
      <c r="R226" s="15">
        <v>0.3</v>
      </c>
      <c r="S226" s="15" t="s">
        <v>568</v>
      </c>
      <c r="T226" s="15">
        <v>2</v>
      </c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spans="2:30" x14ac:dyDescent="0.2">
      <c r="B227" s="15">
        <v>1.805333137512207</v>
      </c>
      <c r="C227" s="15">
        <v>0.2607549411267519</v>
      </c>
      <c r="D227" s="15">
        <v>3.0822896957397459E-2</v>
      </c>
      <c r="E227" s="15">
        <v>1.246112491548584E-2</v>
      </c>
      <c r="F227" s="15">
        <v>-1.0558342006836869</v>
      </c>
      <c r="G227" s="15">
        <v>3.817938441941387E-3</v>
      </c>
      <c r="H227" s="15">
        <v>7</v>
      </c>
      <c r="I227" s="15">
        <v>-1.053886787918713</v>
      </c>
      <c r="J227" s="15">
        <v>-1.05120725491589</v>
      </c>
      <c r="K227" s="15">
        <v>-1.053752735473743</v>
      </c>
      <c r="L227" s="15">
        <v>-1.061877933985772</v>
      </c>
      <c r="M227" s="15">
        <v>-1.058446291124314</v>
      </c>
      <c r="N227" s="15" t="s">
        <v>585</v>
      </c>
      <c r="O227" s="15" t="s">
        <v>576</v>
      </c>
      <c r="P227" s="15">
        <v>100</v>
      </c>
      <c r="Q227" s="15" t="s">
        <v>577</v>
      </c>
      <c r="R227" s="15">
        <v>36</v>
      </c>
      <c r="S227" s="15" t="s">
        <v>586</v>
      </c>
      <c r="T227" s="15" t="s">
        <v>587</v>
      </c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spans="2:30" x14ac:dyDescent="0.2">
      <c r="B228" s="15">
        <v>11130.760408067699</v>
      </c>
      <c r="C228" s="15">
        <v>323.90475641743052</v>
      </c>
      <c r="D228" s="15">
        <v>2.6587343215942381E-2</v>
      </c>
      <c r="E228" s="15">
        <v>3.526824112453805E-3</v>
      </c>
      <c r="F228" s="15">
        <v>-1.124742566813723</v>
      </c>
      <c r="G228" s="15">
        <v>1.385398755238975E-3</v>
      </c>
      <c r="H228" s="15">
        <v>24</v>
      </c>
      <c r="I228" s="15">
        <v>-1.123743321913339</v>
      </c>
      <c r="J228" s="15">
        <v>-1.1238174048962779</v>
      </c>
      <c r="K228" s="15">
        <v>-1.1271363808329871</v>
      </c>
      <c r="L228" s="15">
        <v>-1.1235327436071501</v>
      </c>
      <c r="M228" s="15">
        <v>-1.1254829828188631</v>
      </c>
      <c r="N228" s="15" t="s">
        <v>585</v>
      </c>
      <c r="O228" s="15" t="s">
        <v>576</v>
      </c>
      <c r="P228" s="15">
        <v>2</v>
      </c>
      <c r="Q228" s="15" t="s">
        <v>577</v>
      </c>
      <c r="R228" s="15">
        <v>21</v>
      </c>
      <c r="S228" s="15" t="s">
        <v>586</v>
      </c>
      <c r="T228" s="15" t="s">
        <v>588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2:30" x14ac:dyDescent="0.2">
      <c r="B229" s="15">
        <v>8194.4334383010864</v>
      </c>
      <c r="C229" s="15">
        <v>78.435775243726312</v>
      </c>
      <c r="D229" s="15">
        <v>1.6299867630004881E-2</v>
      </c>
      <c r="E229" s="15">
        <v>2.8342772922779189E-3</v>
      </c>
      <c r="F229" s="15">
        <v>-1.115973188990969</v>
      </c>
      <c r="G229" s="15">
        <v>3.166775309261188E-3</v>
      </c>
      <c r="H229" s="15">
        <v>23</v>
      </c>
      <c r="I229" s="15">
        <v>-1.1165849257516149</v>
      </c>
      <c r="J229" s="15">
        <v>-1.114961075545901</v>
      </c>
      <c r="K229" s="15">
        <v>-1.1104265215918281</v>
      </c>
      <c r="L229" s="15">
        <v>-1.1185629481475501</v>
      </c>
      <c r="M229" s="15">
        <v>-1.119330473917949</v>
      </c>
      <c r="N229" s="15" t="s">
        <v>585</v>
      </c>
      <c r="O229" s="15" t="s">
        <v>576</v>
      </c>
      <c r="P229" s="15">
        <v>5</v>
      </c>
      <c r="Q229" s="15" t="s">
        <v>577</v>
      </c>
      <c r="R229" s="15">
        <v>13</v>
      </c>
      <c r="S229" s="15" t="s">
        <v>586</v>
      </c>
      <c r="T229" s="15" t="s">
        <v>588</v>
      </c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2:30" x14ac:dyDescent="0.2">
      <c r="B230" s="15">
        <v>0.87744455337524419</v>
      </c>
      <c r="C230" s="15">
        <v>9.3498244421936216E-2</v>
      </c>
      <c r="D230" s="15">
        <v>1.540131568908691E-2</v>
      </c>
      <c r="E230" s="15">
        <v>3.6910217904424312E-3</v>
      </c>
      <c r="F230" s="15">
        <v>-1.055547369791825</v>
      </c>
      <c r="G230" s="15">
        <v>3.1498954393751762E-3</v>
      </c>
      <c r="H230" s="15">
        <v>6</v>
      </c>
      <c r="I230" s="15">
        <v>-1.0562850052899</v>
      </c>
      <c r="J230" s="15">
        <v>-1.0515387886310039</v>
      </c>
      <c r="K230" s="15">
        <v>-1.052224680707841</v>
      </c>
      <c r="L230" s="15">
        <v>-1.0591744181514791</v>
      </c>
      <c r="M230" s="15">
        <v>-1.0585139561789001</v>
      </c>
      <c r="N230" s="15" t="s">
        <v>585</v>
      </c>
      <c r="O230" s="15" t="s">
        <v>576</v>
      </c>
      <c r="P230" s="15">
        <v>100</v>
      </c>
      <c r="Q230" s="15" t="s">
        <v>577</v>
      </c>
      <c r="R230" s="15">
        <v>5</v>
      </c>
      <c r="S230" s="15" t="s">
        <v>586</v>
      </c>
      <c r="T230" s="15" t="s">
        <v>587</v>
      </c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spans="2:30" x14ac:dyDescent="0.2">
      <c r="B231" s="15">
        <v>1.947636890411377</v>
      </c>
      <c r="C231" s="15">
        <v>5.6931378117200733E-2</v>
      </c>
      <c r="D231" s="15">
        <v>2.3741245269775391E-2</v>
      </c>
      <c r="E231" s="15">
        <v>2.6247145356431819E-3</v>
      </c>
      <c r="F231" s="15">
        <v>-1.062141210459117</v>
      </c>
      <c r="G231" s="15">
        <v>2.6605521297434899E-3</v>
      </c>
      <c r="H231" s="15">
        <v>11</v>
      </c>
      <c r="I231" s="15">
        <v>-1.063507085240037</v>
      </c>
      <c r="J231" s="15">
        <v>-1.0587333043997209</v>
      </c>
      <c r="K231" s="15">
        <v>-1.059500698929825</v>
      </c>
      <c r="L231" s="15">
        <v>-1.065892773648232</v>
      </c>
      <c r="M231" s="15">
        <v>-1.0630721900777691</v>
      </c>
      <c r="N231" s="15" t="s">
        <v>585</v>
      </c>
      <c r="O231" s="15" t="s">
        <v>576</v>
      </c>
      <c r="P231" s="15">
        <v>10</v>
      </c>
      <c r="Q231" s="15" t="s">
        <v>577</v>
      </c>
      <c r="R231" s="15">
        <v>13</v>
      </c>
      <c r="S231" s="15" t="s">
        <v>586</v>
      </c>
      <c r="T231" s="15" t="s">
        <v>587</v>
      </c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2:30" x14ac:dyDescent="0.2">
      <c r="B232" s="15">
        <v>15106.24272327423</v>
      </c>
      <c r="C232" s="15">
        <v>862.26482573187639</v>
      </c>
      <c r="D232" s="15">
        <v>6.7712020874023435E-2</v>
      </c>
      <c r="E232" s="15">
        <v>6.4084291464782464E-3</v>
      </c>
      <c r="F232" s="15">
        <v>-1.2339298939250241</v>
      </c>
      <c r="G232" s="15">
        <v>3.3173988491843058E-3</v>
      </c>
      <c r="H232" s="15">
        <v>31</v>
      </c>
      <c r="I232" s="15">
        <v>-1.230153105458488</v>
      </c>
      <c r="J232" s="15">
        <v>-1.2327381419485119</v>
      </c>
      <c r="K232" s="15">
        <v>-1.2380919959266781</v>
      </c>
      <c r="L232" s="15">
        <v>-1.23762651618637</v>
      </c>
      <c r="M232" s="15">
        <v>-1.231039710105071</v>
      </c>
      <c r="N232" s="15" t="s">
        <v>585</v>
      </c>
      <c r="O232" s="15" t="s">
        <v>576</v>
      </c>
      <c r="P232" s="15">
        <v>25</v>
      </c>
      <c r="Q232" s="15" t="s">
        <v>577</v>
      </c>
      <c r="R232" s="15">
        <v>100</v>
      </c>
      <c r="S232" s="15" t="s">
        <v>586</v>
      </c>
      <c r="T232" s="15" t="s">
        <v>588</v>
      </c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spans="2:30" x14ac:dyDescent="0.2">
      <c r="B233" s="15">
        <v>0.61503295898437504</v>
      </c>
      <c r="C233" s="15">
        <v>3.053098463736096E-2</v>
      </c>
      <c r="D233" s="15">
        <v>1.244897842407227E-2</v>
      </c>
      <c r="E233" s="15">
        <v>2.3702072507632032E-3</v>
      </c>
      <c r="F233" s="15">
        <v>-1.092280226237029</v>
      </c>
      <c r="G233" s="15">
        <v>2.9442418393984949E-3</v>
      </c>
      <c r="H233" s="15">
        <v>14</v>
      </c>
      <c r="I233" s="15">
        <v>-1.095375010039958</v>
      </c>
      <c r="J233" s="15">
        <v>-1.087867456791819</v>
      </c>
      <c r="K233" s="15">
        <v>-1.0898976684641659</v>
      </c>
      <c r="L233" s="15">
        <v>-1.095070973025652</v>
      </c>
      <c r="M233" s="15">
        <v>-1.09319002286355</v>
      </c>
      <c r="N233" s="15" t="s">
        <v>585</v>
      </c>
      <c r="O233" s="15" t="s">
        <v>576</v>
      </c>
      <c r="P233" s="15">
        <v>100</v>
      </c>
      <c r="Q233" s="15" t="s">
        <v>577</v>
      </c>
      <c r="R233" s="15">
        <v>3</v>
      </c>
      <c r="S233" s="15" t="s">
        <v>586</v>
      </c>
      <c r="T233" s="15" t="s">
        <v>589</v>
      </c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spans="2:30" x14ac:dyDescent="0.2">
      <c r="B234" s="15">
        <v>3.1904052734374999</v>
      </c>
      <c r="C234" s="15">
        <v>0.1061734374739913</v>
      </c>
      <c r="D234" s="15">
        <v>3.0051612854003911E-2</v>
      </c>
      <c r="E234" s="15">
        <v>4.2374939367035916E-3</v>
      </c>
      <c r="F234" s="15">
        <v>-1.0662662571067529</v>
      </c>
      <c r="G234" s="15">
        <v>2.1547757535134008E-3</v>
      </c>
      <c r="H234" s="15">
        <v>13</v>
      </c>
      <c r="I234" s="15">
        <v>-1.065032292685367</v>
      </c>
      <c r="J234" s="15">
        <v>-1.0630472364811501</v>
      </c>
      <c r="K234" s="15">
        <v>-1.0660985724051879</v>
      </c>
      <c r="L234" s="15">
        <v>-1.069136555433678</v>
      </c>
      <c r="M234" s="15">
        <v>-1.0680166285283821</v>
      </c>
      <c r="N234" s="15" t="s">
        <v>585</v>
      </c>
      <c r="O234" s="15" t="s">
        <v>576</v>
      </c>
      <c r="P234" s="15">
        <v>2</v>
      </c>
      <c r="Q234" s="15" t="s">
        <v>577</v>
      </c>
      <c r="R234" s="15">
        <v>13</v>
      </c>
      <c r="S234" s="15" t="s">
        <v>586</v>
      </c>
      <c r="T234" s="15" t="s">
        <v>590</v>
      </c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spans="2:30" x14ac:dyDescent="0.2">
      <c r="B235" s="15">
        <v>0.7063963890075684</v>
      </c>
      <c r="C235" s="15">
        <v>9.7735865807910813E-2</v>
      </c>
      <c r="D235" s="15">
        <v>1.418266296386719E-2</v>
      </c>
      <c r="E235" s="15">
        <v>3.156147557663067E-3</v>
      </c>
      <c r="F235" s="15">
        <v>-1.092280226237029</v>
      </c>
      <c r="G235" s="15">
        <v>2.9442418393984949E-3</v>
      </c>
      <c r="H235" s="15">
        <v>14</v>
      </c>
      <c r="I235" s="15">
        <v>-1.095375010039958</v>
      </c>
      <c r="J235" s="15">
        <v>-1.087867456791819</v>
      </c>
      <c r="K235" s="15">
        <v>-1.0898976684641659</v>
      </c>
      <c r="L235" s="15">
        <v>-1.095070973025652</v>
      </c>
      <c r="M235" s="15">
        <v>-1.09319002286355</v>
      </c>
      <c r="N235" s="15" t="s">
        <v>585</v>
      </c>
      <c r="O235" s="15" t="s">
        <v>576</v>
      </c>
      <c r="P235" s="15">
        <v>25</v>
      </c>
      <c r="Q235" s="15" t="s">
        <v>577</v>
      </c>
      <c r="R235" s="15">
        <v>3</v>
      </c>
      <c r="S235" s="15" t="s">
        <v>586</v>
      </c>
      <c r="T235" s="15" t="s">
        <v>589</v>
      </c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2:30" x14ac:dyDescent="0.2">
      <c r="B236" s="15">
        <v>5.4322295665740974</v>
      </c>
      <c r="C236" s="15">
        <v>0.24056072627725639</v>
      </c>
      <c r="D236" s="15">
        <v>7.9754924774169927E-2</v>
      </c>
      <c r="E236" s="15">
        <v>6.3805193344333884E-3</v>
      </c>
      <c r="F236" s="15">
        <v>-1.368339724962002</v>
      </c>
      <c r="G236" s="15">
        <v>3.7430448122081259E-3</v>
      </c>
      <c r="H236" s="15">
        <v>36</v>
      </c>
      <c r="I236" s="15">
        <v>-1.364693073760775</v>
      </c>
      <c r="J236" s="15">
        <v>-1.370984390006569</v>
      </c>
      <c r="K236" s="15">
        <v>-1.3638565122388551</v>
      </c>
      <c r="L236" s="15">
        <v>-1.368378927977673</v>
      </c>
      <c r="M236" s="15">
        <v>-1.3737857208261399</v>
      </c>
      <c r="N236" s="15" t="s">
        <v>585</v>
      </c>
      <c r="O236" s="15" t="s">
        <v>576</v>
      </c>
      <c r="P236" s="15">
        <v>5</v>
      </c>
      <c r="Q236" s="15" t="s">
        <v>577</v>
      </c>
      <c r="R236" s="15">
        <v>36</v>
      </c>
      <c r="S236" s="15" t="s">
        <v>586</v>
      </c>
      <c r="T236" s="15" t="s">
        <v>589</v>
      </c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2:30" x14ac:dyDescent="0.2">
      <c r="B237" s="15">
        <v>6.2849270343780521</v>
      </c>
      <c r="C237" s="15">
        <v>0.26147929343943849</v>
      </c>
      <c r="D237" s="15">
        <v>8.5623979568481445E-2</v>
      </c>
      <c r="E237" s="15">
        <v>7.1788538714283243E-3</v>
      </c>
      <c r="F237" s="15">
        <v>-1.4437615422287371</v>
      </c>
      <c r="G237" s="15">
        <v>3.7777722282096322E-3</v>
      </c>
      <c r="H237" s="15">
        <v>38</v>
      </c>
      <c r="I237" s="15">
        <v>-1.4402425769415881</v>
      </c>
      <c r="J237" s="15">
        <v>-1.4446947829136649</v>
      </c>
      <c r="K237" s="15">
        <v>-1.4393402937594411</v>
      </c>
      <c r="L237" s="15">
        <v>-1.4446185701559731</v>
      </c>
      <c r="M237" s="15">
        <v>-1.449911487373019</v>
      </c>
      <c r="N237" s="15" t="s">
        <v>585</v>
      </c>
      <c r="O237" s="15" t="s">
        <v>576</v>
      </c>
      <c r="P237" s="15">
        <v>2</v>
      </c>
      <c r="Q237" s="15" t="s">
        <v>577</v>
      </c>
      <c r="R237" s="15">
        <v>57</v>
      </c>
      <c r="S237" s="15" t="s">
        <v>586</v>
      </c>
      <c r="T237" s="15" t="s">
        <v>589</v>
      </c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spans="2:30" x14ac:dyDescent="0.2">
      <c r="B238" s="15">
        <v>14859.94213733673</v>
      </c>
      <c r="C238" s="15">
        <v>1825.071590543693</v>
      </c>
      <c r="D238" s="15">
        <v>0.10774059295654299</v>
      </c>
      <c r="E238" s="15">
        <v>1.7362069939103799E-2</v>
      </c>
      <c r="F238" s="15">
        <v>-1.3792551812609599</v>
      </c>
      <c r="G238" s="15">
        <v>6.7690936343154781E-3</v>
      </c>
      <c r="H238" s="15">
        <v>37</v>
      </c>
      <c r="I238" s="15">
        <v>-1.3696623439610269</v>
      </c>
      <c r="J238" s="15">
        <v>-1.3727157155507179</v>
      </c>
      <c r="K238" s="15">
        <v>-1.383234617549044</v>
      </c>
      <c r="L238" s="15">
        <v>-1.383809444138967</v>
      </c>
      <c r="M238" s="15">
        <v>-1.386853785105044</v>
      </c>
      <c r="N238" s="15" t="s">
        <v>585</v>
      </c>
      <c r="O238" s="15" t="s">
        <v>576</v>
      </c>
      <c r="P238" s="15">
        <v>5</v>
      </c>
      <c r="Q238" s="15" t="s">
        <v>577</v>
      </c>
      <c r="R238" s="15">
        <v>100</v>
      </c>
      <c r="S238" s="15" t="s">
        <v>586</v>
      </c>
      <c r="T238" s="15" t="s">
        <v>588</v>
      </c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spans="2:30" x14ac:dyDescent="0.2">
      <c r="B239" s="15">
        <v>2.682181406021118</v>
      </c>
      <c r="C239" s="15">
        <v>0.17979545908057021</v>
      </c>
      <c r="D239" s="15">
        <v>2.92353630065918E-2</v>
      </c>
      <c r="E239" s="15">
        <v>3.00063044475056E-3</v>
      </c>
      <c r="F239" s="15">
        <v>-1.0554508764294219</v>
      </c>
      <c r="G239" s="15">
        <v>1.800808182985504E-3</v>
      </c>
      <c r="H239" s="15">
        <v>5</v>
      </c>
      <c r="I239" s="15">
        <v>-1.0548083512132349</v>
      </c>
      <c r="J239" s="15">
        <v>-1.052722250699621</v>
      </c>
      <c r="K239" s="15">
        <v>-1.0549797241612571</v>
      </c>
      <c r="L239" s="15">
        <v>-1.0567585616241271</v>
      </c>
      <c r="M239" s="15">
        <v>-1.057985494448872</v>
      </c>
      <c r="N239" s="15" t="s">
        <v>585</v>
      </c>
      <c r="O239" s="15" t="s">
        <v>576</v>
      </c>
      <c r="P239" s="15">
        <v>100</v>
      </c>
      <c r="Q239" s="15" t="s">
        <v>577</v>
      </c>
      <c r="R239" s="15">
        <v>100</v>
      </c>
      <c r="S239" s="15" t="s">
        <v>586</v>
      </c>
      <c r="T239" s="15" t="s">
        <v>590</v>
      </c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spans="2:30" x14ac:dyDescent="0.2">
      <c r="B240" s="15">
        <v>3.462045431137085</v>
      </c>
      <c r="C240" s="15">
        <v>0.14789180670636731</v>
      </c>
      <c r="D240" s="15">
        <v>4.60052490234375E-2</v>
      </c>
      <c r="E240" s="15">
        <v>6.970666542418626E-3</v>
      </c>
      <c r="F240" s="15">
        <v>-1.265559855101074</v>
      </c>
      <c r="G240" s="15">
        <v>2.1535517979586428E-3</v>
      </c>
      <c r="H240" s="15">
        <v>32</v>
      </c>
      <c r="I240" s="15">
        <v>-1.2644397099917051</v>
      </c>
      <c r="J240" s="15">
        <v>-1.263729985069223</v>
      </c>
      <c r="K240" s="15">
        <v>-1.2642635252826999</v>
      </c>
      <c r="L240" s="15">
        <v>-1.2656968775894331</v>
      </c>
      <c r="M240" s="15">
        <v>-1.2696691775723119</v>
      </c>
      <c r="N240" s="15" t="s">
        <v>585</v>
      </c>
      <c r="O240" s="15" t="s">
        <v>576</v>
      </c>
      <c r="P240" s="15">
        <v>10</v>
      </c>
      <c r="Q240" s="15" t="s">
        <v>577</v>
      </c>
      <c r="R240" s="15">
        <v>36</v>
      </c>
      <c r="S240" s="15" t="s">
        <v>586</v>
      </c>
      <c r="T240" s="15" t="s">
        <v>589</v>
      </c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2:30" x14ac:dyDescent="0.2">
      <c r="B241" s="15">
        <v>1.6764614105224609</v>
      </c>
      <c r="C241" s="15">
        <v>5.2051336302364838E-2</v>
      </c>
      <c r="D241" s="15">
        <v>2.1898889541625981E-2</v>
      </c>
      <c r="E241" s="15">
        <v>1.5898478936981549E-3</v>
      </c>
      <c r="F241" s="15">
        <v>-1.062130731997867</v>
      </c>
      <c r="G241" s="15">
        <v>2.6485249041364638E-3</v>
      </c>
      <c r="H241" s="15">
        <v>10</v>
      </c>
      <c r="I241" s="15">
        <v>-1.0634320108567961</v>
      </c>
      <c r="J241" s="15">
        <v>-1.0587333043997209</v>
      </c>
      <c r="K241" s="15">
        <v>-1.0595233810068181</v>
      </c>
      <c r="L241" s="15">
        <v>-1.065892773648232</v>
      </c>
      <c r="M241" s="15">
        <v>-1.0630721900777691</v>
      </c>
      <c r="N241" s="15" t="s">
        <v>585</v>
      </c>
      <c r="O241" s="15" t="s">
        <v>576</v>
      </c>
      <c r="P241" s="15">
        <v>10</v>
      </c>
      <c r="Q241" s="15" t="s">
        <v>577</v>
      </c>
      <c r="R241" s="15">
        <v>13</v>
      </c>
      <c r="S241" s="15" t="s">
        <v>586</v>
      </c>
      <c r="T241" s="15" t="s">
        <v>589</v>
      </c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2:30" x14ac:dyDescent="0.2">
      <c r="B242" s="15">
        <v>2.4290617465972901</v>
      </c>
      <c r="C242" s="15">
        <v>0.11393330065622689</v>
      </c>
      <c r="D242" s="15">
        <v>2.7859973907470699E-2</v>
      </c>
      <c r="E242" s="15">
        <v>2.8276238850822892E-3</v>
      </c>
      <c r="F242" s="15">
        <v>-1.135844831912405</v>
      </c>
      <c r="G242" s="15">
        <v>1.4857602664282671E-3</v>
      </c>
      <c r="H242" s="15">
        <v>25</v>
      </c>
      <c r="I242" s="15">
        <v>-1.13425073071119</v>
      </c>
      <c r="J242" s="15">
        <v>-1.1339594167103939</v>
      </c>
      <c r="K242" s="15">
        <v>-1.136370471651575</v>
      </c>
      <c r="L242" s="15">
        <v>-1.1377106647765169</v>
      </c>
      <c r="M242" s="15">
        <v>-1.1369328757123509</v>
      </c>
      <c r="N242" s="15" t="s">
        <v>585</v>
      </c>
      <c r="O242" s="15" t="s">
        <v>576</v>
      </c>
      <c r="P242" s="15">
        <v>25</v>
      </c>
      <c r="Q242" s="15" t="s">
        <v>577</v>
      </c>
      <c r="R242" s="15">
        <v>21</v>
      </c>
      <c r="S242" s="15" t="s">
        <v>586</v>
      </c>
      <c r="T242" s="15" t="s">
        <v>589</v>
      </c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spans="2:30" x14ac:dyDescent="0.2">
      <c r="B243" s="15">
        <v>5586.7723979473112</v>
      </c>
      <c r="C243" s="15">
        <v>99.382239848629922</v>
      </c>
      <c r="D243" s="15">
        <v>1.429867744445801E-2</v>
      </c>
      <c r="E243" s="15">
        <v>9.633970671163735E-4</v>
      </c>
      <c r="F243" s="15">
        <v>-1.1136975811702139</v>
      </c>
      <c r="G243" s="15">
        <v>3.272568039682725E-3</v>
      </c>
      <c r="H243" s="15">
        <v>21</v>
      </c>
      <c r="I243" s="15">
        <v>-1.116274868472052</v>
      </c>
      <c r="J243" s="15">
        <v>-1.113187258856374</v>
      </c>
      <c r="K243" s="15">
        <v>-1.1075639589011099</v>
      </c>
      <c r="L243" s="15">
        <v>-1.115116297611686</v>
      </c>
      <c r="M243" s="15">
        <v>-1.1163455220098459</v>
      </c>
      <c r="N243" s="15" t="s">
        <v>585</v>
      </c>
      <c r="O243" s="15" t="s">
        <v>576</v>
      </c>
      <c r="P243" s="15">
        <v>100</v>
      </c>
      <c r="Q243" s="15" t="s">
        <v>577</v>
      </c>
      <c r="R243" s="15">
        <v>8</v>
      </c>
      <c r="S243" s="15" t="s">
        <v>586</v>
      </c>
      <c r="T243" s="15" t="s">
        <v>588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2:30" x14ac:dyDescent="0.2">
      <c r="B244" s="15">
        <v>4.5904157161712646</v>
      </c>
      <c r="C244" s="15">
        <v>0.13173909646070689</v>
      </c>
      <c r="D244" s="15">
        <v>4.1685056686401357E-2</v>
      </c>
      <c r="E244" s="15">
        <v>4.6518630116086056E-3</v>
      </c>
      <c r="F244" s="15">
        <v>-1.313332246265535</v>
      </c>
      <c r="G244" s="15">
        <v>1.9824075092309602E-3</v>
      </c>
      <c r="H244" s="15">
        <v>35</v>
      </c>
      <c r="I244" s="15">
        <v>-1.3101437913277001</v>
      </c>
      <c r="J244" s="15">
        <v>-1.315182661962663</v>
      </c>
      <c r="K244" s="15">
        <v>-1.3142381352379899</v>
      </c>
      <c r="L244" s="15">
        <v>-1.311944357129033</v>
      </c>
      <c r="M244" s="15">
        <v>-1.31515228567029</v>
      </c>
      <c r="N244" s="15" t="s">
        <v>585</v>
      </c>
      <c r="O244" s="15" t="s">
        <v>576</v>
      </c>
      <c r="P244" s="15">
        <v>2</v>
      </c>
      <c r="Q244" s="15" t="s">
        <v>577</v>
      </c>
      <c r="R244" s="15">
        <v>21</v>
      </c>
      <c r="S244" s="15" t="s">
        <v>586</v>
      </c>
      <c r="T244" s="15" t="s">
        <v>590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spans="2:30" x14ac:dyDescent="0.2">
      <c r="B245" s="15">
        <v>0.46349091529846193</v>
      </c>
      <c r="C245" s="15">
        <v>4.2088551576814723E-2</v>
      </c>
      <c r="D245" s="15">
        <v>9.8869323730468757E-3</v>
      </c>
      <c r="E245" s="15">
        <v>9.9586417517363596E-4</v>
      </c>
      <c r="F245" s="15">
        <v>-1.092280226237029</v>
      </c>
      <c r="G245" s="15">
        <v>2.9442418393984949E-3</v>
      </c>
      <c r="H245" s="15">
        <v>14</v>
      </c>
      <c r="I245" s="15">
        <v>-1.095375010039958</v>
      </c>
      <c r="J245" s="15">
        <v>-1.087867456791819</v>
      </c>
      <c r="K245" s="15">
        <v>-1.0898976684641659</v>
      </c>
      <c r="L245" s="15">
        <v>-1.095070973025652</v>
      </c>
      <c r="M245" s="15">
        <v>-1.09319002286355</v>
      </c>
      <c r="N245" s="15" t="s">
        <v>585</v>
      </c>
      <c r="O245" s="15" t="s">
        <v>576</v>
      </c>
      <c r="P245" s="15">
        <v>100</v>
      </c>
      <c r="Q245" s="15" t="s">
        <v>577</v>
      </c>
      <c r="R245" s="15">
        <v>3</v>
      </c>
      <c r="S245" s="15" t="s">
        <v>586</v>
      </c>
      <c r="T245" s="15" t="s">
        <v>587</v>
      </c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spans="2:30" x14ac:dyDescent="0.2">
      <c r="B246" s="15">
        <v>3.7707028388977051</v>
      </c>
      <c r="C246" s="15">
        <v>7.9054349172535635E-2</v>
      </c>
      <c r="D246" s="15">
        <v>3.9401865005493163E-2</v>
      </c>
      <c r="E246" s="15">
        <v>5.5397981562147307E-3</v>
      </c>
      <c r="F246" s="15">
        <v>-1.1475482378560149</v>
      </c>
      <c r="G246" s="15">
        <v>1.840708252022149E-3</v>
      </c>
      <c r="H246" s="15">
        <v>26</v>
      </c>
      <c r="I246" s="15">
        <v>-1.1458241218147569</v>
      </c>
      <c r="J246" s="15">
        <v>-1.145608270887597</v>
      </c>
      <c r="K246" s="15">
        <v>-1.1468300288387721</v>
      </c>
      <c r="L246" s="15">
        <v>-1.149947855073709</v>
      </c>
      <c r="M246" s="15">
        <v>-1.1495309126652391</v>
      </c>
      <c r="N246" s="15" t="s">
        <v>585</v>
      </c>
      <c r="O246" s="15" t="s">
        <v>576</v>
      </c>
      <c r="P246" s="15">
        <v>25</v>
      </c>
      <c r="Q246" s="15" t="s">
        <v>577</v>
      </c>
      <c r="R246" s="15">
        <v>36</v>
      </c>
      <c r="S246" s="15" t="s">
        <v>586</v>
      </c>
      <c r="T246" s="15" t="s">
        <v>590</v>
      </c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2:30" x14ac:dyDescent="0.2">
      <c r="B247" s="15">
        <v>4.5856770038604733</v>
      </c>
      <c r="C247" s="15">
        <v>0.1630946083632171</v>
      </c>
      <c r="D247" s="15">
        <v>4.7876119613647461E-2</v>
      </c>
      <c r="E247" s="15">
        <v>4.6221868060992424E-3</v>
      </c>
      <c r="F247" s="15">
        <v>-1.2659834010662001</v>
      </c>
      <c r="G247" s="15">
        <v>3.009860995457385E-3</v>
      </c>
      <c r="H247" s="15">
        <v>34</v>
      </c>
      <c r="I247" s="15">
        <v>-1.2620393077793861</v>
      </c>
      <c r="J247" s="15">
        <v>-1.263686466393918</v>
      </c>
      <c r="K247" s="15">
        <v>-1.2687191019627291</v>
      </c>
      <c r="L247" s="15">
        <v>-1.265408317079709</v>
      </c>
      <c r="M247" s="15">
        <v>-1.270063812115257</v>
      </c>
      <c r="N247" s="15" t="s">
        <v>585</v>
      </c>
      <c r="O247" s="15" t="s">
        <v>576</v>
      </c>
      <c r="P247" s="15">
        <v>10</v>
      </c>
      <c r="Q247" s="15" t="s">
        <v>577</v>
      </c>
      <c r="R247" s="15">
        <v>36</v>
      </c>
      <c r="S247" s="15" t="s">
        <v>586</v>
      </c>
      <c r="T247" s="15" t="s">
        <v>590</v>
      </c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spans="2:30" x14ac:dyDescent="0.2">
      <c r="B248" s="15">
        <v>3.5046901702880859</v>
      </c>
      <c r="C248" s="15">
        <v>0.20103687104985579</v>
      </c>
      <c r="D248" s="15">
        <v>3.9703273773193361E-2</v>
      </c>
      <c r="E248" s="15">
        <v>2.3681107508834809E-3</v>
      </c>
      <c r="F248" s="15">
        <v>-1.220567500597618</v>
      </c>
      <c r="G248" s="15">
        <v>2.787211405035427E-3</v>
      </c>
      <c r="H248" s="15">
        <v>30</v>
      </c>
      <c r="I248" s="15">
        <v>-1.215941946791778</v>
      </c>
      <c r="J248" s="15">
        <v>-1.220167308567363</v>
      </c>
      <c r="K248" s="15">
        <v>-1.2211506165799251</v>
      </c>
      <c r="L248" s="15">
        <v>-1.220907548510993</v>
      </c>
      <c r="M248" s="15">
        <v>-1.2246700825380279</v>
      </c>
      <c r="N248" s="15" t="s">
        <v>585</v>
      </c>
      <c r="O248" s="15" t="s">
        <v>576</v>
      </c>
      <c r="P248" s="15">
        <v>10</v>
      </c>
      <c r="Q248" s="15" t="s">
        <v>577</v>
      </c>
      <c r="R248" s="15">
        <v>21</v>
      </c>
      <c r="S248" s="15" t="s">
        <v>586</v>
      </c>
      <c r="T248" s="15" t="s">
        <v>587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2:30" x14ac:dyDescent="0.2">
      <c r="B249" s="15">
        <v>3.71164870262146</v>
      </c>
      <c r="C249" s="15">
        <v>0.102720285218333</v>
      </c>
      <c r="D249" s="15">
        <v>4.58409309387207E-2</v>
      </c>
      <c r="E249" s="15">
        <v>5.4908006011763922E-3</v>
      </c>
      <c r="F249" s="15">
        <v>-1.26560340709388</v>
      </c>
      <c r="G249" s="15">
        <v>2.4152639877506091E-3</v>
      </c>
      <c r="H249" s="15">
        <v>33</v>
      </c>
      <c r="I249" s="15">
        <v>-1.2635008825436831</v>
      </c>
      <c r="J249" s="15">
        <v>-1.265109705964955</v>
      </c>
      <c r="K249" s="15">
        <v>-1.2633521866744031</v>
      </c>
      <c r="L249" s="15">
        <v>-1.266066736031368</v>
      </c>
      <c r="M249" s="15">
        <v>-1.2699875242549921</v>
      </c>
      <c r="N249" s="15" t="s">
        <v>585</v>
      </c>
      <c r="O249" s="15" t="s">
        <v>576</v>
      </c>
      <c r="P249" s="15">
        <v>10</v>
      </c>
      <c r="Q249" s="15" t="s">
        <v>577</v>
      </c>
      <c r="R249" s="15">
        <v>100</v>
      </c>
      <c r="S249" s="15" t="s">
        <v>586</v>
      </c>
      <c r="T249" s="15" t="s">
        <v>587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spans="2:30" x14ac:dyDescent="0.2">
      <c r="B250" s="15">
        <v>1.473647785186768</v>
      </c>
      <c r="C250" s="15">
        <v>0.12074232257207421</v>
      </c>
      <c r="D250" s="15">
        <v>1.5141105651855471E-2</v>
      </c>
      <c r="E250" s="15">
        <v>2.4694709313441039E-3</v>
      </c>
      <c r="F250" s="15">
        <v>-1.039658337527646</v>
      </c>
      <c r="G250" s="15">
        <v>2.958094412754774E-3</v>
      </c>
      <c r="H250" s="15">
        <v>2</v>
      </c>
      <c r="I250" s="15">
        <v>-1.0402399448033499</v>
      </c>
      <c r="J250" s="15">
        <v>-1.0349623153828571</v>
      </c>
      <c r="K250" s="15">
        <v>-1.0381052543429661</v>
      </c>
      <c r="L250" s="15">
        <v>-1.0436938326369249</v>
      </c>
      <c r="M250" s="15">
        <v>-1.0412903404721301</v>
      </c>
      <c r="N250" s="15" t="s">
        <v>585</v>
      </c>
      <c r="O250" s="15" t="s">
        <v>576</v>
      </c>
      <c r="P250" s="15">
        <v>100</v>
      </c>
      <c r="Q250" s="15" t="s">
        <v>577</v>
      </c>
      <c r="R250" s="15">
        <v>8</v>
      </c>
      <c r="S250" s="15" t="s">
        <v>586</v>
      </c>
      <c r="T250" s="15" t="s">
        <v>590</v>
      </c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spans="2:30" x14ac:dyDescent="0.2">
      <c r="B251" s="15">
        <v>1.146894502639771</v>
      </c>
      <c r="C251" s="15">
        <v>8.1396384079122933E-2</v>
      </c>
      <c r="D251" s="15">
        <v>1.6887331008911131E-2</v>
      </c>
      <c r="E251" s="15">
        <v>1.954496976772086E-3</v>
      </c>
      <c r="F251" s="15">
        <v>-1.039623919190001</v>
      </c>
      <c r="G251" s="15">
        <v>2.8695809398239032E-3</v>
      </c>
      <c r="H251" s="15">
        <v>1</v>
      </c>
      <c r="I251" s="15">
        <v>-1.0404825742941941</v>
      </c>
      <c r="J251" s="15">
        <v>-1.0355299630052199</v>
      </c>
      <c r="K251" s="15">
        <v>-1.037516886154134</v>
      </c>
      <c r="L251" s="15">
        <v>-1.043870658033325</v>
      </c>
      <c r="M251" s="15">
        <v>-1.040719514463132</v>
      </c>
      <c r="N251" s="15" t="s">
        <v>585</v>
      </c>
      <c r="O251" s="15" t="s">
        <v>576</v>
      </c>
      <c r="P251" s="15">
        <v>2</v>
      </c>
      <c r="Q251" s="15" t="s">
        <v>577</v>
      </c>
      <c r="R251" s="15">
        <v>8</v>
      </c>
      <c r="S251" s="15" t="s">
        <v>586</v>
      </c>
      <c r="T251" s="15" t="s">
        <v>587</v>
      </c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spans="2:30" x14ac:dyDescent="0.2">
      <c r="B252" s="15">
        <v>0.40180282592773442</v>
      </c>
      <c r="C252" s="15">
        <v>3.0403990852993931E-2</v>
      </c>
      <c r="D252" s="15">
        <v>1.0234785079956061E-2</v>
      </c>
      <c r="E252" s="15">
        <v>1.6717319701126661E-3</v>
      </c>
      <c r="F252" s="15">
        <v>-1.092280226237029</v>
      </c>
      <c r="G252" s="15">
        <v>2.9442418393984949E-3</v>
      </c>
      <c r="H252" s="15">
        <v>14</v>
      </c>
      <c r="I252" s="15">
        <v>-1.095375010039958</v>
      </c>
      <c r="J252" s="15">
        <v>-1.087867456791819</v>
      </c>
      <c r="K252" s="15">
        <v>-1.0898976684641659</v>
      </c>
      <c r="L252" s="15">
        <v>-1.095070973025652</v>
      </c>
      <c r="M252" s="15">
        <v>-1.09319002286355</v>
      </c>
      <c r="N252" s="15" t="s">
        <v>585</v>
      </c>
      <c r="O252" s="15" t="s">
        <v>576</v>
      </c>
      <c r="P252" s="15">
        <v>5</v>
      </c>
      <c r="Q252" s="15" t="s">
        <v>577</v>
      </c>
      <c r="R252" s="15">
        <v>3</v>
      </c>
      <c r="S252" s="15" t="s">
        <v>586</v>
      </c>
      <c r="T252" s="15" t="s">
        <v>589</v>
      </c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spans="2:30" x14ac:dyDescent="0.2">
      <c r="B253" s="15">
        <v>4.6811473369598389</v>
      </c>
      <c r="C253" s="15">
        <v>0.21856987528838109</v>
      </c>
      <c r="D253" s="15">
        <v>5.9500980377197268E-2</v>
      </c>
      <c r="E253" s="15">
        <v>4.6800121444396849E-3</v>
      </c>
      <c r="F253" s="15">
        <v>-1.4447112923022141</v>
      </c>
      <c r="G253" s="15">
        <v>4.7185490947261608E-3</v>
      </c>
      <c r="H253" s="15">
        <v>39</v>
      </c>
      <c r="I253" s="15">
        <v>-1.4407859630038711</v>
      </c>
      <c r="J253" s="15">
        <v>-1.4478106526856609</v>
      </c>
      <c r="K253" s="15">
        <v>-1.4381271057847951</v>
      </c>
      <c r="L253" s="15">
        <v>-1.4456322571391851</v>
      </c>
      <c r="M253" s="15">
        <v>-1.451200482897558</v>
      </c>
      <c r="N253" s="15" t="s">
        <v>585</v>
      </c>
      <c r="O253" s="15" t="s">
        <v>576</v>
      </c>
      <c r="P253" s="15">
        <v>2</v>
      </c>
      <c r="Q253" s="15" t="s">
        <v>577</v>
      </c>
      <c r="R253" s="15">
        <v>36</v>
      </c>
      <c r="S253" s="15" t="s">
        <v>586</v>
      </c>
      <c r="T253" s="15" t="s">
        <v>587</v>
      </c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spans="2:30" x14ac:dyDescent="0.2">
      <c r="B254" s="15">
        <v>0.57307066917419436</v>
      </c>
      <c r="C254" s="15">
        <v>2.4995699121731819E-2</v>
      </c>
      <c r="D254" s="15">
        <v>1.259922981262207E-2</v>
      </c>
      <c r="E254" s="15">
        <v>2.2071623312844811E-3</v>
      </c>
      <c r="F254" s="15">
        <v>-1.0928100257116371</v>
      </c>
      <c r="G254" s="15">
        <v>2.5237235666104641E-3</v>
      </c>
      <c r="H254" s="15">
        <v>19</v>
      </c>
      <c r="I254" s="15">
        <v>-1.095013202850379</v>
      </c>
      <c r="J254" s="15">
        <v>-1.089376014191038</v>
      </c>
      <c r="K254" s="15">
        <v>-1.0904010660387209</v>
      </c>
      <c r="L254" s="15">
        <v>-1.0958072802651659</v>
      </c>
      <c r="M254" s="15">
        <v>-1.093452565212881</v>
      </c>
      <c r="N254" s="15" t="s">
        <v>585</v>
      </c>
      <c r="O254" s="15" t="s">
        <v>576</v>
      </c>
      <c r="P254" s="15">
        <v>100</v>
      </c>
      <c r="Q254" s="15" t="s">
        <v>577</v>
      </c>
      <c r="R254" s="15">
        <v>3</v>
      </c>
      <c r="S254" s="15" t="s">
        <v>586</v>
      </c>
      <c r="T254" s="15" t="s">
        <v>590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spans="2:30" x14ac:dyDescent="0.2">
      <c r="B255" s="15">
        <v>5730.683756875992</v>
      </c>
      <c r="C255" s="15">
        <v>85.352374412901924</v>
      </c>
      <c r="D255" s="15">
        <v>1.172952651977539E-2</v>
      </c>
      <c r="E255" s="15">
        <v>2.2223907306107471E-3</v>
      </c>
      <c r="F255" s="15">
        <v>-1.1141086725228251</v>
      </c>
      <c r="G255" s="15">
        <v>3.1280160471808711E-3</v>
      </c>
      <c r="H255" s="15">
        <v>22</v>
      </c>
      <c r="I255" s="15">
        <v>-1.1166084708879771</v>
      </c>
      <c r="J255" s="15">
        <v>-1.1139171861847179</v>
      </c>
      <c r="K255" s="15">
        <v>-1.1081275730163229</v>
      </c>
      <c r="L255" s="15">
        <v>-1.11570162445051</v>
      </c>
      <c r="M255" s="15">
        <v>-1.116188508074597</v>
      </c>
      <c r="N255" s="15" t="s">
        <v>585</v>
      </c>
      <c r="O255" s="15" t="s">
        <v>576</v>
      </c>
      <c r="P255" s="15">
        <v>2</v>
      </c>
      <c r="Q255" s="15" t="s">
        <v>577</v>
      </c>
      <c r="R255" s="15">
        <v>8</v>
      </c>
      <c r="S255" s="15" t="s">
        <v>586</v>
      </c>
      <c r="T255" s="15" t="s">
        <v>588</v>
      </c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spans="2:30" x14ac:dyDescent="0.2">
      <c r="B256" s="15">
        <v>15259.598508358</v>
      </c>
      <c r="C256" s="15">
        <v>817.23863952150612</v>
      </c>
      <c r="D256" s="15">
        <v>6.3517665863037115E-2</v>
      </c>
      <c r="E256" s="15">
        <v>1.3167571933419111E-2</v>
      </c>
      <c r="F256" s="15">
        <v>-1.217448616071628</v>
      </c>
      <c r="G256" s="15">
        <v>6.9494582836695249E-3</v>
      </c>
      <c r="H256" s="15">
        <v>28</v>
      </c>
      <c r="I256" s="15">
        <v>-1.2100273366598071</v>
      </c>
      <c r="J256" s="15">
        <v>-1.225022109687282</v>
      </c>
      <c r="K256" s="15">
        <v>-1.2150738029778381</v>
      </c>
      <c r="L256" s="15">
        <v>-1.22633590254027</v>
      </c>
      <c r="M256" s="15">
        <v>-1.210783928492942</v>
      </c>
      <c r="N256" s="15" t="s">
        <v>585</v>
      </c>
      <c r="O256" s="15" t="s">
        <v>576</v>
      </c>
      <c r="P256" s="15">
        <v>10</v>
      </c>
      <c r="Q256" s="15" t="s">
        <v>577</v>
      </c>
      <c r="R256" s="15">
        <v>57</v>
      </c>
      <c r="S256" s="15" t="s">
        <v>586</v>
      </c>
      <c r="T256" s="15" t="s">
        <v>588</v>
      </c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spans="2:30" x14ac:dyDescent="0.2">
      <c r="B257" s="15">
        <v>7699.7123814105989</v>
      </c>
      <c r="C257" s="15">
        <v>235.16768164629681</v>
      </c>
      <c r="D257" s="15">
        <v>1.497740745544434E-2</v>
      </c>
      <c r="E257" s="15">
        <v>2.7548911749756548E-3</v>
      </c>
      <c r="F257" s="15">
        <v>-1.111432822328126</v>
      </c>
      <c r="G257" s="15">
        <v>2.4161777249233872E-3</v>
      </c>
      <c r="H257" s="15">
        <v>20</v>
      </c>
      <c r="I257" s="15">
        <v>-1.1143439031957021</v>
      </c>
      <c r="J257" s="15">
        <v>-1.1107224317499871</v>
      </c>
      <c r="K257" s="15">
        <v>-1.1079001842824949</v>
      </c>
      <c r="L257" s="15">
        <v>-1.113948654772027</v>
      </c>
      <c r="M257" s="15">
        <v>-1.110248937640419</v>
      </c>
      <c r="N257" s="15" t="s">
        <v>585</v>
      </c>
      <c r="O257" s="15" t="s">
        <v>576</v>
      </c>
      <c r="P257" s="15">
        <v>100</v>
      </c>
      <c r="Q257" s="15" t="s">
        <v>577</v>
      </c>
      <c r="R257" s="15">
        <v>13</v>
      </c>
      <c r="S257" s="15" t="s">
        <v>586</v>
      </c>
      <c r="T257" s="15" t="s">
        <v>588</v>
      </c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spans="2:30" x14ac:dyDescent="0.2">
      <c r="B258" s="15">
        <v>1.905648565292358</v>
      </c>
      <c r="C258" s="15">
        <v>0.12523273705729229</v>
      </c>
      <c r="D258" s="15">
        <v>2.79200553894043E-2</v>
      </c>
      <c r="E258" s="15">
        <v>8.3020985387853366E-3</v>
      </c>
      <c r="F258" s="15">
        <v>-1.0656325426971101</v>
      </c>
      <c r="G258" s="15">
        <v>2.7068798657802371E-3</v>
      </c>
      <c r="H258" s="15">
        <v>12</v>
      </c>
      <c r="I258" s="15">
        <v>-1.066012378768654</v>
      </c>
      <c r="J258" s="15">
        <v>-1.062814553811096</v>
      </c>
      <c r="K258" s="15">
        <v>-1.062854103951451</v>
      </c>
      <c r="L258" s="15">
        <v>-1.0701414332025041</v>
      </c>
      <c r="M258" s="15">
        <v>-1.066340243751845</v>
      </c>
      <c r="N258" s="15" t="s">
        <v>585</v>
      </c>
      <c r="O258" s="15" t="s">
        <v>576</v>
      </c>
      <c r="P258" s="15">
        <v>5</v>
      </c>
      <c r="Q258" s="15" t="s">
        <v>577</v>
      </c>
      <c r="R258" s="15">
        <v>13</v>
      </c>
      <c r="S258" s="15" t="s">
        <v>586</v>
      </c>
      <c r="T258" s="15" t="s">
        <v>587</v>
      </c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spans="2:30" x14ac:dyDescent="0.2">
      <c r="B259" s="15">
        <v>0.46897807121276858</v>
      </c>
      <c r="C259" s="15">
        <v>2.4642322232100881E-2</v>
      </c>
      <c r="D259" s="15">
        <v>1.0985088348388671E-2</v>
      </c>
      <c r="E259" s="15">
        <v>1.1168600848363039E-3</v>
      </c>
      <c r="F259" s="15">
        <v>-1.092280226237029</v>
      </c>
      <c r="G259" s="15">
        <v>2.9442418393984949E-3</v>
      </c>
      <c r="H259" s="15">
        <v>14</v>
      </c>
      <c r="I259" s="15">
        <v>-1.095375010039958</v>
      </c>
      <c r="J259" s="15">
        <v>-1.087867456791819</v>
      </c>
      <c r="K259" s="15">
        <v>-1.0898976684641659</v>
      </c>
      <c r="L259" s="15">
        <v>-1.095070973025652</v>
      </c>
      <c r="M259" s="15">
        <v>-1.09319002286355</v>
      </c>
      <c r="N259" s="15" t="s">
        <v>585</v>
      </c>
      <c r="O259" s="15" t="s">
        <v>576</v>
      </c>
      <c r="P259" s="15">
        <v>2</v>
      </c>
      <c r="Q259" s="15" t="s">
        <v>577</v>
      </c>
      <c r="R259" s="15">
        <v>3</v>
      </c>
      <c r="S259" s="15" t="s">
        <v>586</v>
      </c>
      <c r="T259" s="15" t="s">
        <v>589</v>
      </c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2:30" x14ac:dyDescent="0.2">
      <c r="B260" s="15">
        <v>5.9441116809844967</v>
      </c>
      <c r="C260" s="15">
        <v>0.25965303614727031</v>
      </c>
      <c r="D260" s="15">
        <v>6.664814949035644E-2</v>
      </c>
      <c r="E260" s="15">
        <v>8.7297324582654521E-3</v>
      </c>
      <c r="F260" s="15">
        <v>-1.4463948278966099</v>
      </c>
      <c r="G260" s="15">
        <v>2.105169051633468E-3</v>
      </c>
      <c r="H260" s="15">
        <v>40</v>
      </c>
      <c r="I260" s="15">
        <v>-1.4432738353753241</v>
      </c>
      <c r="J260" s="15">
        <v>-1.4464780608307131</v>
      </c>
      <c r="K260" s="15">
        <v>-1.4464082792791779</v>
      </c>
      <c r="L260" s="15">
        <v>-1.4459273657933609</v>
      </c>
      <c r="M260" s="15">
        <v>-1.449886598204472</v>
      </c>
      <c r="N260" s="15" t="s">
        <v>585</v>
      </c>
      <c r="O260" s="15" t="s">
        <v>576</v>
      </c>
      <c r="P260" s="15">
        <v>2</v>
      </c>
      <c r="Q260" s="15" t="s">
        <v>577</v>
      </c>
      <c r="R260" s="15">
        <v>36</v>
      </c>
      <c r="S260" s="15" t="s">
        <v>586</v>
      </c>
      <c r="T260" s="15" t="s">
        <v>590</v>
      </c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spans="2:30" x14ac:dyDescent="0.2">
      <c r="B261" s="15">
        <v>2.403592777252197</v>
      </c>
      <c r="C261" s="15">
        <v>9.276078287259458E-2</v>
      </c>
      <c r="D261" s="15">
        <v>3.3569145202636722E-2</v>
      </c>
      <c r="E261" s="15">
        <v>7.2957152492844467E-3</v>
      </c>
      <c r="F261" s="15">
        <v>-1.0558342006836869</v>
      </c>
      <c r="G261" s="15">
        <v>3.817938441941387E-3</v>
      </c>
      <c r="H261" s="15">
        <v>7</v>
      </c>
      <c r="I261" s="15">
        <v>-1.053886787918713</v>
      </c>
      <c r="J261" s="15">
        <v>-1.05120725491589</v>
      </c>
      <c r="K261" s="15">
        <v>-1.053752735473743</v>
      </c>
      <c r="L261" s="15">
        <v>-1.061877933985772</v>
      </c>
      <c r="M261" s="15">
        <v>-1.058446291124314</v>
      </c>
      <c r="N261" s="15" t="s">
        <v>585</v>
      </c>
      <c r="O261" s="15" t="s">
        <v>576</v>
      </c>
      <c r="P261" s="15">
        <v>100</v>
      </c>
      <c r="Q261" s="15" t="s">
        <v>577</v>
      </c>
      <c r="R261" s="15">
        <v>36</v>
      </c>
      <c r="S261" s="15" t="s">
        <v>586</v>
      </c>
      <c r="T261" s="15" t="s">
        <v>589</v>
      </c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2:30" x14ac:dyDescent="0.2">
      <c r="B262" s="15">
        <v>11799.361367321009</v>
      </c>
      <c r="C262" s="15">
        <v>1830.1526339462109</v>
      </c>
      <c r="D262" s="15">
        <v>3.3364629745483397E-2</v>
      </c>
      <c r="E262" s="15">
        <v>8.680471986650581E-3</v>
      </c>
      <c r="F262" s="15">
        <v>-1.170445267748268</v>
      </c>
      <c r="G262" s="15">
        <v>7.1931060048851221E-3</v>
      </c>
      <c r="H262" s="15">
        <v>27</v>
      </c>
      <c r="I262" s="15">
        <v>-1.1629711826961211</v>
      </c>
      <c r="J262" s="15">
        <v>-1.1609839021568691</v>
      </c>
      <c r="K262" s="15">
        <v>-1.1764958538323269</v>
      </c>
      <c r="L262" s="15">
        <v>-1.1788436054364231</v>
      </c>
      <c r="M262" s="15">
        <v>-1.1729317946195981</v>
      </c>
      <c r="N262" s="15" t="s">
        <v>585</v>
      </c>
      <c r="O262" s="15" t="s">
        <v>576</v>
      </c>
      <c r="P262" s="15">
        <v>25</v>
      </c>
      <c r="Q262" s="15" t="s">
        <v>577</v>
      </c>
      <c r="R262" s="15">
        <v>57</v>
      </c>
      <c r="S262" s="15" t="s">
        <v>586</v>
      </c>
      <c r="T262" s="15" t="s">
        <v>588</v>
      </c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spans="2:30" x14ac:dyDescent="0.2">
      <c r="B263" s="15">
        <v>1.1967361450195311</v>
      </c>
      <c r="C263" s="15">
        <v>7.5097731303329224E-2</v>
      </c>
      <c r="D263" s="15">
        <v>1.983909606933594E-2</v>
      </c>
      <c r="E263" s="15">
        <v>3.9470487542832416E-3</v>
      </c>
      <c r="F263" s="15">
        <v>-1.0396629445043579</v>
      </c>
      <c r="G263" s="15">
        <v>2.8406268887570811E-3</v>
      </c>
      <c r="H263" s="15">
        <v>3</v>
      </c>
      <c r="I263" s="15">
        <v>-1.040501524766859</v>
      </c>
      <c r="J263" s="15">
        <v>-1.035522854236226</v>
      </c>
      <c r="K263" s="15">
        <v>-1.037728831978717</v>
      </c>
      <c r="L263" s="15">
        <v>-1.043870658033325</v>
      </c>
      <c r="M263" s="15">
        <v>-1.0406908535066619</v>
      </c>
      <c r="N263" s="15" t="s">
        <v>585</v>
      </c>
      <c r="O263" s="15" t="s">
        <v>576</v>
      </c>
      <c r="P263" s="15">
        <v>10</v>
      </c>
      <c r="Q263" s="15" t="s">
        <v>577</v>
      </c>
      <c r="R263" s="15">
        <v>8</v>
      </c>
      <c r="S263" s="15" t="s">
        <v>586</v>
      </c>
      <c r="T263" s="15" t="s">
        <v>587</v>
      </c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2:30" x14ac:dyDescent="0.2">
      <c r="B264" s="15">
        <v>1.0849941730499271</v>
      </c>
      <c r="C264" s="15">
        <v>1.5761348273586901E-2</v>
      </c>
      <c r="D264" s="15">
        <v>1.6243743896484371E-2</v>
      </c>
      <c r="E264" s="15">
        <v>1.855958953055802E-3</v>
      </c>
      <c r="F264" s="15">
        <v>-1.0396629445043579</v>
      </c>
      <c r="G264" s="15">
        <v>2.8406268887570811E-3</v>
      </c>
      <c r="H264" s="15">
        <v>3</v>
      </c>
      <c r="I264" s="15">
        <v>-1.040501524766859</v>
      </c>
      <c r="J264" s="15">
        <v>-1.035522854236226</v>
      </c>
      <c r="K264" s="15">
        <v>-1.037728831978717</v>
      </c>
      <c r="L264" s="15">
        <v>-1.043870658033325</v>
      </c>
      <c r="M264" s="15">
        <v>-1.0406908535066619</v>
      </c>
      <c r="N264" s="15" t="s">
        <v>585</v>
      </c>
      <c r="O264" s="15" t="s">
        <v>576</v>
      </c>
      <c r="P264" s="15">
        <v>10</v>
      </c>
      <c r="Q264" s="15" t="s">
        <v>577</v>
      </c>
      <c r="R264" s="15">
        <v>8</v>
      </c>
      <c r="S264" s="15" t="s">
        <v>586</v>
      </c>
      <c r="T264" s="15" t="s">
        <v>589</v>
      </c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spans="2:30" x14ac:dyDescent="0.2">
      <c r="B265" s="15">
        <v>3.2332554340362551</v>
      </c>
      <c r="C265" s="15">
        <v>0.19248142886421929</v>
      </c>
      <c r="D265" s="15">
        <v>4.4679641723632812E-2</v>
      </c>
      <c r="E265" s="15">
        <v>8.1305710466930085E-3</v>
      </c>
      <c r="F265" s="15">
        <v>-1.220327610496265</v>
      </c>
      <c r="G265" s="15">
        <v>2.896380999350899E-3</v>
      </c>
      <c r="H265" s="15">
        <v>29</v>
      </c>
      <c r="I265" s="15">
        <v>-1.2153820292883859</v>
      </c>
      <c r="J265" s="15">
        <v>-1.2190903436101119</v>
      </c>
      <c r="K265" s="15">
        <v>-1.2217108416310161</v>
      </c>
      <c r="L265" s="15">
        <v>-1.221604026394109</v>
      </c>
      <c r="M265" s="15">
        <v>-1.2238508115577</v>
      </c>
      <c r="N265" s="15" t="s">
        <v>585</v>
      </c>
      <c r="O265" s="15" t="s">
        <v>576</v>
      </c>
      <c r="P265" s="15">
        <v>10</v>
      </c>
      <c r="Q265" s="15" t="s">
        <v>577</v>
      </c>
      <c r="R265" s="15">
        <v>21</v>
      </c>
      <c r="S265" s="15" t="s">
        <v>586</v>
      </c>
      <c r="T265" s="15" t="s">
        <v>589</v>
      </c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spans="2:30" x14ac:dyDescent="0.2">
      <c r="B266" s="15">
        <v>2.381218433380127</v>
      </c>
      <c r="C266" s="15">
        <v>0.16540373859455509</v>
      </c>
      <c r="D266" s="15">
        <v>3.225398063659668E-2</v>
      </c>
      <c r="E266" s="15">
        <v>4.8605299933224466E-3</v>
      </c>
      <c r="F266" s="15">
        <v>-1.0558342006836869</v>
      </c>
      <c r="G266" s="15">
        <v>3.817938441941387E-3</v>
      </c>
      <c r="H266" s="15">
        <v>7</v>
      </c>
      <c r="I266" s="15">
        <v>-1.053886787918713</v>
      </c>
      <c r="J266" s="15">
        <v>-1.05120725491589</v>
      </c>
      <c r="K266" s="15">
        <v>-1.053752735473743</v>
      </c>
      <c r="L266" s="15">
        <v>-1.061877933985772</v>
      </c>
      <c r="M266" s="15">
        <v>-1.058446291124314</v>
      </c>
      <c r="N266" s="15" t="s">
        <v>585</v>
      </c>
      <c r="O266" s="15" t="s">
        <v>576</v>
      </c>
      <c r="P266" s="15">
        <v>100</v>
      </c>
      <c r="Q266" s="15" t="s">
        <v>577</v>
      </c>
      <c r="R266" s="15">
        <v>57</v>
      </c>
      <c r="S266" s="15" t="s">
        <v>586</v>
      </c>
      <c r="T266" s="15" t="s">
        <v>589</v>
      </c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spans="2:30" x14ac:dyDescent="0.2">
      <c r="B267" s="15">
        <v>0.17806987762451171</v>
      </c>
      <c r="C267" s="15">
        <v>7.3370035640403699E-3</v>
      </c>
      <c r="D267" s="15">
        <v>7.8184127807617194E-3</v>
      </c>
      <c r="E267" s="15">
        <v>3.1989818564645998E-3</v>
      </c>
      <c r="F267" s="15">
        <v>-1.2106729249530119</v>
      </c>
      <c r="G267" s="15">
        <v>3.9779712161254876E-3</v>
      </c>
      <c r="H267" s="15">
        <v>3</v>
      </c>
      <c r="I267" s="15">
        <v>-1.2145584957933371</v>
      </c>
      <c r="J267" s="15">
        <v>-1.210822238283789</v>
      </c>
      <c r="K267" s="15">
        <v>-1.20615373738001</v>
      </c>
      <c r="L267" s="15">
        <v>-1.21557667447784</v>
      </c>
      <c r="M267" s="15">
        <v>-1.2062534788300849</v>
      </c>
      <c r="N267" s="15" t="s">
        <v>591</v>
      </c>
      <c r="O267" s="15" t="s">
        <v>566</v>
      </c>
      <c r="P267" s="15">
        <v>100000</v>
      </c>
      <c r="Q267" s="15" t="s">
        <v>567</v>
      </c>
      <c r="R267" s="15">
        <v>0.8</v>
      </c>
      <c r="S267" s="15" t="s">
        <v>568</v>
      </c>
      <c r="T267" s="15">
        <v>0.4</v>
      </c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spans="2:30" x14ac:dyDescent="0.2">
      <c r="B268" s="15">
        <v>0.16915092468261719</v>
      </c>
      <c r="C268" s="15">
        <v>1.14043132113742E-2</v>
      </c>
      <c r="D268" s="15">
        <v>9.4704627990722656E-3</v>
      </c>
      <c r="E268" s="15">
        <v>1.8172004595755199E-3</v>
      </c>
      <c r="F268" s="15">
        <v>-1.240336745783968</v>
      </c>
      <c r="G268" s="15">
        <v>3.843917111162633E-3</v>
      </c>
      <c r="H268" s="15">
        <v>4</v>
      </c>
      <c r="I268" s="15">
        <v>-1.2441621178317659</v>
      </c>
      <c r="J268" s="15">
        <v>-1.2406535746688501</v>
      </c>
      <c r="K268" s="15">
        <v>-1.2360862000654369</v>
      </c>
      <c r="L268" s="15">
        <v>-1.244922564331407</v>
      </c>
      <c r="M268" s="15">
        <v>-1.2358592720223791</v>
      </c>
      <c r="N268" s="15" t="s">
        <v>591</v>
      </c>
      <c r="O268" s="15" t="s">
        <v>566</v>
      </c>
      <c r="P268" s="15">
        <v>100000</v>
      </c>
      <c r="Q268" s="15" t="s">
        <v>567</v>
      </c>
      <c r="R268" s="15">
        <v>0.5</v>
      </c>
      <c r="S268" s="15" t="s">
        <v>568</v>
      </c>
      <c r="T268" s="15">
        <v>0.8</v>
      </c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spans="2:30" x14ac:dyDescent="0.2">
      <c r="B269" s="15">
        <v>0.18521494865417479</v>
      </c>
      <c r="C269" s="15">
        <v>2.1368972994786541E-2</v>
      </c>
      <c r="D269" s="15">
        <v>8.3317279815673835E-3</v>
      </c>
      <c r="E269" s="15">
        <v>3.5707254508707421E-3</v>
      </c>
      <c r="F269" s="15">
        <v>-1.2407202300002551</v>
      </c>
      <c r="G269" s="15">
        <v>3.8419033302253881E-3</v>
      </c>
      <c r="H269" s="15">
        <v>6</v>
      </c>
      <c r="I269" s="15">
        <v>-1.244513571444009</v>
      </c>
      <c r="J269" s="15">
        <v>-1.2408100283579231</v>
      </c>
      <c r="K269" s="15">
        <v>-1.236373361033007</v>
      </c>
      <c r="L269" s="15">
        <v>-1.245446580691278</v>
      </c>
      <c r="M269" s="15">
        <v>-1.236457608475058</v>
      </c>
      <c r="N269" s="15" t="s">
        <v>591</v>
      </c>
      <c r="O269" s="15" t="s">
        <v>566</v>
      </c>
      <c r="P269" s="15">
        <v>100000</v>
      </c>
      <c r="Q269" s="15" t="s">
        <v>567</v>
      </c>
      <c r="R269" s="15">
        <v>1</v>
      </c>
      <c r="S269" s="15" t="s">
        <v>568</v>
      </c>
      <c r="T269" s="15">
        <v>10000</v>
      </c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spans="2:30" x14ac:dyDescent="0.2">
      <c r="B270" s="15">
        <v>0.1832845211029053</v>
      </c>
      <c r="C270" s="15">
        <v>1.7873115462142711E-2</v>
      </c>
      <c r="D270" s="15">
        <v>8.718061447143554E-3</v>
      </c>
      <c r="E270" s="15">
        <v>3.5126190710506248E-3</v>
      </c>
      <c r="F270" s="15">
        <v>-1.2407202300002551</v>
      </c>
      <c r="G270" s="15">
        <v>3.8419033302253881E-3</v>
      </c>
      <c r="H270" s="15">
        <v>6</v>
      </c>
      <c r="I270" s="15">
        <v>-1.244513571444009</v>
      </c>
      <c r="J270" s="15">
        <v>-1.2408100283579231</v>
      </c>
      <c r="K270" s="15">
        <v>-1.236373361033007</v>
      </c>
      <c r="L270" s="15">
        <v>-1.245446580691278</v>
      </c>
      <c r="M270" s="15">
        <v>-1.236457608475058</v>
      </c>
      <c r="N270" s="15" t="s">
        <v>591</v>
      </c>
      <c r="O270" s="15" t="s">
        <v>566</v>
      </c>
      <c r="P270" s="15">
        <v>100000</v>
      </c>
      <c r="Q270" s="15" t="s">
        <v>567</v>
      </c>
      <c r="R270" s="15">
        <v>0.8</v>
      </c>
      <c r="S270" s="15" t="s">
        <v>568</v>
      </c>
      <c r="T270" s="15">
        <v>100</v>
      </c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spans="2:30" x14ac:dyDescent="0.2">
      <c r="B271" s="15">
        <v>0.20296182632446291</v>
      </c>
      <c r="C271" s="15">
        <v>2.2686118811597811E-2</v>
      </c>
      <c r="D271" s="15">
        <v>1.008315086364746E-2</v>
      </c>
      <c r="E271" s="15">
        <v>3.9416095380422978E-3</v>
      </c>
      <c r="F271" s="15">
        <v>-1.2407202300002551</v>
      </c>
      <c r="G271" s="15">
        <v>3.8419033302253881E-3</v>
      </c>
      <c r="H271" s="15">
        <v>6</v>
      </c>
      <c r="I271" s="15">
        <v>-1.244513571444009</v>
      </c>
      <c r="J271" s="15">
        <v>-1.2408100283579231</v>
      </c>
      <c r="K271" s="15">
        <v>-1.236373361033007</v>
      </c>
      <c r="L271" s="15">
        <v>-1.245446580691278</v>
      </c>
      <c r="M271" s="15">
        <v>-1.236457608475058</v>
      </c>
      <c r="N271" s="15" t="s">
        <v>591</v>
      </c>
      <c r="O271" s="15" t="s">
        <v>566</v>
      </c>
      <c r="P271" s="15">
        <v>100000</v>
      </c>
      <c r="Q271" s="15" t="s">
        <v>567</v>
      </c>
      <c r="R271" s="15">
        <v>0.3</v>
      </c>
      <c r="S271" s="15" t="s">
        <v>568</v>
      </c>
      <c r="T271" s="15">
        <v>10</v>
      </c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spans="2:30" x14ac:dyDescent="0.2">
      <c r="B272" s="15">
        <v>0.21626343727111819</v>
      </c>
      <c r="C272" s="15">
        <v>1.23378081622194E-2</v>
      </c>
      <c r="D272" s="15">
        <v>9.2033386230468747E-3</v>
      </c>
      <c r="E272" s="15">
        <v>2.1724928125427621E-3</v>
      </c>
      <c r="F272" s="15">
        <v>-1.156466398184637</v>
      </c>
      <c r="G272" s="15">
        <v>3.3794232870128201E-3</v>
      </c>
      <c r="H272" s="15">
        <v>2</v>
      </c>
      <c r="I272" s="15">
        <v>-1.160032050693478</v>
      </c>
      <c r="J272" s="15">
        <v>-1.155049769709126</v>
      </c>
      <c r="K272" s="15">
        <v>-1.1523405266461479</v>
      </c>
      <c r="L272" s="15">
        <v>-1.160875714783475</v>
      </c>
      <c r="M272" s="15">
        <v>-1.15403392909096</v>
      </c>
      <c r="N272" s="15" t="s">
        <v>591</v>
      </c>
      <c r="O272" s="15" t="s">
        <v>566</v>
      </c>
      <c r="P272" s="15">
        <v>100000</v>
      </c>
      <c r="Q272" s="15" t="s">
        <v>567</v>
      </c>
      <c r="R272" s="15">
        <v>0.3</v>
      </c>
      <c r="S272" s="15" t="s">
        <v>568</v>
      </c>
      <c r="T272" s="15">
        <v>0.4</v>
      </c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spans="2:30" x14ac:dyDescent="0.2">
      <c r="B273" s="15">
        <v>2459.405033826828</v>
      </c>
      <c r="C273" s="15">
        <v>2.4108719301457082</v>
      </c>
      <c r="D273" s="15">
        <v>1.5350246429443361E-2</v>
      </c>
      <c r="E273" s="15">
        <v>6.9646625108439487E-3</v>
      </c>
      <c r="F273" s="15">
        <v>-1.127354359394839</v>
      </c>
      <c r="G273" s="15">
        <v>3.8685880094252948E-3</v>
      </c>
      <c r="H273" s="15">
        <v>1</v>
      </c>
      <c r="I273" s="15">
        <v>-1.1315432154718059</v>
      </c>
      <c r="J273" s="15">
        <v>-1.1235094843505971</v>
      </c>
      <c r="K273" s="15">
        <v>-1.122925574417168</v>
      </c>
      <c r="L273" s="15">
        <v>-1.132093364654895</v>
      </c>
      <c r="M273" s="15">
        <v>-1.126700158079732</v>
      </c>
      <c r="N273" s="15" t="s">
        <v>591</v>
      </c>
      <c r="O273" s="15" t="s">
        <v>566</v>
      </c>
      <c r="P273" s="15">
        <v>100000</v>
      </c>
      <c r="Q273" s="15" t="s">
        <v>567</v>
      </c>
      <c r="R273" s="15">
        <v>0.1</v>
      </c>
      <c r="S273" s="15" t="s">
        <v>568</v>
      </c>
      <c r="T273" s="15">
        <v>0</v>
      </c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2:30" x14ac:dyDescent="0.2">
      <c r="B274" s="15">
        <v>0.2161231994628906</v>
      </c>
      <c r="C274" s="15">
        <v>1.9837851944534989E-2</v>
      </c>
      <c r="D274" s="15">
        <v>9.0648651123046882E-3</v>
      </c>
      <c r="E274" s="15">
        <v>3.8305197045484721E-4</v>
      </c>
      <c r="F274" s="15">
        <v>-1.240378174773646</v>
      </c>
      <c r="G274" s="15">
        <v>3.836526480476124E-3</v>
      </c>
      <c r="H274" s="15">
        <v>5</v>
      </c>
      <c r="I274" s="15">
        <v>-1.244194771245337</v>
      </c>
      <c r="J274" s="15">
        <v>-1.240668206152711</v>
      </c>
      <c r="K274" s="15">
        <v>-1.236112920644941</v>
      </c>
      <c r="L274" s="15">
        <v>-1.244970755931359</v>
      </c>
      <c r="M274" s="15">
        <v>-1.235944219893881</v>
      </c>
      <c r="N274" s="15" t="s">
        <v>591</v>
      </c>
      <c r="O274" s="15" t="s">
        <v>566</v>
      </c>
      <c r="P274" s="15">
        <v>100000</v>
      </c>
      <c r="Q274" s="15" t="s">
        <v>567</v>
      </c>
      <c r="R274" s="15">
        <v>0.2</v>
      </c>
      <c r="S274" s="15" t="s">
        <v>568</v>
      </c>
      <c r="T274" s="15">
        <v>2</v>
      </c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spans="2:30" x14ac:dyDescent="0.2">
      <c r="B275" s="15">
        <v>0.2390695095062256</v>
      </c>
      <c r="C275" s="15">
        <v>2.996067493665245E-2</v>
      </c>
      <c r="D275" s="15">
        <v>8.9021205902099602E-3</v>
      </c>
      <c r="E275" s="15">
        <v>4.1243479503020961E-3</v>
      </c>
      <c r="F275" s="15">
        <v>-1.2407202300002551</v>
      </c>
      <c r="G275" s="15">
        <v>3.8419033302253881E-3</v>
      </c>
      <c r="H275" s="15">
        <v>6</v>
      </c>
      <c r="I275" s="15">
        <v>-1.244513571444009</v>
      </c>
      <c r="J275" s="15">
        <v>-1.2408100283579231</v>
      </c>
      <c r="K275" s="15">
        <v>-1.236373361033007</v>
      </c>
      <c r="L275" s="15">
        <v>-1.245446580691278</v>
      </c>
      <c r="M275" s="15">
        <v>-1.236457608475058</v>
      </c>
      <c r="N275" s="15" t="s">
        <v>591</v>
      </c>
      <c r="O275" s="15" t="s">
        <v>566</v>
      </c>
      <c r="P275" s="15">
        <v>100000</v>
      </c>
      <c r="Q275" s="15" t="s">
        <v>567</v>
      </c>
      <c r="R275" s="15">
        <v>1</v>
      </c>
      <c r="S275" s="15" t="s">
        <v>568</v>
      </c>
      <c r="T275" s="15">
        <v>7</v>
      </c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spans="2:30" x14ac:dyDescent="0.2">
      <c r="B276" s="15">
        <v>0.29348387718200691</v>
      </c>
      <c r="C276" s="15">
        <v>9.8720319447058429E-3</v>
      </c>
      <c r="D276" s="15">
        <v>1.7973423004150391E-2</v>
      </c>
      <c r="E276" s="15">
        <v>1.5792221873876841E-2</v>
      </c>
      <c r="F276" s="15">
        <v>-1.2407202300002551</v>
      </c>
      <c r="G276" s="15">
        <v>3.8419033302253881E-3</v>
      </c>
      <c r="H276" s="15">
        <v>6</v>
      </c>
      <c r="I276" s="15">
        <v>-1.244513571444009</v>
      </c>
      <c r="J276" s="15">
        <v>-1.2408100283579231</v>
      </c>
      <c r="K276" s="15">
        <v>-1.236373361033007</v>
      </c>
      <c r="L276" s="15">
        <v>-1.245446580691278</v>
      </c>
      <c r="M276" s="15">
        <v>-1.236457608475058</v>
      </c>
      <c r="N276" s="15" t="s">
        <v>591</v>
      </c>
      <c r="O276" s="15" t="s">
        <v>566</v>
      </c>
      <c r="P276" s="15">
        <v>100000</v>
      </c>
      <c r="Q276" s="15" t="s">
        <v>567</v>
      </c>
      <c r="R276" s="15">
        <v>0.6</v>
      </c>
      <c r="S276" s="15" t="s">
        <v>568</v>
      </c>
      <c r="T276" s="15">
        <v>0.8</v>
      </c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spans="2:30" x14ac:dyDescent="0.2">
      <c r="B277" s="15">
        <v>0.79916415214538572</v>
      </c>
      <c r="C277" s="15">
        <v>5.4018037638828752E-2</v>
      </c>
      <c r="D277" s="15">
        <v>1.267914772033691E-2</v>
      </c>
      <c r="E277" s="15">
        <v>3.115069499010257E-3</v>
      </c>
      <c r="F277" s="15">
        <v>-1.1182864961250241</v>
      </c>
      <c r="G277" s="15">
        <v>3.2804660001005798E-3</v>
      </c>
      <c r="H277" s="15">
        <v>3</v>
      </c>
      <c r="I277" s="15">
        <v>-1.121478794615022</v>
      </c>
      <c r="J277" s="15">
        <v>-1.11736947584484</v>
      </c>
      <c r="K277" s="15">
        <v>-1.1145964876582379</v>
      </c>
      <c r="L277" s="15">
        <v>-1.1227461070284179</v>
      </c>
      <c r="M277" s="15">
        <v>-1.115241615478604</v>
      </c>
      <c r="N277" s="15" t="s">
        <v>592</v>
      </c>
      <c r="O277" s="15" t="s">
        <v>566</v>
      </c>
      <c r="P277" s="15">
        <v>100000</v>
      </c>
      <c r="Q277" s="15" t="s">
        <v>567</v>
      </c>
      <c r="R277" s="15">
        <v>0.8</v>
      </c>
      <c r="S277" s="15" t="s">
        <v>568</v>
      </c>
      <c r="T277" s="15">
        <v>0.4</v>
      </c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spans="2:30" x14ac:dyDescent="0.2">
      <c r="B278" s="15">
        <v>0.70213489532470708</v>
      </c>
      <c r="C278" s="15">
        <v>9.510118634995815E-2</v>
      </c>
      <c r="D278" s="15">
        <v>1.6978454589843751E-2</v>
      </c>
      <c r="E278" s="15">
        <v>4.2162597603041113E-3</v>
      </c>
      <c r="F278" s="15">
        <v>-1.159621998375312</v>
      </c>
      <c r="G278" s="15">
        <v>3.6756287713835679E-3</v>
      </c>
      <c r="H278" s="15">
        <v>4</v>
      </c>
      <c r="I278" s="15">
        <v>-1.1635509540142519</v>
      </c>
      <c r="J278" s="15">
        <v>-1.15901794772585</v>
      </c>
      <c r="K278" s="15">
        <v>-1.156134360236277</v>
      </c>
      <c r="L278" s="15">
        <v>-1.164151555812531</v>
      </c>
      <c r="M278" s="15">
        <v>-1.155255174087648</v>
      </c>
      <c r="N278" s="15" t="s">
        <v>592</v>
      </c>
      <c r="O278" s="15" t="s">
        <v>566</v>
      </c>
      <c r="P278" s="15">
        <v>100000</v>
      </c>
      <c r="Q278" s="15" t="s">
        <v>567</v>
      </c>
      <c r="R278" s="15">
        <v>0.5</v>
      </c>
      <c r="S278" s="15" t="s">
        <v>568</v>
      </c>
      <c r="T278" s="15">
        <v>0.8</v>
      </c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spans="2:30" x14ac:dyDescent="0.2">
      <c r="B279" s="15">
        <v>0.53875570297241215</v>
      </c>
      <c r="C279" s="15">
        <v>2.2559061555332601E-2</v>
      </c>
      <c r="D279" s="15">
        <v>1.293673515319824E-2</v>
      </c>
      <c r="E279" s="15">
        <v>1.851305160780156E-3</v>
      </c>
      <c r="F279" s="15">
        <v>-1.2407202300002551</v>
      </c>
      <c r="G279" s="15">
        <v>3.8419033302253881E-3</v>
      </c>
      <c r="H279" s="15">
        <v>7</v>
      </c>
      <c r="I279" s="15">
        <v>-1.244513571444009</v>
      </c>
      <c r="J279" s="15">
        <v>-1.2408100283579231</v>
      </c>
      <c r="K279" s="15">
        <v>-1.236373361033007</v>
      </c>
      <c r="L279" s="15">
        <v>-1.245446580691278</v>
      </c>
      <c r="M279" s="15">
        <v>-1.236457608475058</v>
      </c>
      <c r="N279" s="15" t="s">
        <v>592</v>
      </c>
      <c r="O279" s="15" t="s">
        <v>566</v>
      </c>
      <c r="P279" s="15">
        <v>100000</v>
      </c>
      <c r="Q279" s="15" t="s">
        <v>567</v>
      </c>
      <c r="R279" s="15">
        <v>1</v>
      </c>
      <c r="S279" s="15" t="s">
        <v>568</v>
      </c>
      <c r="T279" s="15">
        <v>10000</v>
      </c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spans="2:30" x14ac:dyDescent="0.2">
      <c r="B280" s="15">
        <v>0.53232560157775877</v>
      </c>
      <c r="C280" s="15">
        <v>2.9388216179135659E-2</v>
      </c>
      <c r="D280" s="15">
        <v>1.3479232788085939E-2</v>
      </c>
      <c r="E280" s="15">
        <v>2.4012405899557841E-3</v>
      </c>
      <c r="F280" s="15">
        <v>-1.2407202300002551</v>
      </c>
      <c r="G280" s="15">
        <v>3.8419033302253881E-3</v>
      </c>
      <c r="H280" s="15">
        <v>7</v>
      </c>
      <c r="I280" s="15">
        <v>-1.244513571444009</v>
      </c>
      <c r="J280" s="15">
        <v>-1.2408100283579231</v>
      </c>
      <c r="K280" s="15">
        <v>-1.236373361033007</v>
      </c>
      <c r="L280" s="15">
        <v>-1.245446580691278</v>
      </c>
      <c r="M280" s="15">
        <v>-1.236457608475058</v>
      </c>
      <c r="N280" s="15" t="s">
        <v>592</v>
      </c>
      <c r="O280" s="15" t="s">
        <v>566</v>
      </c>
      <c r="P280" s="15">
        <v>100000</v>
      </c>
      <c r="Q280" s="15" t="s">
        <v>567</v>
      </c>
      <c r="R280" s="15">
        <v>0.8</v>
      </c>
      <c r="S280" s="15" t="s">
        <v>568</v>
      </c>
      <c r="T280" s="15">
        <v>100</v>
      </c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spans="2:30" x14ac:dyDescent="0.2">
      <c r="B281" s="15">
        <v>0.52569546699523928</v>
      </c>
      <c r="C281" s="15">
        <v>1.270985352440423E-2</v>
      </c>
      <c r="D281" s="15">
        <v>1.323137283325195E-2</v>
      </c>
      <c r="E281" s="15">
        <v>2.079427837898289E-3</v>
      </c>
      <c r="F281" s="15">
        <v>-1.2407202300002551</v>
      </c>
      <c r="G281" s="15">
        <v>3.8419033302253881E-3</v>
      </c>
      <c r="H281" s="15">
        <v>7</v>
      </c>
      <c r="I281" s="15">
        <v>-1.244513571444009</v>
      </c>
      <c r="J281" s="15">
        <v>-1.2408100283579231</v>
      </c>
      <c r="K281" s="15">
        <v>-1.236373361033007</v>
      </c>
      <c r="L281" s="15">
        <v>-1.245446580691278</v>
      </c>
      <c r="M281" s="15">
        <v>-1.236457608475058</v>
      </c>
      <c r="N281" s="15" t="s">
        <v>592</v>
      </c>
      <c r="O281" s="15" t="s">
        <v>566</v>
      </c>
      <c r="P281" s="15">
        <v>100000</v>
      </c>
      <c r="Q281" s="15" t="s">
        <v>567</v>
      </c>
      <c r="R281" s="15">
        <v>0.3</v>
      </c>
      <c r="S281" s="15" t="s">
        <v>568</v>
      </c>
      <c r="T281" s="15">
        <v>10</v>
      </c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2:30" x14ac:dyDescent="0.2">
      <c r="B282" s="15">
        <v>0.62825975418090818</v>
      </c>
      <c r="C282" s="15">
        <v>3.3088517521743993E-2</v>
      </c>
      <c r="D282" s="15">
        <v>1.5061426162719729E-2</v>
      </c>
      <c r="E282" s="15">
        <v>1.6888194711887571E-3</v>
      </c>
      <c r="F282" s="15">
        <v>-1.0253554680175749</v>
      </c>
      <c r="G282" s="15">
        <v>2.9436041037611718E-3</v>
      </c>
      <c r="H282" s="15">
        <v>2</v>
      </c>
      <c r="I282" s="15">
        <v>-1.026474501014522</v>
      </c>
      <c r="J282" s="15">
        <v>-1.023249082321869</v>
      </c>
      <c r="K282" s="15">
        <v>-1.0214549137144411</v>
      </c>
      <c r="L282" s="15">
        <v>-1.030087956939898</v>
      </c>
      <c r="M282" s="15">
        <v>-1.025510886097148</v>
      </c>
      <c r="N282" s="15" t="s">
        <v>592</v>
      </c>
      <c r="O282" s="15" t="s">
        <v>566</v>
      </c>
      <c r="P282" s="15">
        <v>100000</v>
      </c>
      <c r="Q282" s="15" t="s">
        <v>567</v>
      </c>
      <c r="R282" s="15">
        <v>0.3</v>
      </c>
      <c r="S282" s="15" t="s">
        <v>568</v>
      </c>
      <c r="T282" s="15">
        <v>0.4</v>
      </c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spans="2:30" x14ac:dyDescent="0.2">
      <c r="B283" s="15">
        <v>8886.7660167694085</v>
      </c>
      <c r="C283" s="15">
        <v>17.848742388143719</v>
      </c>
      <c r="D283" s="15">
        <v>2.3398780822753911E-2</v>
      </c>
      <c r="E283" s="15">
        <v>7.4718554111665499E-3</v>
      </c>
      <c r="F283" s="15">
        <v>-0.97547530924440795</v>
      </c>
      <c r="G283" s="15">
        <v>4.0091867565596904E-3</v>
      </c>
      <c r="H283" s="15">
        <v>1</v>
      </c>
      <c r="I283" s="15">
        <v>-0.97521428893248674</v>
      </c>
      <c r="J283" s="15">
        <v>-0.97100494678630001</v>
      </c>
      <c r="K283" s="15">
        <v>-0.97180307729699189</v>
      </c>
      <c r="L283" s="15">
        <v>-0.98207711269682696</v>
      </c>
      <c r="M283" s="15">
        <v>-0.9772771205094346</v>
      </c>
      <c r="N283" s="15" t="s">
        <v>592</v>
      </c>
      <c r="O283" s="15" t="s">
        <v>566</v>
      </c>
      <c r="P283" s="15">
        <v>100000</v>
      </c>
      <c r="Q283" s="15" t="s">
        <v>567</v>
      </c>
      <c r="R283" s="15">
        <v>0.1</v>
      </c>
      <c r="S283" s="15" t="s">
        <v>568</v>
      </c>
      <c r="T283" s="15">
        <v>0</v>
      </c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spans="2:30" x14ac:dyDescent="0.2">
      <c r="B284" s="15">
        <v>0.69636969566345219</v>
      </c>
      <c r="C284" s="15">
        <v>4.0124630463477563E-2</v>
      </c>
      <c r="D284" s="15">
        <v>1.9265699386596679E-2</v>
      </c>
      <c r="E284" s="15">
        <v>8.4372799414729211E-4</v>
      </c>
      <c r="F284" s="15">
        <v>-1.1753324498782309</v>
      </c>
      <c r="G284" s="15">
        <v>3.739807869939936E-3</v>
      </c>
      <c r="H284" s="15">
        <v>5</v>
      </c>
      <c r="I284" s="15">
        <v>-1.1793196411131519</v>
      </c>
      <c r="J284" s="15">
        <v>-1.1747500509972479</v>
      </c>
      <c r="K284" s="15">
        <v>-1.1716334460207929</v>
      </c>
      <c r="L284" s="15">
        <v>-1.1799499036241641</v>
      </c>
      <c r="M284" s="15">
        <v>-1.171009207635799</v>
      </c>
      <c r="N284" s="15" t="s">
        <v>592</v>
      </c>
      <c r="O284" s="15" t="s">
        <v>566</v>
      </c>
      <c r="P284" s="15">
        <v>100000</v>
      </c>
      <c r="Q284" s="15" t="s">
        <v>567</v>
      </c>
      <c r="R284" s="15">
        <v>0.2</v>
      </c>
      <c r="S284" s="15" t="s">
        <v>568</v>
      </c>
      <c r="T284" s="15">
        <v>2</v>
      </c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2:30" x14ac:dyDescent="0.2">
      <c r="B285" s="15">
        <v>0.66111569404602055</v>
      </c>
      <c r="C285" s="15">
        <v>5.2424566516146208E-2</v>
      </c>
      <c r="D285" s="15">
        <v>1.6766071319580082E-2</v>
      </c>
      <c r="E285" s="15">
        <v>3.1343525610689118E-3</v>
      </c>
      <c r="F285" s="15">
        <v>-1.2407202300002551</v>
      </c>
      <c r="G285" s="15">
        <v>3.8419033302253881E-3</v>
      </c>
      <c r="H285" s="15">
        <v>7</v>
      </c>
      <c r="I285" s="15">
        <v>-1.244513571444009</v>
      </c>
      <c r="J285" s="15">
        <v>-1.2408100283579231</v>
      </c>
      <c r="K285" s="15">
        <v>-1.236373361033007</v>
      </c>
      <c r="L285" s="15">
        <v>-1.245446580691278</v>
      </c>
      <c r="M285" s="15">
        <v>-1.236457608475058</v>
      </c>
      <c r="N285" s="15" t="s">
        <v>592</v>
      </c>
      <c r="O285" s="15" t="s">
        <v>566</v>
      </c>
      <c r="P285" s="15">
        <v>100000</v>
      </c>
      <c r="Q285" s="15" t="s">
        <v>567</v>
      </c>
      <c r="R285" s="15">
        <v>1</v>
      </c>
      <c r="S285" s="15" t="s">
        <v>568</v>
      </c>
      <c r="T285" s="15">
        <v>7</v>
      </c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spans="2:30" x14ac:dyDescent="0.2">
      <c r="B286" s="15">
        <v>0.76244549751281743</v>
      </c>
      <c r="C286" s="15">
        <v>3.2453173419494823E-2</v>
      </c>
      <c r="D286" s="15">
        <v>1.9323253631591802E-2</v>
      </c>
      <c r="E286" s="15">
        <v>2.9958544275099871E-3</v>
      </c>
      <c r="F286" s="15">
        <v>-1.184343655471938</v>
      </c>
      <c r="G286" s="15">
        <v>4.0554159440774756E-3</v>
      </c>
      <c r="H286" s="15">
        <v>6</v>
      </c>
      <c r="I286" s="15">
        <v>-1.188699832014722</v>
      </c>
      <c r="J286" s="15">
        <v>-1.1833795204116311</v>
      </c>
      <c r="K286" s="15">
        <v>-1.180242480332272</v>
      </c>
      <c r="L286" s="15">
        <v>-1.1894550641684569</v>
      </c>
      <c r="M286" s="15">
        <v>-1.1799413804326091</v>
      </c>
      <c r="N286" s="15" t="s">
        <v>592</v>
      </c>
      <c r="O286" s="15" t="s">
        <v>566</v>
      </c>
      <c r="P286" s="15">
        <v>100000</v>
      </c>
      <c r="Q286" s="15" t="s">
        <v>567</v>
      </c>
      <c r="R286" s="15">
        <v>0.6</v>
      </c>
      <c r="S286" s="15" t="s">
        <v>568</v>
      </c>
      <c r="T286" s="15">
        <v>0.8</v>
      </c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spans="2:30" x14ac:dyDescent="0.2">
      <c r="B287" s="15">
        <v>1.049714040756226</v>
      </c>
      <c r="C287" s="15">
        <v>4.5042055318091231E-2</v>
      </c>
      <c r="D287" s="15">
        <v>1.625242233276367E-2</v>
      </c>
      <c r="E287" s="15">
        <v>8.1142037964483887E-4</v>
      </c>
      <c r="F287" s="15">
        <v>-1.1372158095402789</v>
      </c>
      <c r="G287" s="15">
        <v>3.2025658147837271E-3</v>
      </c>
      <c r="H287" s="15">
        <v>3</v>
      </c>
      <c r="I287" s="15">
        <v>-1.1403364073976661</v>
      </c>
      <c r="J287" s="15">
        <v>-1.1363678017282399</v>
      </c>
      <c r="K287" s="15">
        <v>-1.1338438087464471</v>
      </c>
      <c r="L287" s="15">
        <v>-1.141563550551713</v>
      </c>
      <c r="M287" s="15">
        <v>-1.13396747927733</v>
      </c>
      <c r="N287" s="15" t="s">
        <v>593</v>
      </c>
      <c r="O287" s="15" t="s">
        <v>566</v>
      </c>
      <c r="P287" s="15">
        <v>100000</v>
      </c>
      <c r="Q287" s="15" t="s">
        <v>567</v>
      </c>
      <c r="R287" s="15">
        <v>0.8</v>
      </c>
      <c r="S287" s="15" t="s">
        <v>568</v>
      </c>
      <c r="T287" s="15">
        <v>0.4</v>
      </c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spans="2:30" x14ac:dyDescent="0.2">
      <c r="B288" s="15">
        <v>0.92109494209289555</v>
      </c>
      <c r="C288" s="15">
        <v>0.17824643276945909</v>
      </c>
      <c r="D288" s="15">
        <v>1.658716201782227E-2</v>
      </c>
      <c r="E288" s="15">
        <v>2.6901831394999828E-3</v>
      </c>
      <c r="F288" s="15">
        <v>-1.164964317674426</v>
      </c>
      <c r="G288" s="15">
        <v>3.6402702799757931E-3</v>
      </c>
      <c r="H288" s="15">
        <v>4</v>
      </c>
      <c r="I288" s="15">
        <v>-1.168819900636167</v>
      </c>
      <c r="J288" s="15">
        <v>-1.164231349597004</v>
      </c>
      <c r="K288" s="15">
        <v>-1.161218140487172</v>
      </c>
      <c r="L288" s="15">
        <v>-1.169555515718874</v>
      </c>
      <c r="M288" s="15">
        <v>-1.1609966819329109</v>
      </c>
      <c r="N288" s="15" t="s">
        <v>593</v>
      </c>
      <c r="O288" s="15" t="s">
        <v>566</v>
      </c>
      <c r="P288" s="15">
        <v>100000</v>
      </c>
      <c r="Q288" s="15" t="s">
        <v>567</v>
      </c>
      <c r="R288" s="15">
        <v>0.5</v>
      </c>
      <c r="S288" s="15" t="s">
        <v>568</v>
      </c>
      <c r="T288" s="15">
        <v>0.8</v>
      </c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spans="2:30" x14ac:dyDescent="0.2">
      <c r="B289" s="15">
        <v>0.68878827095031736</v>
      </c>
      <c r="C289" s="15">
        <v>1.7762780232380058E-2</v>
      </c>
      <c r="D289" s="15">
        <v>1.441702842712402E-2</v>
      </c>
      <c r="E289" s="15">
        <v>3.219602559273262E-3</v>
      </c>
      <c r="F289" s="15">
        <v>-1.2407202300002551</v>
      </c>
      <c r="G289" s="15">
        <v>3.8419033302253881E-3</v>
      </c>
      <c r="H289" s="15">
        <v>7</v>
      </c>
      <c r="I289" s="15">
        <v>-1.244513571444009</v>
      </c>
      <c r="J289" s="15">
        <v>-1.2408100283579231</v>
      </c>
      <c r="K289" s="15">
        <v>-1.236373361033007</v>
      </c>
      <c r="L289" s="15">
        <v>-1.245446580691278</v>
      </c>
      <c r="M289" s="15">
        <v>-1.236457608475058</v>
      </c>
      <c r="N289" s="15" t="s">
        <v>593</v>
      </c>
      <c r="O289" s="15" t="s">
        <v>566</v>
      </c>
      <c r="P289" s="15">
        <v>100000</v>
      </c>
      <c r="Q289" s="15" t="s">
        <v>567</v>
      </c>
      <c r="R289" s="15">
        <v>1</v>
      </c>
      <c r="S289" s="15" t="s">
        <v>568</v>
      </c>
      <c r="T289" s="15">
        <v>10000</v>
      </c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spans="2:30" x14ac:dyDescent="0.2">
      <c r="B290" s="15">
        <v>0.68588628768920901</v>
      </c>
      <c r="C290" s="15">
        <v>3.4617946469232712E-2</v>
      </c>
      <c r="D290" s="15">
        <v>1.6872406005859378E-2</v>
      </c>
      <c r="E290" s="15">
        <v>1.542821845614891E-3</v>
      </c>
      <c r="F290" s="15">
        <v>-1.2407202300002551</v>
      </c>
      <c r="G290" s="15">
        <v>3.8419033302253881E-3</v>
      </c>
      <c r="H290" s="15">
        <v>7</v>
      </c>
      <c r="I290" s="15">
        <v>-1.244513571444009</v>
      </c>
      <c r="J290" s="15">
        <v>-1.2408100283579231</v>
      </c>
      <c r="K290" s="15">
        <v>-1.236373361033007</v>
      </c>
      <c r="L290" s="15">
        <v>-1.245446580691278</v>
      </c>
      <c r="M290" s="15">
        <v>-1.236457608475058</v>
      </c>
      <c r="N290" s="15" t="s">
        <v>593</v>
      </c>
      <c r="O290" s="15" t="s">
        <v>566</v>
      </c>
      <c r="P290" s="15">
        <v>100000</v>
      </c>
      <c r="Q290" s="15" t="s">
        <v>567</v>
      </c>
      <c r="R290" s="15">
        <v>0.8</v>
      </c>
      <c r="S290" s="15" t="s">
        <v>568</v>
      </c>
      <c r="T290" s="15">
        <v>100</v>
      </c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spans="2:30" x14ac:dyDescent="0.2">
      <c r="B291" s="15">
        <v>0.68389348983764653</v>
      </c>
      <c r="C291" s="15">
        <v>4.3489856437946943E-2</v>
      </c>
      <c r="D291" s="15">
        <v>1.6134023666381839E-2</v>
      </c>
      <c r="E291" s="15">
        <v>2.061982060891089E-3</v>
      </c>
      <c r="F291" s="15">
        <v>-1.2407202300002551</v>
      </c>
      <c r="G291" s="15">
        <v>3.8419033302253881E-3</v>
      </c>
      <c r="H291" s="15">
        <v>7</v>
      </c>
      <c r="I291" s="15">
        <v>-1.244513571444009</v>
      </c>
      <c r="J291" s="15">
        <v>-1.2408100283579231</v>
      </c>
      <c r="K291" s="15">
        <v>-1.236373361033007</v>
      </c>
      <c r="L291" s="15">
        <v>-1.245446580691278</v>
      </c>
      <c r="M291" s="15">
        <v>-1.236457608475058</v>
      </c>
      <c r="N291" s="15" t="s">
        <v>593</v>
      </c>
      <c r="O291" s="15" t="s">
        <v>566</v>
      </c>
      <c r="P291" s="15">
        <v>100000</v>
      </c>
      <c r="Q291" s="15" t="s">
        <v>567</v>
      </c>
      <c r="R291" s="15">
        <v>0.3</v>
      </c>
      <c r="S291" s="15" t="s">
        <v>568</v>
      </c>
      <c r="T291" s="15">
        <v>10</v>
      </c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spans="2:30" x14ac:dyDescent="0.2">
      <c r="B292" s="15">
        <v>0.84611425399780271</v>
      </c>
      <c r="C292" s="15">
        <v>9.2721345504337152E-2</v>
      </c>
      <c r="D292" s="15">
        <v>1.7133998870849609E-2</v>
      </c>
      <c r="E292" s="15">
        <v>2.9623756403815999E-3</v>
      </c>
      <c r="F292" s="15">
        <v>-1.0570960715800151</v>
      </c>
      <c r="G292" s="15">
        <v>2.4172469662546432E-3</v>
      </c>
      <c r="H292" s="15">
        <v>2</v>
      </c>
      <c r="I292" s="15">
        <v>-1.058679138698138</v>
      </c>
      <c r="J292" s="15">
        <v>-1.05593974398887</v>
      </c>
      <c r="K292" s="15">
        <v>-1.0540518492356661</v>
      </c>
      <c r="L292" s="15">
        <v>-1.060922681298339</v>
      </c>
      <c r="M292" s="15">
        <v>-1.0558869446790631</v>
      </c>
      <c r="N292" s="15" t="s">
        <v>593</v>
      </c>
      <c r="O292" s="15" t="s">
        <v>566</v>
      </c>
      <c r="P292" s="15">
        <v>100000</v>
      </c>
      <c r="Q292" s="15" t="s">
        <v>567</v>
      </c>
      <c r="R292" s="15">
        <v>0.3</v>
      </c>
      <c r="S292" s="15" t="s">
        <v>568</v>
      </c>
      <c r="T292" s="15">
        <v>0.4</v>
      </c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spans="2:30" x14ac:dyDescent="0.2">
      <c r="B293" s="15">
        <v>11261.95341582298</v>
      </c>
      <c r="C293" s="15">
        <v>10.03182452734378</v>
      </c>
      <c r="D293" s="15">
        <v>3.1270503997802727E-2</v>
      </c>
      <c r="E293" s="15">
        <v>8.14437312739048E-3</v>
      </c>
      <c r="F293" s="15">
        <v>-0.9965791221388155</v>
      </c>
      <c r="G293" s="15">
        <v>2.069533636593832E-3</v>
      </c>
      <c r="H293" s="15">
        <v>1</v>
      </c>
      <c r="I293" s="15">
        <v>-0.99812490168043011</v>
      </c>
      <c r="J293" s="15">
        <v>-0.99601935790216189</v>
      </c>
      <c r="K293" s="15">
        <v>-0.99312399721944333</v>
      </c>
      <c r="L293" s="15">
        <v>-0.99917858310041419</v>
      </c>
      <c r="M293" s="15">
        <v>-0.99644877079162764</v>
      </c>
      <c r="N293" s="15" t="s">
        <v>593</v>
      </c>
      <c r="O293" s="15" t="s">
        <v>566</v>
      </c>
      <c r="P293" s="15">
        <v>100000</v>
      </c>
      <c r="Q293" s="15" t="s">
        <v>567</v>
      </c>
      <c r="R293" s="15">
        <v>0.1</v>
      </c>
      <c r="S293" s="15" t="s">
        <v>568</v>
      </c>
      <c r="T293" s="15">
        <v>0</v>
      </c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spans="2:30" x14ac:dyDescent="0.2">
      <c r="B294" s="15">
        <v>1.168175077438355</v>
      </c>
      <c r="C294" s="15">
        <v>0.25294840877496583</v>
      </c>
      <c r="D294" s="15">
        <v>3.0295610427856449E-2</v>
      </c>
      <c r="E294" s="15">
        <v>3.4360242155234821E-3</v>
      </c>
      <c r="F294" s="15">
        <v>-1.1794948934392491</v>
      </c>
      <c r="G294" s="15">
        <v>3.712054285892346E-3</v>
      </c>
      <c r="H294" s="15">
        <v>5</v>
      </c>
      <c r="I294" s="15">
        <v>-1.1834313911120009</v>
      </c>
      <c r="J294" s="15">
        <v>-1.178843126459109</v>
      </c>
      <c r="K294" s="15">
        <v>-1.175651748594527</v>
      </c>
      <c r="L294" s="15">
        <v>-1.1841358802840971</v>
      </c>
      <c r="M294" s="15">
        <v>-1.175412320746509</v>
      </c>
      <c r="N294" s="15" t="s">
        <v>593</v>
      </c>
      <c r="O294" s="15" t="s">
        <v>566</v>
      </c>
      <c r="P294" s="15">
        <v>100000</v>
      </c>
      <c r="Q294" s="15" t="s">
        <v>567</v>
      </c>
      <c r="R294" s="15">
        <v>0.2</v>
      </c>
      <c r="S294" s="15" t="s">
        <v>568</v>
      </c>
      <c r="T294" s="15">
        <v>2</v>
      </c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spans="2:30" x14ac:dyDescent="0.2">
      <c r="B295" s="15">
        <v>1.4383210182189941</v>
      </c>
      <c r="C295" s="15">
        <v>0.1504282655491182</v>
      </c>
      <c r="D295" s="15">
        <v>2.6126909255981441E-2</v>
      </c>
      <c r="E295" s="15">
        <v>5.9131671321670911E-3</v>
      </c>
      <c r="F295" s="15">
        <v>-1.2407202300002551</v>
      </c>
      <c r="G295" s="15">
        <v>3.8419033302253881E-3</v>
      </c>
      <c r="H295" s="15">
        <v>7</v>
      </c>
      <c r="I295" s="15">
        <v>-1.244513571444009</v>
      </c>
      <c r="J295" s="15">
        <v>-1.2408100283579231</v>
      </c>
      <c r="K295" s="15">
        <v>-1.236373361033007</v>
      </c>
      <c r="L295" s="15">
        <v>-1.245446580691278</v>
      </c>
      <c r="M295" s="15">
        <v>-1.236457608475058</v>
      </c>
      <c r="N295" s="15" t="s">
        <v>593</v>
      </c>
      <c r="O295" s="15" t="s">
        <v>566</v>
      </c>
      <c r="P295" s="15">
        <v>100000</v>
      </c>
      <c r="Q295" s="15" t="s">
        <v>567</v>
      </c>
      <c r="R295" s="15">
        <v>1</v>
      </c>
      <c r="S295" s="15" t="s">
        <v>568</v>
      </c>
      <c r="T295" s="15">
        <v>7</v>
      </c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2:30" x14ac:dyDescent="0.2">
      <c r="B296" s="15">
        <v>1.275943613052368</v>
      </c>
      <c r="C296" s="15">
        <v>0.14499292289832219</v>
      </c>
      <c r="D296" s="15">
        <v>2.9124689102172849E-2</v>
      </c>
      <c r="E296" s="15">
        <v>3.8663409425284951E-3</v>
      </c>
      <c r="F296" s="15">
        <v>-1.1843438153401931</v>
      </c>
      <c r="G296" s="15">
        <v>4.0554183045627022E-3</v>
      </c>
      <c r="H296" s="15">
        <v>6</v>
      </c>
      <c r="I296" s="15">
        <v>-1.18869999514654</v>
      </c>
      <c r="J296" s="15">
        <v>-1.1833796775825951</v>
      </c>
      <c r="K296" s="15">
        <v>-1.1802426387231471</v>
      </c>
      <c r="L296" s="15">
        <v>-1.189455227084794</v>
      </c>
      <c r="M296" s="15">
        <v>-1.1799415381638889</v>
      </c>
      <c r="N296" s="15" t="s">
        <v>593</v>
      </c>
      <c r="O296" s="15" t="s">
        <v>566</v>
      </c>
      <c r="P296" s="15">
        <v>100000</v>
      </c>
      <c r="Q296" s="15" t="s">
        <v>567</v>
      </c>
      <c r="R296" s="15">
        <v>0.6</v>
      </c>
      <c r="S296" s="15" t="s">
        <v>568</v>
      </c>
      <c r="T296" s="15">
        <v>0.8</v>
      </c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spans="2:30" x14ac:dyDescent="0.2">
      <c r="B297" s="15">
        <v>2.4695081233978269</v>
      </c>
      <c r="C297" s="15">
        <v>5.5290034765943442E-2</v>
      </c>
      <c r="D297" s="15">
        <v>2678.60570268631</v>
      </c>
      <c r="E297" s="15">
        <v>79.699654025061264</v>
      </c>
      <c r="F297" s="15">
        <v>-1.181145172167926</v>
      </c>
      <c r="G297" s="15">
        <v>5.5925617668488962E-3</v>
      </c>
      <c r="H297" s="15">
        <v>28</v>
      </c>
      <c r="I297" s="15">
        <v>-1.1901423428577551</v>
      </c>
      <c r="J297" s="15">
        <v>-1.174391612552814</v>
      </c>
      <c r="K297" s="15">
        <v>-1.1761041202647839</v>
      </c>
      <c r="L297" s="15">
        <v>-1.1830434152537359</v>
      </c>
      <c r="M297" s="15">
        <v>-1.182044369910543</v>
      </c>
      <c r="N297" s="15" t="s">
        <v>594</v>
      </c>
      <c r="O297" s="15" t="s">
        <v>570</v>
      </c>
      <c r="P297" s="15" t="s">
        <v>571</v>
      </c>
      <c r="Q297" s="15" t="s">
        <v>572</v>
      </c>
      <c r="R297" s="15">
        <v>4</v>
      </c>
      <c r="S297" s="15" t="s">
        <v>573</v>
      </c>
      <c r="T297" s="15">
        <v>7</v>
      </c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spans="2:30" x14ac:dyDescent="0.2">
      <c r="B298" s="15">
        <v>2.141879796981812</v>
      </c>
      <c r="C298" s="15">
        <v>0.41852627600479853</v>
      </c>
      <c r="D298" s="15">
        <v>2510.1947951793668</v>
      </c>
      <c r="E298" s="15">
        <v>76.666414764771673</v>
      </c>
      <c r="F298" s="15">
        <v>-1.1829779032093191</v>
      </c>
      <c r="G298" s="15">
        <v>5.3753712611620662E-3</v>
      </c>
      <c r="H298" s="15">
        <v>30</v>
      </c>
      <c r="I298" s="15">
        <v>-1.1915736579299689</v>
      </c>
      <c r="J298" s="15">
        <v>-1.1766696239086529</v>
      </c>
      <c r="K298" s="15">
        <v>-1.177931520486851</v>
      </c>
      <c r="L298" s="15">
        <v>-1.185229116773147</v>
      </c>
      <c r="M298" s="15">
        <v>-1.1834855969479741</v>
      </c>
      <c r="N298" s="15" t="s">
        <v>594</v>
      </c>
      <c r="O298" s="15" t="s">
        <v>570</v>
      </c>
      <c r="P298" s="15" t="s">
        <v>571</v>
      </c>
      <c r="Q298" s="15" t="s">
        <v>572</v>
      </c>
      <c r="R298" s="15">
        <v>5</v>
      </c>
      <c r="S298" s="15" t="s">
        <v>573</v>
      </c>
      <c r="T298" s="15">
        <v>7</v>
      </c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spans="2:30" x14ac:dyDescent="0.2">
      <c r="B299" s="15">
        <v>1.774101638793945</v>
      </c>
      <c r="C299" s="15">
        <v>0.12782317843389809</v>
      </c>
      <c r="D299" s="15">
        <v>1090.7693173408511</v>
      </c>
      <c r="E299" s="15">
        <v>26.28568965710619</v>
      </c>
      <c r="F299" s="15">
        <v>-1.1248264500906451</v>
      </c>
      <c r="G299" s="15">
        <v>4.186124865279809E-3</v>
      </c>
      <c r="H299" s="15">
        <v>5</v>
      </c>
      <c r="I299" s="15">
        <v>-1.130126763627308</v>
      </c>
      <c r="J299" s="15">
        <v>-1.122048215038014</v>
      </c>
      <c r="K299" s="15">
        <v>-1.119589933206238</v>
      </c>
      <c r="L299" s="15">
        <v>-1.129400896073993</v>
      </c>
      <c r="M299" s="15">
        <v>-1.122966442507672</v>
      </c>
      <c r="N299" s="15" t="s">
        <v>594</v>
      </c>
      <c r="O299" s="15" t="s">
        <v>570</v>
      </c>
      <c r="P299" s="15" t="s">
        <v>571</v>
      </c>
      <c r="Q299" s="15" t="s">
        <v>572</v>
      </c>
      <c r="R299" s="15">
        <v>2</v>
      </c>
      <c r="S299" s="15" t="s">
        <v>573</v>
      </c>
      <c r="T299" s="15">
        <v>100</v>
      </c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spans="2:30" x14ac:dyDescent="0.2">
      <c r="B300" s="15">
        <v>1.8247050762176511</v>
      </c>
      <c r="C300" s="15">
        <v>0.12652173769161609</v>
      </c>
      <c r="D300" s="15">
        <v>1541.0532089710241</v>
      </c>
      <c r="E300" s="15">
        <v>28.306693349972349</v>
      </c>
      <c r="F300" s="15">
        <v>-1.124256257811918</v>
      </c>
      <c r="G300" s="15">
        <v>4.5218675977314786E-3</v>
      </c>
      <c r="H300" s="15">
        <v>3</v>
      </c>
      <c r="I300" s="15">
        <v>-1.130629772458835</v>
      </c>
      <c r="J300" s="15">
        <v>-1.1209783321979789</v>
      </c>
      <c r="K300" s="15">
        <v>-1.1194445337060139</v>
      </c>
      <c r="L300" s="15">
        <v>-1.128736803706252</v>
      </c>
      <c r="M300" s="15">
        <v>-1.12149184699051</v>
      </c>
      <c r="N300" s="15" t="s">
        <v>594</v>
      </c>
      <c r="O300" s="15" t="s">
        <v>570</v>
      </c>
      <c r="P300" s="15" t="s">
        <v>571</v>
      </c>
      <c r="Q300" s="15" t="s">
        <v>572</v>
      </c>
      <c r="R300" s="15">
        <v>1</v>
      </c>
      <c r="S300" s="15" t="s">
        <v>573</v>
      </c>
      <c r="T300" s="15">
        <v>30</v>
      </c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spans="2:30" x14ac:dyDescent="0.2">
      <c r="B301" s="15">
        <v>1.88557915687561</v>
      </c>
      <c r="C301" s="15">
        <v>9.9411619349766306E-2</v>
      </c>
      <c r="D301" s="15">
        <v>2988.3679241180421</v>
      </c>
      <c r="E301" s="15">
        <v>94.519703854735582</v>
      </c>
      <c r="F301" s="15">
        <v>-1.1796346115232039</v>
      </c>
      <c r="G301" s="15">
        <v>5.4238269264648966E-3</v>
      </c>
      <c r="H301" s="15">
        <v>27</v>
      </c>
      <c r="I301" s="15">
        <v>-1.188416708075027</v>
      </c>
      <c r="J301" s="15">
        <v>-1.1732338626504359</v>
      </c>
      <c r="K301" s="15">
        <v>-1.1749299591705</v>
      </c>
      <c r="L301" s="15">
        <v>-1.182238841518312</v>
      </c>
      <c r="M301" s="15">
        <v>-1.179353686201746</v>
      </c>
      <c r="N301" s="15" t="s">
        <v>594</v>
      </c>
      <c r="O301" s="15" t="s">
        <v>570</v>
      </c>
      <c r="P301" s="15" t="s">
        <v>571</v>
      </c>
      <c r="Q301" s="15" t="s">
        <v>572</v>
      </c>
      <c r="R301" s="15">
        <v>3</v>
      </c>
      <c r="S301" s="15" t="s">
        <v>573</v>
      </c>
      <c r="T301" s="15">
        <v>7</v>
      </c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spans="2:30" x14ac:dyDescent="0.2">
      <c r="B302" s="15">
        <v>1.7967242240905761</v>
      </c>
      <c r="C302" s="15">
        <v>0.16439093467772281</v>
      </c>
      <c r="D302" s="15">
        <v>2596.120557308197</v>
      </c>
      <c r="E302" s="15">
        <v>106.07339380158329</v>
      </c>
      <c r="F302" s="15">
        <v>-1.168732032711864</v>
      </c>
      <c r="G302" s="15">
        <v>5.0675275476306939E-3</v>
      </c>
      <c r="H302" s="15">
        <v>25</v>
      </c>
      <c r="I302" s="15">
        <v>-1.175807121695533</v>
      </c>
      <c r="J302" s="15">
        <v>-1.1619937724794009</v>
      </c>
      <c r="K302" s="15">
        <v>-1.1643267678638951</v>
      </c>
      <c r="L302" s="15">
        <v>-1.172387314859116</v>
      </c>
      <c r="M302" s="15">
        <v>-1.169145186661376</v>
      </c>
      <c r="N302" s="15" t="s">
        <v>594</v>
      </c>
      <c r="O302" s="15" t="s">
        <v>570</v>
      </c>
      <c r="P302" s="15" t="s">
        <v>574</v>
      </c>
      <c r="Q302" s="15" t="s">
        <v>572</v>
      </c>
      <c r="R302" s="15">
        <v>5</v>
      </c>
      <c r="S302" s="15" t="s">
        <v>573</v>
      </c>
      <c r="T302" s="15">
        <v>9</v>
      </c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2:30" x14ac:dyDescent="0.2">
      <c r="B303" s="15">
        <v>1.778372192382812</v>
      </c>
      <c r="C303" s="15">
        <v>0.1547780696077812</v>
      </c>
      <c r="D303" s="15">
        <v>3005.6666671276089</v>
      </c>
      <c r="E303" s="15">
        <v>92.789261777842</v>
      </c>
      <c r="F303" s="15">
        <v>-1.14607241201319</v>
      </c>
      <c r="G303" s="15">
        <v>4.4987997749181344E-3</v>
      </c>
      <c r="H303" s="15">
        <v>21</v>
      </c>
      <c r="I303" s="15">
        <v>-1.152715768226849</v>
      </c>
      <c r="J303" s="15">
        <v>-1.1414313765975499</v>
      </c>
      <c r="K303" s="15">
        <v>-1.141395177255293</v>
      </c>
      <c r="L303" s="15">
        <v>-1.1496535822364351</v>
      </c>
      <c r="M303" s="15">
        <v>-1.1451661557498209</v>
      </c>
      <c r="N303" s="15" t="s">
        <v>594</v>
      </c>
      <c r="O303" s="15" t="s">
        <v>570</v>
      </c>
      <c r="P303" s="15" t="s">
        <v>574</v>
      </c>
      <c r="Q303" s="15" t="s">
        <v>572</v>
      </c>
      <c r="R303" s="15">
        <v>5</v>
      </c>
      <c r="S303" s="15" t="s">
        <v>573</v>
      </c>
      <c r="T303" s="15">
        <v>16</v>
      </c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spans="2:30" x14ac:dyDescent="0.2">
      <c r="B304" s="15">
        <v>1.8181586742401119</v>
      </c>
      <c r="C304" s="15">
        <v>0.15852187392105499</v>
      </c>
      <c r="D304" s="15">
        <v>2978.071810483932</v>
      </c>
      <c r="E304" s="15">
        <v>99.406271976283151</v>
      </c>
      <c r="F304" s="15">
        <v>-1.1496050027807541</v>
      </c>
      <c r="G304" s="15">
        <v>4.86386021953439E-3</v>
      </c>
      <c r="H304" s="15">
        <v>24</v>
      </c>
      <c r="I304" s="15">
        <v>-1.156558381231696</v>
      </c>
      <c r="J304" s="15">
        <v>-1.14403524195627</v>
      </c>
      <c r="K304" s="15">
        <v>-1.1445572065464369</v>
      </c>
      <c r="L304" s="15">
        <v>-1.1532702075193371</v>
      </c>
      <c r="M304" s="15">
        <v>-1.149603976650029</v>
      </c>
      <c r="N304" s="15" t="s">
        <v>594</v>
      </c>
      <c r="O304" s="15" t="s">
        <v>570</v>
      </c>
      <c r="P304" s="15" t="s">
        <v>571</v>
      </c>
      <c r="Q304" s="15" t="s">
        <v>572</v>
      </c>
      <c r="R304" s="15">
        <v>5</v>
      </c>
      <c r="S304" s="15" t="s">
        <v>573</v>
      </c>
      <c r="T304" s="15">
        <v>14</v>
      </c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2:30" x14ac:dyDescent="0.2">
      <c r="B305" s="15">
        <v>1.9098199844360351</v>
      </c>
      <c r="C305" s="15">
        <v>0.16585517298540919</v>
      </c>
      <c r="D305" s="15">
        <v>1678.0224195003509</v>
      </c>
      <c r="E305" s="15">
        <v>28.744344772586921</v>
      </c>
      <c r="F305" s="15">
        <v>-1.1218913584824659</v>
      </c>
      <c r="G305" s="15">
        <v>4.3932624397191328E-3</v>
      </c>
      <c r="H305" s="15">
        <v>1</v>
      </c>
      <c r="I305" s="15">
        <v>-1.1281854716161099</v>
      </c>
      <c r="J305" s="15">
        <v>-1.1188812393961669</v>
      </c>
      <c r="K305" s="15">
        <v>-1.1168151057759139</v>
      </c>
      <c r="L305" s="15">
        <v>-1.125985351175073</v>
      </c>
      <c r="M305" s="15">
        <v>-1.119589624449064</v>
      </c>
      <c r="N305" s="15" t="s">
        <v>594</v>
      </c>
      <c r="O305" s="15" t="s">
        <v>570</v>
      </c>
      <c r="P305" s="15" t="s">
        <v>571</v>
      </c>
      <c r="Q305" s="15" t="s">
        <v>572</v>
      </c>
      <c r="R305" s="15">
        <v>1</v>
      </c>
      <c r="S305" s="15" t="s">
        <v>573</v>
      </c>
      <c r="T305" s="15">
        <v>50</v>
      </c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2:30" x14ac:dyDescent="0.2">
      <c r="B306" s="15">
        <v>1.8852319717407231</v>
      </c>
      <c r="C306" s="15">
        <v>6.5931759686788424E-2</v>
      </c>
      <c r="D306" s="15">
        <v>3182.4335661888122</v>
      </c>
      <c r="E306" s="15">
        <v>76.025883856042682</v>
      </c>
      <c r="F306" s="15">
        <v>-1.1478359174883539</v>
      </c>
      <c r="G306" s="15">
        <v>5.1073256223019637E-3</v>
      </c>
      <c r="H306" s="15">
        <v>23</v>
      </c>
      <c r="I306" s="15">
        <v>-1.1549358978038879</v>
      </c>
      <c r="J306" s="15">
        <v>-1.142594162262623</v>
      </c>
      <c r="K306" s="15">
        <v>-1.1421730439573179</v>
      </c>
      <c r="L306" s="15">
        <v>-1.152310433889238</v>
      </c>
      <c r="M306" s="15">
        <v>-1.147166049528703</v>
      </c>
      <c r="N306" s="15" t="s">
        <v>594</v>
      </c>
      <c r="O306" s="15" t="s">
        <v>570</v>
      </c>
      <c r="P306" s="15" t="s">
        <v>571</v>
      </c>
      <c r="Q306" s="15" t="s">
        <v>572</v>
      </c>
      <c r="R306" s="15">
        <v>4</v>
      </c>
      <c r="S306" s="15" t="s">
        <v>573</v>
      </c>
      <c r="T306" s="15">
        <v>14</v>
      </c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2:30" x14ac:dyDescent="0.2">
      <c r="B307" s="15">
        <v>1.838615942001343</v>
      </c>
      <c r="C307" s="15">
        <v>0.10117379029427789</v>
      </c>
      <c r="D307" s="15">
        <v>3482.493814373016</v>
      </c>
      <c r="E307" s="15">
        <v>132.16268451897281</v>
      </c>
      <c r="F307" s="15">
        <v>-1.1341846752370499</v>
      </c>
      <c r="G307" s="15">
        <v>4.6760667362231627E-3</v>
      </c>
      <c r="H307" s="15">
        <v>15</v>
      </c>
      <c r="I307" s="15">
        <v>-1.1411411075265361</v>
      </c>
      <c r="J307" s="15">
        <v>-1.130124958410285</v>
      </c>
      <c r="K307" s="15">
        <v>-1.1290147166855899</v>
      </c>
      <c r="L307" s="15">
        <v>-1.138072883705566</v>
      </c>
      <c r="M307" s="15">
        <v>-1.132569709857274</v>
      </c>
      <c r="N307" s="15" t="s">
        <v>594</v>
      </c>
      <c r="O307" s="15" t="s">
        <v>570</v>
      </c>
      <c r="P307" s="15" t="s">
        <v>571</v>
      </c>
      <c r="Q307" s="15" t="s">
        <v>572</v>
      </c>
      <c r="R307" s="15">
        <v>5</v>
      </c>
      <c r="S307" s="15" t="s">
        <v>573</v>
      </c>
      <c r="T307" s="15">
        <v>30</v>
      </c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spans="2:30" x14ac:dyDescent="0.2">
      <c r="B308" s="15">
        <v>2.0283445835113532</v>
      </c>
      <c r="C308" s="15">
        <v>0.27711007273646571</v>
      </c>
      <c r="D308" s="15">
        <v>3467.0615678310401</v>
      </c>
      <c r="E308" s="15">
        <v>110.5255778037815</v>
      </c>
      <c r="F308" s="15">
        <v>-1.139510041934652</v>
      </c>
      <c r="G308" s="15">
        <v>4.8339246660692916E-3</v>
      </c>
      <c r="H308" s="15">
        <v>18</v>
      </c>
      <c r="I308" s="15">
        <v>-1.1466057364015441</v>
      </c>
      <c r="J308" s="15">
        <v>-1.1352953533736561</v>
      </c>
      <c r="K308" s="15">
        <v>-1.1342399687551059</v>
      </c>
      <c r="L308" s="15">
        <v>-1.143712412519827</v>
      </c>
      <c r="M308" s="15">
        <v>-1.137696738623128</v>
      </c>
      <c r="N308" s="15" t="s">
        <v>594</v>
      </c>
      <c r="O308" s="15" t="s">
        <v>570</v>
      </c>
      <c r="P308" s="15" t="s">
        <v>574</v>
      </c>
      <c r="Q308" s="15" t="s">
        <v>572</v>
      </c>
      <c r="R308" s="15">
        <v>4</v>
      </c>
      <c r="S308" s="15" t="s">
        <v>573</v>
      </c>
      <c r="T308" s="15">
        <v>20</v>
      </c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spans="2:30" x14ac:dyDescent="0.2">
      <c r="B309" s="15">
        <v>1.9676778793334959</v>
      </c>
      <c r="C309" s="15">
        <v>0.1721223472716093</v>
      </c>
      <c r="D309" s="15">
        <v>832.03542981147768</v>
      </c>
      <c r="E309" s="15">
        <v>30.773855347716541</v>
      </c>
      <c r="F309" s="15">
        <v>-1.1334654848287831</v>
      </c>
      <c r="G309" s="15">
        <v>4.9301095771323508E-3</v>
      </c>
      <c r="H309" s="15">
        <v>14</v>
      </c>
      <c r="I309" s="15">
        <v>-1.1403856967222019</v>
      </c>
      <c r="J309" s="15">
        <v>-1.130139396556044</v>
      </c>
      <c r="K309" s="15">
        <v>-1.127056392787426</v>
      </c>
      <c r="L309" s="15">
        <v>-1.1378343219364899</v>
      </c>
      <c r="M309" s="15">
        <v>-1.131911616141754</v>
      </c>
      <c r="N309" s="15" t="s">
        <v>594</v>
      </c>
      <c r="O309" s="15" t="s">
        <v>570</v>
      </c>
      <c r="P309" s="15" t="s">
        <v>574</v>
      </c>
      <c r="Q309" s="15" t="s">
        <v>572</v>
      </c>
      <c r="R309" s="15">
        <v>2</v>
      </c>
      <c r="S309" s="15" t="s">
        <v>573</v>
      </c>
      <c r="T309" s="15">
        <v>20</v>
      </c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spans="2:30" x14ac:dyDescent="0.2">
      <c r="B310" s="15">
        <v>1.873355531692505</v>
      </c>
      <c r="C310" s="15">
        <v>8.5538245622458792E-2</v>
      </c>
      <c r="D310" s="15">
        <v>1533.3373271942139</v>
      </c>
      <c r="E310" s="15">
        <v>31.44413564377502</v>
      </c>
      <c r="F310" s="15">
        <v>-1.1260933028219231</v>
      </c>
      <c r="G310" s="15">
        <v>4.7317453871328378E-3</v>
      </c>
      <c r="H310" s="15">
        <v>7</v>
      </c>
      <c r="I310" s="15">
        <v>-1.1326431577819021</v>
      </c>
      <c r="J310" s="15">
        <v>-1.122551837718865</v>
      </c>
      <c r="K310" s="15">
        <v>-1.120833210306001</v>
      </c>
      <c r="L310" s="15">
        <v>-1.130845505021236</v>
      </c>
      <c r="M310" s="15">
        <v>-1.123592803281608</v>
      </c>
      <c r="N310" s="15" t="s">
        <v>594</v>
      </c>
      <c r="O310" s="15" t="s">
        <v>570</v>
      </c>
      <c r="P310" s="15" t="s">
        <v>571</v>
      </c>
      <c r="Q310" s="15" t="s">
        <v>572</v>
      </c>
      <c r="R310" s="15">
        <v>1</v>
      </c>
      <c r="S310" s="15" t="s">
        <v>573</v>
      </c>
      <c r="T310" s="15">
        <v>25</v>
      </c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spans="2:30" x14ac:dyDescent="0.2">
      <c r="B311" s="15">
        <v>2.0593365192413331</v>
      </c>
      <c r="C311" s="15">
        <v>0.31929815523951272</v>
      </c>
      <c r="D311" s="15">
        <v>1848.3890714168549</v>
      </c>
      <c r="E311" s="15">
        <v>28.719955518746708</v>
      </c>
      <c r="F311" s="15">
        <v>-1.1244003908824489</v>
      </c>
      <c r="G311" s="15">
        <v>4.096767692298533E-3</v>
      </c>
      <c r="H311" s="15">
        <v>4</v>
      </c>
      <c r="I311" s="15">
        <v>-1.129515468346759</v>
      </c>
      <c r="J311" s="15">
        <v>-1.122379095072527</v>
      </c>
      <c r="K311" s="15">
        <v>-1.118951878526812</v>
      </c>
      <c r="L311" s="15">
        <v>-1.128834227342953</v>
      </c>
      <c r="M311" s="15">
        <v>-1.122321285123193</v>
      </c>
      <c r="N311" s="15" t="s">
        <v>594</v>
      </c>
      <c r="O311" s="15" t="s">
        <v>570</v>
      </c>
      <c r="P311" s="15" t="s">
        <v>574</v>
      </c>
      <c r="Q311" s="15" t="s">
        <v>572</v>
      </c>
      <c r="R311" s="15">
        <v>1</v>
      </c>
      <c r="S311" s="15" t="s">
        <v>573</v>
      </c>
      <c r="T311" s="15">
        <v>100</v>
      </c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2:30" x14ac:dyDescent="0.2">
      <c r="B312" s="15">
        <v>1.9995985984802249</v>
      </c>
      <c r="C312" s="15">
        <v>5.9079650584634817E-2</v>
      </c>
      <c r="D312" s="15">
        <v>838.81322302818296</v>
      </c>
      <c r="E312" s="15">
        <v>22.638572381776591</v>
      </c>
      <c r="F312" s="15">
        <v>-1.5386895641800249</v>
      </c>
      <c r="G312" s="15">
        <v>3.0938441575258332E-3</v>
      </c>
      <c r="H312" s="15">
        <v>38</v>
      </c>
      <c r="I312" s="15">
        <v>-1.5426515816524811</v>
      </c>
      <c r="J312" s="15">
        <v>-1.5345351093826309</v>
      </c>
      <c r="K312" s="15">
        <v>-1.5379919805458331</v>
      </c>
      <c r="L312" s="15">
        <v>-1.5364869729468029</v>
      </c>
      <c r="M312" s="15">
        <v>-1.541782176372378</v>
      </c>
      <c r="N312" s="15" t="s">
        <v>594</v>
      </c>
      <c r="O312" s="15" t="s">
        <v>570</v>
      </c>
      <c r="P312" s="15" t="s">
        <v>571</v>
      </c>
      <c r="Q312" s="15" t="s">
        <v>572</v>
      </c>
      <c r="R312" s="15">
        <v>1</v>
      </c>
      <c r="S312" s="15" t="s">
        <v>573</v>
      </c>
      <c r="T312" s="15">
        <v>1</v>
      </c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2:30" x14ac:dyDescent="0.2">
      <c r="B313" s="15">
        <v>1.897134160995483</v>
      </c>
      <c r="C313" s="15">
        <v>3.0592198236394051E-2</v>
      </c>
      <c r="D313" s="15">
        <v>2281.2969644069672</v>
      </c>
      <c r="E313" s="15">
        <v>73.207473444591358</v>
      </c>
      <c r="F313" s="15">
        <v>-1.2724938638662591</v>
      </c>
      <c r="G313" s="15">
        <v>4.6989686768087518E-3</v>
      </c>
      <c r="H313" s="15">
        <v>37</v>
      </c>
      <c r="I313" s="15">
        <v>-1.2806606256492099</v>
      </c>
      <c r="J313" s="15">
        <v>-1.266024163289508</v>
      </c>
      <c r="K313" s="15">
        <v>-1.271623172356638</v>
      </c>
      <c r="L313" s="15">
        <v>-1.2726926277140329</v>
      </c>
      <c r="M313" s="15">
        <v>-1.271468730321907</v>
      </c>
      <c r="N313" s="15" t="s">
        <v>594</v>
      </c>
      <c r="O313" s="15" t="s">
        <v>570</v>
      </c>
      <c r="P313" s="15" t="s">
        <v>571</v>
      </c>
      <c r="Q313" s="15" t="s">
        <v>572</v>
      </c>
      <c r="R313" s="15">
        <v>4</v>
      </c>
      <c r="S313" s="15" t="s">
        <v>573</v>
      </c>
      <c r="T313" s="15">
        <v>3</v>
      </c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2:30" x14ac:dyDescent="0.2">
      <c r="B314" s="15">
        <v>1.903794050216675</v>
      </c>
      <c r="C314" s="15">
        <v>0.20258964840132551</v>
      </c>
      <c r="D314" s="15">
        <v>1501.194761943817</v>
      </c>
      <c r="E314" s="15">
        <v>31.771551596457229</v>
      </c>
      <c r="F314" s="15">
        <v>-1.1270432993965449</v>
      </c>
      <c r="G314" s="15">
        <v>4.7512302290795326E-3</v>
      </c>
      <c r="H314" s="15">
        <v>8</v>
      </c>
      <c r="I314" s="15">
        <v>-1.1334909150689569</v>
      </c>
      <c r="J314" s="15">
        <v>-1.1235266159674679</v>
      </c>
      <c r="K314" s="15">
        <v>-1.1216878252214479</v>
      </c>
      <c r="L314" s="15">
        <v>-1.1319509612632339</v>
      </c>
      <c r="M314" s="15">
        <v>-1.124560179461616</v>
      </c>
      <c r="N314" s="15" t="s">
        <v>594</v>
      </c>
      <c r="O314" s="15" t="s">
        <v>570</v>
      </c>
      <c r="P314" s="15" t="s">
        <v>574</v>
      </c>
      <c r="Q314" s="15" t="s">
        <v>572</v>
      </c>
      <c r="R314" s="15">
        <v>1</v>
      </c>
      <c r="S314" s="15" t="s">
        <v>573</v>
      </c>
      <c r="T314" s="15">
        <v>25</v>
      </c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spans="2:30" x14ac:dyDescent="0.2">
      <c r="B315" s="15">
        <v>1.924141931533814</v>
      </c>
      <c r="C315" s="15">
        <v>0.1024133467741459</v>
      </c>
      <c r="D315" s="15">
        <v>847.77495040893552</v>
      </c>
      <c r="E315" s="15">
        <v>24.3984363368488</v>
      </c>
      <c r="F315" s="15">
        <v>-1.5386895641800249</v>
      </c>
      <c r="G315" s="15">
        <v>3.0938441575258332E-3</v>
      </c>
      <c r="H315" s="15">
        <v>38</v>
      </c>
      <c r="I315" s="15">
        <v>-1.5426515816524811</v>
      </c>
      <c r="J315" s="15">
        <v>-1.5345351093826309</v>
      </c>
      <c r="K315" s="15">
        <v>-1.5379919805458331</v>
      </c>
      <c r="L315" s="15">
        <v>-1.5364869729468029</v>
      </c>
      <c r="M315" s="15">
        <v>-1.541782176372378</v>
      </c>
      <c r="N315" s="15" t="s">
        <v>594</v>
      </c>
      <c r="O315" s="15" t="s">
        <v>570</v>
      </c>
      <c r="P315" s="15" t="s">
        <v>574</v>
      </c>
      <c r="Q315" s="15" t="s">
        <v>572</v>
      </c>
      <c r="R315" s="15">
        <v>1</v>
      </c>
      <c r="S315" s="15" t="s">
        <v>573</v>
      </c>
      <c r="T315" s="15">
        <v>1</v>
      </c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spans="2:30" x14ac:dyDescent="0.2">
      <c r="B316" s="15">
        <v>1.980876207351685</v>
      </c>
      <c r="C316" s="15">
        <v>0.10097900291739401</v>
      </c>
      <c r="D316" s="15">
        <v>756.86446080207827</v>
      </c>
      <c r="E316" s="15">
        <v>15.70610832307417</v>
      </c>
      <c r="F316" s="15">
        <v>-1.1473978537602101</v>
      </c>
      <c r="G316" s="15">
        <v>4.8611273138638358E-3</v>
      </c>
      <c r="H316" s="15">
        <v>22</v>
      </c>
      <c r="I316" s="15">
        <v>-1.154523962206724</v>
      </c>
      <c r="J316" s="15">
        <v>-1.1426336458980939</v>
      </c>
      <c r="K316" s="15">
        <v>-1.1423455049176321</v>
      </c>
      <c r="L316" s="15">
        <v>-1.1515294923345101</v>
      </c>
      <c r="M316" s="15">
        <v>-1.145956663444089</v>
      </c>
      <c r="N316" s="15" t="s">
        <v>594</v>
      </c>
      <c r="O316" s="15" t="s">
        <v>570</v>
      </c>
      <c r="P316" s="15" t="s">
        <v>571</v>
      </c>
      <c r="Q316" s="15" t="s">
        <v>572</v>
      </c>
      <c r="R316" s="15">
        <v>2</v>
      </c>
      <c r="S316" s="15" t="s">
        <v>573</v>
      </c>
      <c r="T316" s="15">
        <v>12</v>
      </c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spans="2:30" x14ac:dyDescent="0.2">
      <c r="B317" s="15">
        <v>1.857362604141235</v>
      </c>
      <c r="C317" s="15">
        <v>8.4138407011756483E-2</v>
      </c>
      <c r="D317" s="15">
        <v>635.38675994873051</v>
      </c>
      <c r="E317" s="15">
        <v>15.5268311440296</v>
      </c>
      <c r="F317" s="15">
        <v>-1.2023225172558281</v>
      </c>
      <c r="G317" s="15">
        <v>5.9225680485141133E-3</v>
      </c>
      <c r="H317" s="15">
        <v>32</v>
      </c>
      <c r="I317" s="15">
        <v>-1.2127514596499911</v>
      </c>
      <c r="J317" s="15">
        <v>-1.196528440311504</v>
      </c>
      <c r="K317" s="15">
        <v>-1.1970743993977371</v>
      </c>
      <c r="L317" s="15">
        <v>-1.204259958292847</v>
      </c>
      <c r="M317" s="15">
        <v>-1.2009983286270629</v>
      </c>
      <c r="N317" s="15" t="s">
        <v>594</v>
      </c>
      <c r="O317" s="15" t="s">
        <v>570</v>
      </c>
      <c r="P317" s="15" t="s">
        <v>574</v>
      </c>
      <c r="Q317" s="15" t="s">
        <v>572</v>
      </c>
      <c r="R317" s="15">
        <v>2</v>
      </c>
      <c r="S317" s="15" t="s">
        <v>573</v>
      </c>
      <c r="T317" s="15">
        <v>5</v>
      </c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spans="2:30" x14ac:dyDescent="0.2">
      <c r="B318" s="15">
        <v>1.904012584686279</v>
      </c>
      <c r="C318" s="15">
        <v>0.15089716330980049</v>
      </c>
      <c r="D318" s="15">
        <v>1440.3419385433201</v>
      </c>
      <c r="E318" s="15">
        <v>31.531969183367451</v>
      </c>
      <c r="F318" s="15">
        <v>-1.132582982387935</v>
      </c>
      <c r="G318" s="15">
        <v>4.4288315677732211E-3</v>
      </c>
      <c r="H318" s="15">
        <v>12</v>
      </c>
      <c r="I318" s="15">
        <v>-1.1389689507392491</v>
      </c>
      <c r="J318" s="15">
        <v>-1.129349097122077</v>
      </c>
      <c r="K318" s="15">
        <v>-1.1274339748744919</v>
      </c>
      <c r="L318" s="15">
        <v>-1.136608655168009</v>
      </c>
      <c r="M318" s="15">
        <v>-1.130554234035847</v>
      </c>
      <c r="N318" s="15" t="s">
        <v>594</v>
      </c>
      <c r="O318" s="15" t="s">
        <v>570</v>
      </c>
      <c r="P318" s="15" t="s">
        <v>574</v>
      </c>
      <c r="Q318" s="15" t="s">
        <v>572</v>
      </c>
      <c r="R318" s="15">
        <v>1</v>
      </c>
      <c r="S318" s="15" t="s">
        <v>573</v>
      </c>
      <c r="T318" s="15">
        <v>18</v>
      </c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2:30" x14ac:dyDescent="0.2">
      <c r="B319" s="15">
        <v>1.960934495925903</v>
      </c>
      <c r="C319" s="15">
        <v>0.15624048634206281</v>
      </c>
      <c r="D319" s="15">
        <v>570.57987890243533</v>
      </c>
      <c r="E319" s="15">
        <v>18.684181601881061</v>
      </c>
      <c r="F319" s="15">
        <v>-1.266227527521091</v>
      </c>
      <c r="G319" s="15">
        <v>5.1557528467809418E-3</v>
      </c>
      <c r="H319" s="15">
        <v>34</v>
      </c>
      <c r="I319" s="15">
        <v>-1.274686812633653</v>
      </c>
      <c r="J319" s="15">
        <v>-1.2586160117967049</v>
      </c>
      <c r="K319" s="15">
        <v>-1.2645791591367599</v>
      </c>
      <c r="L319" s="15">
        <v>-1.267061798873369</v>
      </c>
      <c r="M319" s="15">
        <v>-1.266193855164971</v>
      </c>
      <c r="N319" s="15" t="s">
        <v>594</v>
      </c>
      <c r="O319" s="15" t="s">
        <v>570</v>
      </c>
      <c r="P319" s="15" t="s">
        <v>571</v>
      </c>
      <c r="Q319" s="15" t="s">
        <v>572</v>
      </c>
      <c r="R319" s="15">
        <v>2</v>
      </c>
      <c r="S319" s="15" t="s">
        <v>573</v>
      </c>
      <c r="T319" s="15">
        <v>3</v>
      </c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spans="2:30" x14ac:dyDescent="0.2">
      <c r="B320" s="15">
        <v>1.88031530380249</v>
      </c>
      <c r="C320" s="15">
        <v>0.1125216125235029</v>
      </c>
      <c r="D320" s="15">
        <v>3859.7923321247099</v>
      </c>
      <c r="E320" s="15">
        <v>125.3501544158533</v>
      </c>
      <c r="F320" s="15">
        <v>-1.13628053181172</v>
      </c>
      <c r="G320" s="15">
        <v>4.6485481908679783E-3</v>
      </c>
      <c r="H320" s="15">
        <v>17</v>
      </c>
      <c r="I320" s="15">
        <v>-1.143037992039202</v>
      </c>
      <c r="J320" s="15">
        <v>-1.1324755048446991</v>
      </c>
      <c r="K320" s="15">
        <v>-1.1308278819569031</v>
      </c>
      <c r="L320" s="15">
        <v>-1.140273500889158</v>
      </c>
      <c r="M320" s="15">
        <v>-1.1347877793286401</v>
      </c>
      <c r="N320" s="15" t="s">
        <v>594</v>
      </c>
      <c r="O320" s="15" t="s">
        <v>570</v>
      </c>
      <c r="P320" s="15" t="s">
        <v>571</v>
      </c>
      <c r="Q320" s="15" t="s">
        <v>572</v>
      </c>
      <c r="R320" s="15">
        <v>3</v>
      </c>
      <c r="S320" s="15" t="s">
        <v>573</v>
      </c>
      <c r="T320" s="15">
        <v>20</v>
      </c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spans="2:30" x14ac:dyDescent="0.2">
      <c r="B321" s="15">
        <v>1.853147315979004</v>
      </c>
      <c r="C321" s="15">
        <v>0.14277599981095179</v>
      </c>
      <c r="D321" s="15">
        <v>3111.4669929027559</v>
      </c>
      <c r="E321" s="15">
        <v>99.603391849426828</v>
      </c>
      <c r="F321" s="15">
        <v>-1.142678391203283</v>
      </c>
      <c r="G321" s="15">
        <v>4.612644772112269E-3</v>
      </c>
      <c r="H321" s="15">
        <v>19</v>
      </c>
      <c r="I321" s="15">
        <v>-1.1495287091883379</v>
      </c>
      <c r="J321" s="15">
        <v>-1.137692694684816</v>
      </c>
      <c r="K321" s="15">
        <v>-1.138301224046488</v>
      </c>
      <c r="L321" s="15">
        <v>-1.1464128082589431</v>
      </c>
      <c r="M321" s="15">
        <v>-1.141456519837829</v>
      </c>
      <c r="N321" s="15" t="s">
        <v>594</v>
      </c>
      <c r="O321" s="15" t="s">
        <v>570</v>
      </c>
      <c r="P321" s="15" t="s">
        <v>571</v>
      </c>
      <c r="Q321" s="15" t="s">
        <v>572</v>
      </c>
      <c r="R321" s="15">
        <v>5</v>
      </c>
      <c r="S321" s="15" t="s">
        <v>573</v>
      </c>
      <c r="T321" s="15">
        <v>18</v>
      </c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2:30" x14ac:dyDescent="0.2">
      <c r="B322" s="15">
        <v>1.8057219982147219</v>
      </c>
      <c r="C322" s="15">
        <v>6.2414494881943512E-2</v>
      </c>
      <c r="D322" s="15">
        <v>1358.69952788353</v>
      </c>
      <c r="E322" s="15">
        <v>32.931736847307533</v>
      </c>
      <c r="F322" s="15">
        <v>-1.144174065798478</v>
      </c>
      <c r="G322" s="15">
        <v>4.8010892928908146E-3</v>
      </c>
      <c r="H322" s="15">
        <v>20</v>
      </c>
      <c r="I322" s="15">
        <v>-1.1515122290431681</v>
      </c>
      <c r="J322" s="15">
        <v>-1.14136726468912</v>
      </c>
      <c r="K322" s="15">
        <v>-1.138322161987845</v>
      </c>
      <c r="L322" s="15">
        <v>-1.147868214216994</v>
      </c>
      <c r="M322" s="15">
        <v>-1.1418004590552651</v>
      </c>
      <c r="N322" s="15" t="s">
        <v>594</v>
      </c>
      <c r="O322" s="15" t="s">
        <v>570</v>
      </c>
      <c r="P322" s="15" t="s">
        <v>574</v>
      </c>
      <c r="Q322" s="15" t="s">
        <v>572</v>
      </c>
      <c r="R322" s="15">
        <v>1</v>
      </c>
      <c r="S322" s="15" t="s">
        <v>573</v>
      </c>
      <c r="T322" s="15">
        <v>12</v>
      </c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spans="2:30" x14ac:dyDescent="0.2">
      <c r="B323" s="15">
        <v>1.9975166320800779</v>
      </c>
      <c r="C323" s="15">
        <v>0.18698101403112091</v>
      </c>
      <c r="D323" s="15">
        <v>3943.891716003418</v>
      </c>
      <c r="E323" s="15">
        <v>110.72099187227261</v>
      </c>
      <c r="F323" s="15">
        <v>-1.1314243555647461</v>
      </c>
      <c r="G323" s="15">
        <v>4.1922016338363814E-3</v>
      </c>
      <c r="H323" s="15">
        <v>11</v>
      </c>
      <c r="I323" s="15">
        <v>-1.136977790157548</v>
      </c>
      <c r="J323" s="15">
        <v>-1.1282600211058</v>
      </c>
      <c r="K323" s="15">
        <v>-1.126431216503688</v>
      </c>
      <c r="L323" s="15">
        <v>-1.1357839212094241</v>
      </c>
      <c r="M323" s="15">
        <v>-1.1296688288472689</v>
      </c>
      <c r="N323" s="15" t="s">
        <v>594</v>
      </c>
      <c r="O323" s="15" t="s">
        <v>570</v>
      </c>
      <c r="P323" s="15" t="s">
        <v>574</v>
      </c>
      <c r="Q323" s="15" t="s">
        <v>572</v>
      </c>
      <c r="R323" s="15">
        <v>4</v>
      </c>
      <c r="S323" s="15" t="s">
        <v>573</v>
      </c>
      <c r="T323" s="15">
        <v>40</v>
      </c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2:30" x14ac:dyDescent="0.2">
      <c r="B324" s="15">
        <v>1.856525945663452</v>
      </c>
      <c r="C324" s="15">
        <v>0.12878953841858781</v>
      </c>
      <c r="D324" s="15">
        <v>4612.9998587608334</v>
      </c>
      <c r="E324" s="15">
        <v>119.8250560765954</v>
      </c>
      <c r="F324" s="15">
        <v>-1.127192069111725</v>
      </c>
      <c r="G324" s="15">
        <v>4.4336748007486526E-3</v>
      </c>
      <c r="H324" s="15">
        <v>9</v>
      </c>
      <c r="I324" s="15">
        <v>-1.1329154816341049</v>
      </c>
      <c r="J324" s="15">
        <v>-1.123682047891325</v>
      </c>
      <c r="K324" s="15">
        <v>-1.121847580433468</v>
      </c>
      <c r="L324" s="15">
        <v>-1.131899608944273</v>
      </c>
      <c r="M324" s="15">
        <v>-1.125615626655456</v>
      </c>
      <c r="N324" s="15" t="s">
        <v>594</v>
      </c>
      <c r="O324" s="15" t="s">
        <v>570</v>
      </c>
      <c r="P324" s="15" t="s">
        <v>571</v>
      </c>
      <c r="Q324" s="15" t="s">
        <v>572</v>
      </c>
      <c r="R324" s="15">
        <v>3</v>
      </c>
      <c r="S324" s="15" t="s">
        <v>573</v>
      </c>
      <c r="T324" s="15">
        <v>50</v>
      </c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2:30" x14ac:dyDescent="0.2">
      <c r="B325" s="15">
        <v>1.8166946411132809</v>
      </c>
      <c r="C325" s="15">
        <v>0.1486324332308652</v>
      </c>
      <c r="D325" s="15">
        <v>3529.3566371440888</v>
      </c>
      <c r="E325" s="15">
        <v>81.90403854756093</v>
      </c>
      <c r="F325" s="15">
        <v>-1.135649747776208</v>
      </c>
      <c r="G325" s="15">
        <v>4.6450228036908781E-3</v>
      </c>
      <c r="H325" s="15">
        <v>16</v>
      </c>
      <c r="I325" s="15">
        <v>-1.142676589766449</v>
      </c>
      <c r="J325" s="15">
        <v>-1.132126385771832</v>
      </c>
      <c r="K325" s="15">
        <v>-1.130425630011288</v>
      </c>
      <c r="L325" s="15">
        <v>-1.1394527603687259</v>
      </c>
      <c r="M325" s="15">
        <v>-1.133567372962744</v>
      </c>
      <c r="N325" s="15" t="s">
        <v>594</v>
      </c>
      <c r="O325" s="15" t="s">
        <v>570</v>
      </c>
      <c r="P325" s="15" t="s">
        <v>574</v>
      </c>
      <c r="Q325" s="15" t="s">
        <v>572</v>
      </c>
      <c r="R325" s="15">
        <v>4</v>
      </c>
      <c r="S325" s="15" t="s">
        <v>573</v>
      </c>
      <c r="T325" s="15">
        <v>25</v>
      </c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2:30" x14ac:dyDescent="0.2">
      <c r="B326" s="15">
        <v>1.8163767814636229</v>
      </c>
      <c r="C326" s="15">
        <v>0.14899220943411551</v>
      </c>
      <c r="D326" s="15">
        <v>2685.1666425228118</v>
      </c>
      <c r="E326" s="15">
        <v>73.585585889962431</v>
      </c>
      <c r="F326" s="15">
        <v>-1.207007774302004</v>
      </c>
      <c r="G326" s="15">
        <v>5.3376746988881727E-3</v>
      </c>
      <c r="H326" s="15">
        <v>33</v>
      </c>
      <c r="I326" s="15">
        <v>-1.2157431362077891</v>
      </c>
      <c r="J326" s="15">
        <v>-1.201882086706578</v>
      </c>
      <c r="K326" s="15">
        <v>-1.201133166371724</v>
      </c>
      <c r="L326" s="15">
        <v>-1.2093231727496709</v>
      </c>
      <c r="M326" s="15">
        <v>-1.2069573094742621</v>
      </c>
      <c r="N326" s="15" t="s">
        <v>594</v>
      </c>
      <c r="O326" s="15" t="s">
        <v>570</v>
      </c>
      <c r="P326" s="15" t="s">
        <v>574</v>
      </c>
      <c r="Q326" s="15" t="s">
        <v>572</v>
      </c>
      <c r="R326" s="15">
        <v>3</v>
      </c>
      <c r="S326" s="15" t="s">
        <v>573</v>
      </c>
      <c r="T326" s="15">
        <v>5</v>
      </c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spans="2:30" x14ac:dyDescent="0.2">
      <c r="B327" s="15">
        <v>1.744075727462769</v>
      </c>
      <c r="C327" s="15">
        <v>0.1162833200385662</v>
      </c>
      <c r="D327" s="15">
        <v>1513.5202926635741</v>
      </c>
      <c r="E327" s="15">
        <v>24.585534894046909</v>
      </c>
      <c r="F327" s="15">
        <v>-1.123652605098457</v>
      </c>
      <c r="G327" s="15">
        <v>4.4558505311729692E-3</v>
      </c>
      <c r="H327" s="15">
        <v>2</v>
      </c>
      <c r="I327" s="15">
        <v>-1.1298741043279481</v>
      </c>
      <c r="J327" s="15">
        <v>-1.120666871030406</v>
      </c>
      <c r="K327" s="15">
        <v>-1.118484780764756</v>
      </c>
      <c r="L327" s="15">
        <v>-1.128015583648478</v>
      </c>
      <c r="M327" s="15">
        <v>-1.1212216857206989</v>
      </c>
      <c r="N327" s="15" t="s">
        <v>594</v>
      </c>
      <c r="O327" s="15" t="s">
        <v>570</v>
      </c>
      <c r="P327" s="15" t="s">
        <v>574</v>
      </c>
      <c r="Q327" s="15" t="s">
        <v>572</v>
      </c>
      <c r="R327" s="15">
        <v>1</v>
      </c>
      <c r="S327" s="15" t="s">
        <v>573</v>
      </c>
      <c r="T327" s="15">
        <v>40</v>
      </c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spans="2:30" x14ac:dyDescent="0.2">
      <c r="B328" s="15">
        <v>1.737665033340454</v>
      </c>
      <c r="C328" s="15">
        <v>0.16936879421363629</v>
      </c>
      <c r="D328" s="15">
        <v>2045.4965374946589</v>
      </c>
      <c r="E328" s="15">
        <v>65.415619565942507</v>
      </c>
      <c r="F328" s="15">
        <v>-1.2717700790647859</v>
      </c>
      <c r="G328" s="15">
        <v>4.6768596369011223E-3</v>
      </c>
      <c r="H328" s="15">
        <v>36</v>
      </c>
      <c r="I328" s="15">
        <v>-1.2799602838072499</v>
      </c>
      <c r="J328" s="15">
        <v>-1.2654882769008591</v>
      </c>
      <c r="K328" s="15">
        <v>-1.2709985625604121</v>
      </c>
      <c r="L328" s="15">
        <v>-1.2720913257142961</v>
      </c>
      <c r="M328" s="15">
        <v>-1.270311946341115</v>
      </c>
      <c r="N328" s="15" t="s">
        <v>594</v>
      </c>
      <c r="O328" s="15" t="s">
        <v>570</v>
      </c>
      <c r="P328" s="15" t="s">
        <v>574</v>
      </c>
      <c r="Q328" s="15" t="s">
        <v>572</v>
      </c>
      <c r="R328" s="15">
        <v>4</v>
      </c>
      <c r="S328" s="15" t="s">
        <v>573</v>
      </c>
      <c r="T328" s="15">
        <v>3</v>
      </c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spans="2:30" x14ac:dyDescent="0.2">
      <c r="B329" s="15">
        <v>1.606909513473511</v>
      </c>
      <c r="C329" s="15">
        <v>0.1198367435720169</v>
      </c>
      <c r="D329" s="15">
        <v>876.13604974746704</v>
      </c>
      <c r="E329" s="15">
        <v>16.460456051656269</v>
      </c>
      <c r="F329" s="15">
        <v>-1.124963001754353</v>
      </c>
      <c r="G329" s="15">
        <v>4.4227824180980693E-3</v>
      </c>
      <c r="H329" s="15">
        <v>6</v>
      </c>
      <c r="I329" s="15">
        <v>-1.1309104800713421</v>
      </c>
      <c r="J329" s="15">
        <v>-1.1213859487561719</v>
      </c>
      <c r="K329" s="15">
        <v>-1.119843457841027</v>
      </c>
      <c r="L329" s="15">
        <v>-1.1294719396744419</v>
      </c>
      <c r="M329" s="15">
        <v>-1.1232031824287829</v>
      </c>
      <c r="N329" s="15" t="s">
        <v>594</v>
      </c>
      <c r="O329" s="15" t="s">
        <v>570</v>
      </c>
      <c r="P329" s="15" t="s">
        <v>571</v>
      </c>
      <c r="Q329" s="15" t="s">
        <v>572</v>
      </c>
      <c r="R329" s="15">
        <v>2</v>
      </c>
      <c r="S329" s="15" t="s">
        <v>573</v>
      </c>
      <c r="T329" s="15">
        <v>40</v>
      </c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spans="2:30" x14ac:dyDescent="0.2">
      <c r="B330" s="15">
        <v>1.770194721221924</v>
      </c>
      <c r="C330" s="15">
        <v>0.13741428249687879</v>
      </c>
      <c r="D330" s="15">
        <v>2286.1460361480708</v>
      </c>
      <c r="E330" s="15">
        <v>76.00963936713778</v>
      </c>
      <c r="F330" s="15">
        <v>-1.2699117781994791</v>
      </c>
      <c r="G330" s="15">
        <v>5.1578267907487901E-3</v>
      </c>
      <c r="H330" s="15">
        <v>35</v>
      </c>
      <c r="I330" s="15">
        <v>-1.278212571204344</v>
      </c>
      <c r="J330" s="15">
        <v>-1.262519141121291</v>
      </c>
      <c r="K330" s="15">
        <v>-1.26717215593504</v>
      </c>
      <c r="L330" s="15">
        <v>-1.270454031842535</v>
      </c>
      <c r="M330" s="15">
        <v>-1.271200990894183</v>
      </c>
      <c r="N330" s="15" t="s">
        <v>594</v>
      </c>
      <c r="O330" s="15" t="s">
        <v>570</v>
      </c>
      <c r="P330" s="15" t="s">
        <v>571</v>
      </c>
      <c r="Q330" s="15" t="s">
        <v>572</v>
      </c>
      <c r="R330" s="15">
        <v>3</v>
      </c>
      <c r="S330" s="15" t="s">
        <v>573</v>
      </c>
      <c r="T330" s="15">
        <v>3</v>
      </c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spans="2:30" x14ac:dyDescent="0.2">
      <c r="B331" s="15">
        <v>1.7040505886077879</v>
      </c>
      <c r="C331" s="15">
        <v>8.8660992094782551E-2</v>
      </c>
      <c r="D331" s="15">
        <v>3963.3046891689301</v>
      </c>
      <c r="E331" s="15">
        <v>105.96450199325091</v>
      </c>
      <c r="F331" s="15">
        <v>-1.132775300739592</v>
      </c>
      <c r="G331" s="15">
        <v>4.0123690288993092E-3</v>
      </c>
      <c r="H331" s="15">
        <v>13</v>
      </c>
      <c r="I331" s="15">
        <v>-1.1376689380337419</v>
      </c>
      <c r="J331" s="15">
        <v>-1.1300155065891311</v>
      </c>
      <c r="K331" s="15">
        <v>-1.1275084102317301</v>
      </c>
      <c r="L331" s="15">
        <v>-1.137195177526874</v>
      </c>
      <c r="M331" s="15">
        <v>-1.1314884713164819</v>
      </c>
      <c r="N331" s="15" t="s">
        <v>594</v>
      </c>
      <c r="O331" s="15" t="s">
        <v>570</v>
      </c>
      <c r="P331" s="15" t="s">
        <v>574</v>
      </c>
      <c r="Q331" s="15" t="s">
        <v>572</v>
      </c>
      <c r="R331" s="15">
        <v>5</v>
      </c>
      <c r="S331" s="15" t="s">
        <v>573</v>
      </c>
      <c r="T331" s="15">
        <v>100</v>
      </c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spans="2:30" x14ac:dyDescent="0.2">
      <c r="B332" s="15">
        <v>1.671613645553589</v>
      </c>
      <c r="C332" s="15">
        <v>0.1668557710670181</v>
      </c>
      <c r="D332" s="15">
        <v>2264.439728403092</v>
      </c>
      <c r="E332" s="15">
        <v>81.705114822831391</v>
      </c>
      <c r="F332" s="15">
        <v>-1.18296788389796</v>
      </c>
      <c r="G332" s="15">
        <v>5.4234780361196062E-3</v>
      </c>
      <c r="H332" s="15">
        <v>29</v>
      </c>
      <c r="I332" s="15">
        <v>-1.191628688767395</v>
      </c>
      <c r="J332" s="15">
        <v>-1.1768037603161301</v>
      </c>
      <c r="K332" s="15">
        <v>-1.177646319833568</v>
      </c>
      <c r="L332" s="15">
        <v>-1.1853172308526041</v>
      </c>
      <c r="M332" s="15">
        <v>-1.1834434197201</v>
      </c>
      <c r="N332" s="15" t="s">
        <v>594</v>
      </c>
      <c r="O332" s="15" t="s">
        <v>570</v>
      </c>
      <c r="P332" s="15" t="s">
        <v>574</v>
      </c>
      <c r="Q332" s="15" t="s">
        <v>572</v>
      </c>
      <c r="R332" s="15">
        <v>5</v>
      </c>
      <c r="S332" s="15" t="s">
        <v>573</v>
      </c>
      <c r="T332" s="15">
        <v>7</v>
      </c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spans="2:30" x14ac:dyDescent="0.2">
      <c r="B333" s="15">
        <v>1.70208420753479</v>
      </c>
      <c r="C333" s="15">
        <v>9.8019400709259172E-2</v>
      </c>
      <c r="D333" s="15">
        <v>404.36215701103208</v>
      </c>
      <c r="E333" s="15">
        <v>17.096370757374231</v>
      </c>
      <c r="F333" s="15">
        <v>-1.5483481810618469</v>
      </c>
      <c r="G333" s="15">
        <v>6.1598298409562546E-3</v>
      </c>
      <c r="H333" s="15">
        <v>40</v>
      </c>
      <c r="I333" s="15">
        <v>-1.556811285728229</v>
      </c>
      <c r="J333" s="15">
        <v>-1.5376215661286621</v>
      </c>
      <c r="K333" s="15">
        <v>-1.5498437337304161</v>
      </c>
      <c r="L333" s="15">
        <v>-1.5482313841587281</v>
      </c>
      <c r="M333" s="15">
        <v>-1.5492329355632011</v>
      </c>
      <c r="N333" s="15" t="s">
        <v>594</v>
      </c>
      <c r="O333" s="15" t="s">
        <v>570</v>
      </c>
      <c r="P333" s="15" t="s">
        <v>571</v>
      </c>
      <c r="Q333" s="15" t="s">
        <v>572</v>
      </c>
      <c r="R333" s="15">
        <v>2</v>
      </c>
      <c r="S333" s="15" t="s">
        <v>573</v>
      </c>
      <c r="T333" s="15">
        <v>1</v>
      </c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spans="2:30" x14ac:dyDescent="0.2">
      <c r="B334" s="15">
        <v>1.6944614410400389</v>
      </c>
      <c r="C334" s="15">
        <v>0.17924679734811441</v>
      </c>
      <c r="D334" s="15">
        <v>606.23367562294004</v>
      </c>
      <c r="E334" s="15">
        <v>19.84637058819099</v>
      </c>
      <c r="F334" s="15">
        <v>-1.186320511060327</v>
      </c>
      <c r="G334" s="15">
        <v>5.7366199446788734E-3</v>
      </c>
      <c r="H334" s="15">
        <v>31</v>
      </c>
      <c r="I334" s="15">
        <v>-1.1961516545608559</v>
      </c>
      <c r="J334" s="15">
        <v>-1.1811302208163961</v>
      </c>
      <c r="K334" s="15">
        <v>-1.180140943229874</v>
      </c>
      <c r="L334" s="15">
        <v>-1.187979437558484</v>
      </c>
      <c r="M334" s="15">
        <v>-1.186200299136025</v>
      </c>
      <c r="N334" s="15" t="s">
        <v>594</v>
      </c>
      <c r="O334" s="15" t="s">
        <v>570</v>
      </c>
      <c r="P334" s="15" t="s">
        <v>574</v>
      </c>
      <c r="Q334" s="15" t="s">
        <v>572</v>
      </c>
      <c r="R334" s="15">
        <v>2</v>
      </c>
      <c r="S334" s="15" t="s">
        <v>573</v>
      </c>
      <c r="T334" s="15">
        <v>6</v>
      </c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spans="2:30" x14ac:dyDescent="0.2">
      <c r="B335" s="15">
        <v>1.6305128097534181</v>
      </c>
      <c r="C335" s="15">
        <v>9.7270517202721979E-2</v>
      </c>
      <c r="D335" s="15">
        <v>2481.7645541667939</v>
      </c>
      <c r="E335" s="15">
        <v>76.281051395996059</v>
      </c>
      <c r="F335" s="15">
        <v>-1.172882641137585</v>
      </c>
      <c r="G335" s="15">
        <v>5.4417427581893701E-3</v>
      </c>
      <c r="H335" s="15">
        <v>26</v>
      </c>
      <c r="I335" s="15">
        <v>-1.1815147331080911</v>
      </c>
      <c r="J335" s="15">
        <v>-1.1668767044448061</v>
      </c>
      <c r="K335" s="15">
        <v>-1.1674295458062069</v>
      </c>
      <c r="L335" s="15">
        <v>-1.175664776601985</v>
      </c>
      <c r="M335" s="15">
        <v>-1.1729274457268339</v>
      </c>
      <c r="N335" s="15" t="s">
        <v>594</v>
      </c>
      <c r="O335" s="15" t="s">
        <v>570</v>
      </c>
      <c r="P335" s="15" t="s">
        <v>571</v>
      </c>
      <c r="Q335" s="15" t="s">
        <v>572</v>
      </c>
      <c r="R335" s="15">
        <v>4</v>
      </c>
      <c r="S335" s="15" t="s">
        <v>573</v>
      </c>
      <c r="T335" s="15">
        <v>8</v>
      </c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2:30" x14ac:dyDescent="0.2">
      <c r="B336" s="15">
        <v>1.536580753326416</v>
      </c>
      <c r="C336" s="15">
        <v>7.3298110515750123E-2</v>
      </c>
      <c r="D336" s="15">
        <v>4267.8309849739071</v>
      </c>
      <c r="E336" s="15">
        <v>225.72357248417151</v>
      </c>
      <c r="F336" s="15">
        <v>-1.129011027099996</v>
      </c>
      <c r="G336" s="15">
        <v>4.2308188086101614E-3</v>
      </c>
      <c r="H336" s="15">
        <v>10</v>
      </c>
      <c r="I336" s="15">
        <v>-1.134404719281531</v>
      </c>
      <c r="J336" s="15">
        <v>-1.12617822390161</v>
      </c>
      <c r="K336" s="15">
        <v>-1.1235299590296139</v>
      </c>
      <c r="L336" s="15">
        <v>-1.1334774948220521</v>
      </c>
      <c r="M336" s="15">
        <v>-1.127464738465173</v>
      </c>
      <c r="N336" s="15" t="s">
        <v>594</v>
      </c>
      <c r="O336" s="15" t="s">
        <v>570</v>
      </c>
      <c r="P336" s="15" t="s">
        <v>574</v>
      </c>
      <c r="Q336" s="15" t="s">
        <v>572</v>
      </c>
      <c r="R336" s="15">
        <v>3</v>
      </c>
      <c r="S336" s="15" t="s">
        <v>573</v>
      </c>
      <c r="T336" s="15">
        <v>100</v>
      </c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spans="2:30" x14ac:dyDescent="0.2">
      <c r="B337" s="15">
        <v>4071.132006454468</v>
      </c>
      <c r="C337" s="15">
        <v>3469.2945545997509</v>
      </c>
      <c r="D337" s="15">
        <v>8.5021888732910149</v>
      </c>
      <c r="E337" s="15">
        <v>10.668644243273739</v>
      </c>
      <c r="F337" s="15"/>
      <c r="G337" s="15"/>
      <c r="H337" s="15">
        <v>9</v>
      </c>
      <c r="I337" s="15"/>
      <c r="J337" s="15"/>
      <c r="K337" s="15">
        <v>-0.91467710845174965</v>
      </c>
      <c r="L337" s="15"/>
      <c r="M337" s="15">
        <v>-0.91886892075873483</v>
      </c>
      <c r="N337" s="15" t="s">
        <v>595</v>
      </c>
      <c r="O337" s="15" t="s">
        <v>578</v>
      </c>
      <c r="P337" s="15">
        <v>0.9</v>
      </c>
      <c r="Q337" s="15" t="s">
        <v>579</v>
      </c>
      <c r="R337" s="15">
        <v>0</v>
      </c>
      <c r="S337" s="15" t="s">
        <v>580</v>
      </c>
      <c r="T337" s="15">
        <v>0</v>
      </c>
      <c r="U337" s="15" t="s">
        <v>450</v>
      </c>
      <c r="V337" s="15">
        <v>400</v>
      </c>
      <c r="W337" s="15" t="s">
        <v>577</v>
      </c>
      <c r="X337" s="15">
        <v>21</v>
      </c>
      <c r="Y337" s="15" t="s">
        <v>581</v>
      </c>
      <c r="Z337" s="15">
        <v>0.01</v>
      </c>
      <c r="AA337" s="15" t="s">
        <v>582</v>
      </c>
      <c r="AB337" s="15">
        <v>0</v>
      </c>
      <c r="AC337" s="15" t="s">
        <v>583</v>
      </c>
      <c r="AD337" s="15">
        <v>0.8</v>
      </c>
    </row>
    <row r="338" spans="2:30" x14ac:dyDescent="0.2">
      <c r="B338" s="15">
        <v>29.31531744003296</v>
      </c>
      <c r="C338" s="15">
        <v>1.916002990300621</v>
      </c>
      <c r="D338" s="15">
        <v>0.41073031425476081</v>
      </c>
      <c r="E338" s="15">
        <v>6.4120044974330034E-2</v>
      </c>
      <c r="F338" s="15">
        <v>-0.91822637221280468</v>
      </c>
      <c r="G338" s="15">
        <v>2.5757758996473568E-3</v>
      </c>
      <c r="H338" s="15">
        <v>4</v>
      </c>
      <c r="I338" s="15">
        <v>-0.92156701501189475</v>
      </c>
      <c r="J338" s="15">
        <v>-0.91560465957616655</v>
      </c>
      <c r="K338" s="15">
        <v>-0.91505181317965523</v>
      </c>
      <c r="L338" s="15">
        <v>-0.92046585713194451</v>
      </c>
      <c r="M338" s="15">
        <v>-0.91844251616436201</v>
      </c>
      <c r="N338" s="15" t="s">
        <v>595</v>
      </c>
      <c r="O338" s="15" t="s">
        <v>578</v>
      </c>
      <c r="P338" s="15">
        <v>0.6</v>
      </c>
      <c r="Q338" s="15" t="s">
        <v>579</v>
      </c>
      <c r="R338" s="15">
        <v>0.05</v>
      </c>
      <c r="S338" s="15" t="s">
        <v>580</v>
      </c>
      <c r="T338" s="15">
        <v>0</v>
      </c>
      <c r="U338" s="15" t="s">
        <v>450</v>
      </c>
      <c r="V338" s="15">
        <v>200</v>
      </c>
      <c r="W338" s="15" t="s">
        <v>577</v>
      </c>
      <c r="X338" s="15">
        <v>3</v>
      </c>
      <c r="Y338" s="15" t="s">
        <v>581</v>
      </c>
      <c r="Z338" s="15">
        <v>0.8</v>
      </c>
      <c r="AA338" s="15" t="s">
        <v>582</v>
      </c>
      <c r="AB338" s="15">
        <v>0</v>
      </c>
      <c r="AC338" s="15" t="s">
        <v>583</v>
      </c>
      <c r="AD338" s="15">
        <v>0.6</v>
      </c>
    </row>
    <row r="339" spans="2:30" x14ac:dyDescent="0.2">
      <c r="B339" s="15">
        <v>52.26088285446167</v>
      </c>
      <c r="C339" s="15">
        <v>3.3054017532883648</v>
      </c>
      <c r="D339" s="15">
        <v>1.0536641120910639</v>
      </c>
      <c r="E339" s="15">
        <v>6.6010344798467499E-2</v>
      </c>
      <c r="F339" s="15">
        <v>-0.92637594442432236</v>
      </c>
      <c r="G339" s="15">
        <v>2.6987698469187879E-3</v>
      </c>
      <c r="H339" s="15">
        <v>5</v>
      </c>
      <c r="I339" s="15">
        <v>-0.92670548669350217</v>
      </c>
      <c r="J339" s="15">
        <v>-0.92587619008318567</v>
      </c>
      <c r="K339" s="15">
        <v>-0.9220482632561896</v>
      </c>
      <c r="L339" s="15">
        <v>-0.93052411388962464</v>
      </c>
      <c r="M339" s="15">
        <v>-0.92672566819911051</v>
      </c>
      <c r="N339" s="15" t="s">
        <v>595</v>
      </c>
      <c r="O339" s="15" t="s">
        <v>578</v>
      </c>
      <c r="P339" s="15">
        <v>1</v>
      </c>
      <c r="Q339" s="15" t="s">
        <v>579</v>
      </c>
      <c r="R339" s="15">
        <v>1E-3</v>
      </c>
      <c r="S339" s="15" t="s">
        <v>580</v>
      </c>
      <c r="T339" s="15">
        <v>1E-3</v>
      </c>
      <c r="U339" s="15" t="s">
        <v>450</v>
      </c>
      <c r="V339" s="15">
        <v>400</v>
      </c>
      <c r="W339" s="15" t="s">
        <v>577</v>
      </c>
      <c r="X339" s="15">
        <v>5</v>
      </c>
      <c r="Y339" s="15" t="s">
        <v>581</v>
      </c>
      <c r="Z339" s="15">
        <v>0.5</v>
      </c>
      <c r="AA339" s="15" t="s">
        <v>582</v>
      </c>
      <c r="AB339" s="15">
        <v>0</v>
      </c>
      <c r="AC339" s="15" t="s">
        <v>583</v>
      </c>
      <c r="AD339" s="15">
        <v>1</v>
      </c>
    </row>
    <row r="340" spans="2:30" x14ac:dyDescent="0.2">
      <c r="B340" s="15">
        <v>519.76921410560612</v>
      </c>
      <c r="C340" s="15">
        <v>4.7424574141952034</v>
      </c>
      <c r="D340" s="15">
        <v>10.06721520423889</v>
      </c>
      <c r="E340" s="15">
        <v>0.46300925668449228</v>
      </c>
      <c r="F340" s="15">
        <v>-1.426730746603696</v>
      </c>
      <c r="G340" s="15">
        <v>5.3370165340152556E-3</v>
      </c>
      <c r="H340" s="15">
        <v>8</v>
      </c>
      <c r="I340" s="15">
        <v>-1.4304762265673341</v>
      </c>
      <c r="J340" s="15">
        <v>-1.4200928895586129</v>
      </c>
      <c r="K340" s="15">
        <v>-1.424102558940793</v>
      </c>
      <c r="L340" s="15">
        <v>-1.4239150414770909</v>
      </c>
      <c r="M340" s="15">
        <v>-1.4350670164746491</v>
      </c>
      <c r="N340" s="15" t="s">
        <v>595</v>
      </c>
      <c r="O340" s="15" t="s">
        <v>578</v>
      </c>
      <c r="P340" s="15">
        <v>0.7</v>
      </c>
      <c r="Q340" s="15" t="s">
        <v>579</v>
      </c>
      <c r="R340" s="15">
        <v>0.1</v>
      </c>
      <c r="S340" s="15" t="s">
        <v>580</v>
      </c>
      <c r="T340" s="15">
        <v>0</v>
      </c>
      <c r="U340" s="15" t="s">
        <v>450</v>
      </c>
      <c r="V340" s="15">
        <v>400</v>
      </c>
      <c r="W340" s="15" t="s">
        <v>577</v>
      </c>
      <c r="X340" s="15">
        <v>13</v>
      </c>
      <c r="Y340" s="15" t="s">
        <v>581</v>
      </c>
      <c r="Z340" s="15">
        <v>0.8</v>
      </c>
      <c r="AA340" s="15" t="s">
        <v>582</v>
      </c>
      <c r="AB340" s="15">
        <v>0</v>
      </c>
      <c r="AC340" s="15" t="s">
        <v>583</v>
      </c>
      <c r="AD340" s="15">
        <v>0.7</v>
      </c>
    </row>
    <row r="341" spans="2:30" x14ac:dyDescent="0.2">
      <c r="B341" s="15">
        <v>39.071410465240483</v>
      </c>
      <c r="C341" s="15">
        <v>2.8776016695710429</v>
      </c>
      <c r="D341" s="15">
        <v>0.59490451812744138</v>
      </c>
      <c r="E341" s="15">
        <v>0.11233361774496239</v>
      </c>
      <c r="F341" s="15">
        <v>-0.90374932371648486</v>
      </c>
      <c r="G341" s="15">
        <v>2.434081946744568E-3</v>
      </c>
      <c r="H341" s="15">
        <v>2</v>
      </c>
      <c r="I341" s="15">
        <v>-0.90495226226515413</v>
      </c>
      <c r="J341" s="15">
        <v>-0.90081470167614996</v>
      </c>
      <c r="K341" s="15">
        <v>-0.9010422859849071</v>
      </c>
      <c r="L341" s="15">
        <v>-0.90706082228111939</v>
      </c>
      <c r="M341" s="15">
        <v>-0.90487654637509451</v>
      </c>
      <c r="N341" s="15" t="s">
        <v>595</v>
      </c>
      <c r="O341" s="15" t="s">
        <v>578</v>
      </c>
      <c r="P341" s="15">
        <v>0.9</v>
      </c>
      <c r="Q341" s="15" t="s">
        <v>579</v>
      </c>
      <c r="R341" s="15">
        <v>1E-3</v>
      </c>
      <c r="S341" s="15" t="s">
        <v>580</v>
      </c>
      <c r="T341" s="15">
        <v>0</v>
      </c>
      <c r="U341" s="15" t="s">
        <v>450</v>
      </c>
      <c r="V341" s="15">
        <v>300</v>
      </c>
      <c r="W341" s="15" t="s">
        <v>577</v>
      </c>
      <c r="X341" s="15">
        <v>3</v>
      </c>
      <c r="Y341" s="15" t="s">
        <v>581</v>
      </c>
      <c r="Z341" s="15">
        <v>0.2</v>
      </c>
      <c r="AA341" s="15" t="s">
        <v>582</v>
      </c>
      <c r="AB341" s="15">
        <v>0</v>
      </c>
      <c r="AC341" s="15" t="s">
        <v>583</v>
      </c>
      <c r="AD341" s="15">
        <v>1</v>
      </c>
    </row>
    <row r="342" spans="2:30" x14ac:dyDescent="0.2">
      <c r="B342" s="15">
        <v>3329.1283532142638</v>
      </c>
      <c r="C342" s="15">
        <v>1554.9009327584531</v>
      </c>
      <c r="D342" s="15">
        <v>8.009104919433593</v>
      </c>
      <c r="E342" s="15">
        <v>6.6145518890271591</v>
      </c>
      <c r="F342" s="15"/>
      <c r="G342" s="15"/>
      <c r="H342" s="15">
        <v>9</v>
      </c>
      <c r="I342" s="15">
        <v>-0.94230075206120867</v>
      </c>
      <c r="J342" s="15">
        <v>-0.93742222526908314</v>
      </c>
      <c r="K342" s="15"/>
      <c r="L342" s="15">
        <v>-0.94337272484050161</v>
      </c>
      <c r="M342" s="15"/>
      <c r="N342" s="15" t="s">
        <v>595</v>
      </c>
      <c r="O342" s="15" t="s">
        <v>578</v>
      </c>
      <c r="P342" s="15">
        <v>0.6</v>
      </c>
      <c r="Q342" s="15" t="s">
        <v>579</v>
      </c>
      <c r="R342" s="15">
        <v>0</v>
      </c>
      <c r="S342" s="15" t="s">
        <v>580</v>
      </c>
      <c r="T342" s="15">
        <v>1E-3</v>
      </c>
      <c r="U342" s="15" t="s">
        <v>450</v>
      </c>
      <c r="V342" s="15">
        <v>200</v>
      </c>
      <c r="W342" s="15" t="s">
        <v>577</v>
      </c>
      <c r="X342" s="15">
        <v>21</v>
      </c>
      <c r="Y342" s="15" t="s">
        <v>581</v>
      </c>
      <c r="Z342" s="15">
        <v>0.01</v>
      </c>
      <c r="AA342" s="15" t="s">
        <v>582</v>
      </c>
      <c r="AB342" s="15">
        <v>0</v>
      </c>
      <c r="AC342" s="15" t="s">
        <v>583</v>
      </c>
      <c r="AD342" s="15">
        <v>0.6</v>
      </c>
    </row>
    <row r="343" spans="2:30" x14ac:dyDescent="0.2">
      <c r="B343" s="15">
        <v>395.16679654121401</v>
      </c>
      <c r="C343" s="15">
        <v>30.383515009771131</v>
      </c>
      <c r="D343" s="15">
        <v>6.9659780025482174</v>
      </c>
      <c r="E343" s="15">
        <v>1.2497115721411229</v>
      </c>
      <c r="F343" s="15">
        <v>-0.95188645011296535</v>
      </c>
      <c r="G343" s="15">
        <v>2.0249292712001248E-3</v>
      </c>
      <c r="H343" s="15">
        <v>6</v>
      </c>
      <c r="I343" s="15">
        <v>-0.95372944640771551</v>
      </c>
      <c r="J343" s="15">
        <v>-0.94959859336564434</v>
      </c>
      <c r="K343" s="15">
        <v>-0.94934085870437579</v>
      </c>
      <c r="L343" s="15">
        <v>-0.95405966282130983</v>
      </c>
      <c r="M343" s="15">
        <v>-0.95270368926578131</v>
      </c>
      <c r="N343" s="15" t="s">
        <v>595</v>
      </c>
      <c r="O343" s="15" t="s">
        <v>578</v>
      </c>
      <c r="P343" s="15">
        <v>0.7</v>
      </c>
      <c r="Q343" s="15" t="s">
        <v>579</v>
      </c>
      <c r="R343" s="15">
        <v>0.05</v>
      </c>
      <c r="S343" s="15" t="s">
        <v>580</v>
      </c>
      <c r="T343" s="15">
        <v>1</v>
      </c>
      <c r="U343" s="15" t="s">
        <v>450</v>
      </c>
      <c r="V343" s="15">
        <v>200</v>
      </c>
      <c r="W343" s="15" t="s">
        <v>577</v>
      </c>
      <c r="X343" s="15">
        <v>13</v>
      </c>
      <c r="Y343" s="15" t="s">
        <v>581</v>
      </c>
      <c r="Z343" s="15">
        <v>0.2</v>
      </c>
      <c r="AA343" s="15" t="s">
        <v>582</v>
      </c>
      <c r="AB343" s="15">
        <v>0</v>
      </c>
      <c r="AC343" s="15" t="s">
        <v>583</v>
      </c>
      <c r="AD343" s="15">
        <v>1</v>
      </c>
    </row>
    <row r="344" spans="2:30" x14ac:dyDescent="0.2">
      <c r="B344" s="15">
        <v>46.104678201675412</v>
      </c>
      <c r="C344" s="15">
        <v>6.1739814492595499</v>
      </c>
      <c r="D344" s="15">
        <v>1.620461273193359</v>
      </c>
      <c r="E344" s="15">
        <v>1.029011093306359</v>
      </c>
      <c r="F344" s="15">
        <v>-0.90173642821066446</v>
      </c>
      <c r="G344" s="15">
        <v>2.8986358398486131E-3</v>
      </c>
      <c r="H344" s="15">
        <v>1</v>
      </c>
      <c r="I344" s="15">
        <v>-0.90242690961663974</v>
      </c>
      <c r="J344" s="15">
        <v>-0.89894094299076133</v>
      </c>
      <c r="K344" s="15">
        <v>-0.8984555798654571</v>
      </c>
      <c r="L344" s="15">
        <v>-0.9064849903072959</v>
      </c>
      <c r="M344" s="15">
        <v>-0.90237371827316759</v>
      </c>
      <c r="N344" s="15" t="s">
        <v>595</v>
      </c>
      <c r="O344" s="15" t="s">
        <v>578</v>
      </c>
      <c r="P344" s="15">
        <v>1</v>
      </c>
      <c r="Q344" s="15" t="s">
        <v>579</v>
      </c>
      <c r="R344" s="15">
        <v>0</v>
      </c>
      <c r="S344" s="15" t="s">
        <v>580</v>
      </c>
      <c r="T344" s="15">
        <v>0.01</v>
      </c>
      <c r="U344" s="15" t="s">
        <v>450</v>
      </c>
      <c r="V344" s="15">
        <v>400</v>
      </c>
      <c r="W344" s="15" t="s">
        <v>577</v>
      </c>
      <c r="X344" s="15">
        <v>3</v>
      </c>
      <c r="Y344" s="15" t="s">
        <v>581</v>
      </c>
      <c r="Z344" s="15">
        <v>0.2</v>
      </c>
      <c r="AA344" s="15" t="s">
        <v>582</v>
      </c>
      <c r="AB344" s="15">
        <v>0</v>
      </c>
      <c r="AC344" s="15" t="s">
        <v>583</v>
      </c>
      <c r="AD344" s="15">
        <v>0.7</v>
      </c>
    </row>
    <row r="345" spans="2:30" x14ac:dyDescent="0.2">
      <c r="B345" s="15">
        <v>37.396775293350217</v>
      </c>
      <c r="C345" s="15">
        <v>2.955674647455397</v>
      </c>
      <c r="D345" s="15">
        <v>1.0985438823699949</v>
      </c>
      <c r="E345" s="15">
        <v>0.26743961681057588</v>
      </c>
      <c r="F345" s="15">
        <v>-0.96843209301799893</v>
      </c>
      <c r="G345" s="15">
        <v>2.0501580180311888E-3</v>
      </c>
      <c r="H345" s="15">
        <v>7</v>
      </c>
      <c r="I345" s="15">
        <v>-0.96928448438699455</v>
      </c>
      <c r="J345" s="15">
        <v>-0.96620659326088254</v>
      </c>
      <c r="K345" s="15">
        <v>-0.96590890045787392</v>
      </c>
      <c r="L345" s="15">
        <v>-0.97121067652509441</v>
      </c>
      <c r="M345" s="15">
        <v>-0.96954981045914912</v>
      </c>
      <c r="N345" s="15" t="s">
        <v>595</v>
      </c>
      <c r="O345" s="15" t="s">
        <v>578</v>
      </c>
      <c r="P345" s="15">
        <v>1</v>
      </c>
      <c r="Q345" s="15" t="s">
        <v>579</v>
      </c>
      <c r="R345" s="15">
        <v>1E-3</v>
      </c>
      <c r="S345" s="15" t="s">
        <v>580</v>
      </c>
      <c r="T345" s="15">
        <v>1E-3</v>
      </c>
      <c r="U345" s="15" t="s">
        <v>450</v>
      </c>
      <c r="V345" s="15">
        <v>300</v>
      </c>
      <c r="W345" s="15" t="s">
        <v>577</v>
      </c>
      <c r="X345" s="15">
        <v>3</v>
      </c>
      <c r="Y345" s="15" t="s">
        <v>581</v>
      </c>
      <c r="Z345" s="15">
        <v>0.01</v>
      </c>
      <c r="AA345" s="15" t="s">
        <v>582</v>
      </c>
      <c r="AB345" s="15">
        <v>0</v>
      </c>
      <c r="AC345" s="15" t="s">
        <v>583</v>
      </c>
      <c r="AD345" s="15">
        <v>0.7</v>
      </c>
    </row>
    <row r="346" spans="2:30" x14ac:dyDescent="0.2">
      <c r="B346" s="15">
        <v>627.02290716171262</v>
      </c>
      <c r="C346" s="15">
        <v>48.49914342233221</v>
      </c>
      <c r="D346" s="15">
        <v>9.044398307800293</v>
      </c>
      <c r="E346" s="15">
        <v>1.5112995849756721</v>
      </c>
      <c r="F346" s="15">
        <v>-0.90414114341354901</v>
      </c>
      <c r="G346" s="15">
        <v>2.7636923196223779E-3</v>
      </c>
      <c r="H346" s="15">
        <v>3</v>
      </c>
      <c r="I346" s="15">
        <v>-0.90551458801540707</v>
      </c>
      <c r="J346" s="15">
        <v>-0.90131969835578263</v>
      </c>
      <c r="K346" s="15">
        <v>-0.90066147326296941</v>
      </c>
      <c r="L346" s="15">
        <v>-0.90803571292332363</v>
      </c>
      <c r="M346" s="15">
        <v>-0.9051742445102624</v>
      </c>
      <c r="N346" s="15" t="s">
        <v>595</v>
      </c>
      <c r="O346" s="15" t="s">
        <v>578</v>
      </c>
      <c r="P346" s="15">
        <v>1</v>
      </c>
      <c r="Q346" s="15" t="s">
        <v>579</v>
      </c>
      <c r="R346" s="15">
        <v>0.01</v>
      </c>
      <c r="S346" s="15" t="s">
        <v>580</v>
      </c>
      <c r="T346" s="15">
        <v>0.05</v>
      </c>
      <c r="U346" s="15" t="s">
        <v>450</v>
      </c>
      <c r="V346" s="15">
        <v>400</v>
      </c>
      <c r="W346" s="15" t="s">
        <v>577</v>
      </c>
      <c r="X346" s="15">
        <v>13</v>
      </c>
      <c r="Y346" s="15" t="s">
        <v>581</v>
      </c>
      <c r="Z346" s="15">
        <v>0.01</v>
      </c>
      <c r="AA346" s="15" t="s">
        <v>582</v>
      </c>
      <c r="AB346" s="15">
        <v>0</v>
      </c>
      <c r="AC346" s="15" t="s">
        <v>583</v>
      </c>
      <c r="AD346" s="15">
        <v>0.7</v>
      </c>
    </row>
    <row r="347" spans="2:30" x14ac:dyDescent="0.2">
      <c r="B347" s="15">
        <v>2794.122503614426</v>
      </c>
      <c r="C347" s="15">
        <v>2109.1017666885568</v>
      </c>
      <c r="D347" s="15">
        <v>6.4620325088500978</v>
      </c>
      <c r="E347" s="15">
        <v>8.0395284542883907</v>
      </c>
      <c r="F347" s="15"/>
      <c r="G347" s="15"/>
      <c r="H347" s="15">
        <v>8</v>
      </c>
      <c r="I347" s="15">
        <v>-0.91774042078178963</v>
      </c>
      <c r="J347" s="15"/>
      <c r="K347" s="15"/>
      <c r="L347" s="15">
        <v>-0.92073313543545765</v>
      </c>
      <c r="M347" s="15"/>
      <c r="N347" s="15" t="s">
        <v>595</v>
      </c>
      <c r="O347" s="15" t="s">
        <v>578</v>
      </c>
      <c r="P347" s="15">
        <v>0.9</v>
      </c>
      <c r="Q347" s="15" t="s">
        <v>579</v>
      </c>
      <c r="R347" s="15">
        <v>0</v>
      </c>
      <c r="S347" s="15" t="s">
        <v>580</v>
      </c>
      <c r="T347" s="15">
        <v>0</v>
      </c>
      <c r="U347" s="15" t="s">
        <v>450</v>
      </c>
      <c r="V347" s="15">
        <v>400</v>
      </c>
      <c r="W347" s="15" t="s">
        <v>577</v>
      </c>
      <c r="X347" s="15">
        <v>21</v>
      </c>
      <c r="Y347" s="15" t="s">
        <v>581</v>
      </c>
      <c r="Z347" s="15">
        <v>0.01</v>
      </c>
      <c r="AA347" s="15" t="s">
        <v>582</v>
      </c>
      <c r="AB347" s="15">
        <v>0.1</v>
      </c>
      <c r="AC347" s="15" t="s">
        <v>583</v>
      </c>
      <c r="AD347" s="15">
        <v>0.8</v>
      </c>
    </row>
    <row r="348" spans="2:30" x14ac:dyDescent="0.2">
      <c r="B348" s="15">
        <v>18.91454033851624</v>
      </c>
      <c r="C348" s="15">
        <v>0.40187073515347832</v>
      </c>
      <c r="D348" s="15">
        <v>0.29663372039794922</v>
      </c>
      <c r="E348" s="15">
        <v>2.5311491162059999E-2</v>
      </c>
      <c r="F348" s="15">
        <v>-0.91822637221280468</v>
      </c>
      <c r="G348" s="15">
        <v>2.5757758996473568E-3</v>
      </c>
      <c r="H348" s="15">
        <v>3</v>
      </c>
      <c r="I348" s="15">
        <v>-0.92156701501189475</v>
      </c>
      <c r="J348" s="15">
        <v>-0.91560465957616655</v>
      </c>
      <c r="K348" s="15">
        <v>-0.91505181317965523</v>
      </c>
      <c r="L348" s="15">
        <v>-0.92046585713194451</v>
      </c>
      <c r="M348" s="15">
        <v>-0.91844251616436201</v>
      </c>
      <c r="N348" s="15" t="s">
        <v>595</v>
      </c>
      <c r="O348" s="15" t="s">
        <v>578</v>
      </c>
      <c r="P348" s="15">
        <v>0.6</v>
      </c>
      <c r="Q348" s="15" t="s">
        <v>579</v>
      </c>
      <c r="R348" s="15">
        <v>0.05</v>
      </c>
      <c r="S348" s="15" t="s">
        <v>580</v>
      </c>
      <c r="T348" s="15">
        <v>0</v>
      </c>
      <c r="U348" s="15" t="s">
        <v>450</v>
      </c>
      <c r="V348" s="15">
        <v>200</v>
      </c>
      <c r="W348" s="15" t="s">
        <v>577</v>
      </c>
      <c r="X348" s="15">
        <v>3</v>
      </c>
      <c r="Y348" s="15" t="s">
        <v>581</v>
      </c>
      <c r="Z348" s="15">
        <v>0.8</v>
      </c>
      <c r="AA348" s="15" t="s">
        <v>582</v>
      </c>
      <c r="AB348" s="15">
        <v>0.1</v>
      </c>
      <c r="AC348" s="15" t="s">
        <v>583</v>
      </c>
      <c r="AD348" s="15">
        <v>0.6</v>
      </c>
    </row>
    <row r="349" spans="2:30" x14ac:dyDescent="0.2">
      <c r="B349" s="15">
        <v>38.067052268981932</v>
      </c>
      <c r="C349" s="15">
        <v>2.3800904218541752</v>
      </c>
      <c r="D349" s="15">
        <v>0.84681005477905269</v>
      </c>
      <c r="E349" s="15">
        <v>0.11957133335974569</v>
      </c>
      <c r="F349" s="15">
        <v>-0.92549858840698751</v>
      </c>
      <c r="G349" s="15">
        <v>3.230113847177086E-3</v>
      </c>
      <c r="H349" s="15">
        <v>4</v>
      </c>
      <c r="I349" s="15">
        <v>-0.92847679343669087</v>
      </c>
      <c r="J349" s="15">
        <v>-0.92231767068128834</v>
      </c>
      <c r="K349" s="15">
        <v>-0.921089848954871</v>
      </c>
      <c r="L349" s="15">
        <v>-0.92905141221943388</v>
      </c>
      <c r="M349" s="15">
        <v>-0.9265572167426529</v>
      </c>
      <c r="N349" s="15" t="s">
        <v>595</v>
      </c>
      <c r="O349" s="15" t="s">
        <v>578</v>
      </c>
      <c r="P349" s="15">
        <v>1</v>
      </c>
      <c r="Q349" s="15" t="s">
        <v>579</v>
      </c>
      <c r="R349" s="15">
        <v>1E-3</v>
      </c>
      <c r="S349" s="15" t="s">
        <v>580</v>
      </c>
      <c r="T349" s="15">
        <v>1E-3</v>
      </c>
      <c r="U349" s="15" t="s">
        <v>450</v>
      </c>
      <c r="V349" s="15">
        <v>400</v>
      </c>
      <c r="W349" s="15" t="s">
        <v>577</v>
      </c>
      <c r="X349" s="15">
        <v>5</v>
      </c>
      <c r="Y349" s="15" t="s">
        <v>581</v>
      </c>
      <c r="Z349" s="15">
        <v>0.5</v>
      </c>
      <c r="AA349" s="15" t="s">
        <v>582</v>
      </c>
      <c r="AB349" s="15">
        <v>0.1</v>
      </c>
      <c r="AC349" s="15" t="s">
        <v>583</v>
      </c>
      <c r="AD349" s="15">
        <v>1</v>
      </c>
    </row>
    <row r="350" spans="2:30" x14ac:dyDescent="0.2">
      <c r="B350" s="15">
        <v>165.61420359611509</v>
      </c>
      <c r="C350" s="15">
        <v>6.4960368231604084</v>
      </c>
      <c r="D350" s="15">
        <v>5.4099333763122557</v>
      </c>
      <c r="E350" s="15">
        <v>1.5181534046472529</v>
      </c>
      <c r="F350" s="15">
        <v>-1.425990547347844</v>
      </c>
      <c r="G350" s="15">
        <v>4.6918584310655714E-3</v>
      </c>
      <c r="H350" s="15">
        <v>7</v>
      </c>
      <c r="I350" s="15">
        <v>-1.4326441400978609</v>
      </c>
      <c r="J350" s="15">
        <v>-1.4220596518360471</v>
      </c>
      <c r="K350" s="15">
        <v>-1.4243285181940311</v>
      </c>
      <c r="L350" s="15">
        <v>-1.430308955017533</v>
      </c>
      <c r="M350" s="15">
        <v>-1.420611471593747</v>
      </c>
      <c r="N350" s="15" t="s">
        <v>595</v>
      </c>
      <c r="O350" s="15" t="s">
        <v>578</v>
      </c>
      <c r="P350" s="15">
        <v>0.7</v>
      </c>
      <c r="Q350" s="15" t="s">
        <v>579</v>
      </c>
      <c r="R350" s="15">
        <v>0.1</v>
      </c>
      <c r="S350" s="15" t="s">
        <v>580</v>
      </c>
      <c r="T350" s="15">
        <v>0</v>
      </c>
      <c r="U350" s="15" t="s">
        <v>450</v>
      </c>
      <c r="V350" s="15">
        <v>400</v>
      </c>
      <c r="W350" s="15" t="s">
        <v>577</v>
      </c>
      <c r="X350" s="15">
        <v>13</v>
      </c>
      <c r="Y350" s="15" t="s">
        <v>581</v>
      </c>
      <c r="Z350" s="15">
        <v>0.8</v>
      </c>
      <c r="AA350" s="15" t="s">
        <v>582</v>
      </c>
      <c r="AB350" s="15">
        <v>0.1</v>
      </c>
      <c r="AC350" s="15" t="s">
        <v>583</v>
      </c>
      <c r="AD350" s="15">
        <v>0.7</v>
      </c>
    </row>
    <row r="351" spans="2:30" x14ac:dyDescent="0.2">
      <c r="B351" s="15">
        <v>27.80162758827209</v>
      </c>
      <c r="C351" s="15">
        <v>1.990360071012133</v>
      </c>
      <c r="D351" s="15">
        <v>0.39796290397644041</v>
      </c>
      <c r="E351" s="15">
        <v>9.8992279867456276E-2</v>
      </c>
      <c r="F351" s="15">
        <v>-0.90387540549244716</v>
      </c>
      <c r="G351" s="15">
        <v>2.6122631646828521E-3</v>
      </c>
      <c r="H351" s="15">
        <v>2</v>
      </c>
      <c r="I351" s="15">
        <v>-0.90495226226515413</v>
      </c>
      <c r="J351" s="15">
        <v>-0.90081470167614996</v>
      </c>
      <c r="K351" s="15">
        <v>-0.90104208362027338</v>
      </c>
      <c r="L351" s="15">
        <v>-0.90769143352556314</v>
      </c>
      <c r="M351" s="15">
        <v>-0.90487654637509451</v>
      </c>
      <c r="N351" s="15" t="s">
        <v>595</v>
      </c>
      <c r="O351" s="15" t="s">
        <v>578</v>
      </c>
      <c r="P351" s="15">
        <v>0.9</v>
      </c>
      <c r="Q351" s="15" t="s">
        <v>579</v>
      </c>
      <c r="R351" s="15">
        <v>1E-3</v>
      </c>
      <c r="S351" s="15" t="s">
        <v>580</v>
      </c>
      <c r="T351" s="15">
        <v>0</v>
      </c>
      <c r="U351" s="15" t="s">
        <v>450</v>
      </c>
      <c r="V351" s="15">
        <v>300</v>
      </c>
      <c r="W351" s="15" t="s">
        <v>577</v>
      </c>
      <c r="X351" s="15">
        <v>3</v>
      </c>
      <c r="Y351" s="15" t="s">
        <v>581</v>
      </c>
      <c r="Z351" s="15">
        <v>0.2</v>
      </c>
      <c r="AA351" s="15" t="s">
        <v>582</v>
      </c>
      <c r="AB351" s="15">
        <v>0.1</v>
      </c>
      <c r="AC351" s="15" t="s">
        <v>583</v>
      </c>
      <c r="AD351" s="15">
        <v>1</v>
      </c>
    </row>
    <row r="352" spans="2:30" x14ac:dyDescent="0.2">
      <c r="B352" s="15">
        <v>3309.404607582092</v>
      </c>
      <c r="C352" s="15">
        <v>1300.0628291548651</v>
      </c>
      <c r="D352" s="15">
        <v>10.601853466033941</v>
      </c>
      <c r="E352" s="15">
        <v>5.4035672616040316</v>
      </c>
      <c r="F352" s="15"/>
      <c r="G352" s="15"/>
      <c r="H352" s="15">
        <v>8</v>
      </c>
      <c r="I352" s="15">
        <v>-0.94209777436234632</v>
      </c>
      <c r="J352" s="15">
        <v>-0.9373981216733468</v>
      </c>
      <c r="K352" s="15"/>
      <c r="L352" s="15">
        <v>-0.94353172671742847</v>
      </c>
      <c r="M352" s="15">
        <v>-0.94008503047153125</v>
      </c>
      <c r="N352" s="15" t="s">
        <v>595</v>
      </c>
      <c r="O352" s="15" t="s">
        <v>578</v>
      </c>
      <c r="P352" s="15">
        <v>0.6</v>
      </c>
      <c r="Q352" s="15" t="s">
        <v>579</v>
      </c>
      <c r="R352" s="15">
        <v>0</v>
      </c>
      <c r="S352" s="15" t="s">
        <v>580</v>
      </c>
      <c r="T352" s="15">
        <v>1E-3</v>
      </c>
      <c r="U352" s="15" t="s">
        <v>450</v>
      </c>
      <c r="V352" s="15">
        <v>200</v>
      </c>
      <c r="W352" s="15" t="s">
        <v>577</v>
      </c>
      <c r="X352" s="15">
        <v>21</v>
      </c>
      <c r="Y352" s="15" t="s">
        <v>581</v>
      </c>
      <c r="Z352" s="15">
        <v>0.01</v>
      </c>
      <c r="AA352" s="15" t="s">
        <v>582</v>
      </c>
      <c r="AB352" s="15">
        <v>0.1</v>
      </c>
      <c r="AC352" s="15" t="s">
        <v>583</v>
      </c>
      <c r="AD352" s="15">
        <v>0.6</v>
      </c>
    </row>
    <row r="353" spans="2:30" x14ac:dyDescent="0.2">
      <c r="B353" s="15">
        <v>307.37858786582939</v>
      </c>
      <c r="C353" s="15">
        <v>13.873644997860589</v>
      </c>
      <c r="D353" s="15">
        <v>7.6143167972564694</v>
      </c>
      <c r="E353" s="15">
        <v>3.2805805337599572</v>
      </c>
      <c r="F353" s="15">
        <v>-0.95094076038320929</v>
      </c>
      <c r="G353" s="15">
        <v>2.463369503462794E-3</v>
      </c>
      <c r="H353" s="15">
        <v>5</v>
      </c>
      <c r="I353" s="15">
        <v>-0.95358274643432039</v>
      </c>
      <c r="J353" s="15">
        <v>-0.94822133553572907</v>
      </c>
      <c r="K353" s="15">
        <v>-0.94801014505060144</v>
      </c>
      <c r="L353" s="15">
        <v>-0.95363912485991642</v>
      </c>
      <c r="M353" s="15">
        <v>-0.95125045003547914</v>
      </c>
      <c r="N353" s="15" t="s">
        <v>595</v>
      </c>
      <c r="O353" s="15" t="s">
        <v>578</v>
      </c>
      <c r="P353" s="15">
        <v>0.7</v>
      </c>
      <c r="Q353" s="15" t="s">
        <v>579</v>
      </c>
      <c r="R353" s="15">
        <v>0.05</v>
      </c>
      <c r="S353" s="15" t="s">
        <v>580</v>
      </c>
      <c r="T353" s="15">
        <v>1</v>
      </c>
      <c r="U353" s="15" t="s">
        <v>450</v>
      </c>
      <c r="V353" s="15">
        <v>200</v>
      </c>
      <c r="W353" s="15" t="s">
        <v>577</v>
      </c>
      <c r="X353" s="15">
        <v>13</v>
      </c>
      <c r="Y353" s="15" t="s">
        <v>581</v>
      </c>
      <c r="Z353" s="15">
        <v>0.2</v>
      </c>
      <c r="AA353" s="15" t="s">
        <v>582</v>
      </c>
      <c r="AB353" s="15">
        <v>0.1</v>
      </c>
      <c r="AC353" s="15" t="s">
        <v>583</v>
      </c>
      <c r="AD353" s="15">
        <v>1</v>
      </c>
    </row>
    <row r="354" spans="2:30" x14ac:dyDescent="0.2">
      <c r="B354" s="15">
        <v>45.630216646194462</v>
      </c>
      <c r="C354" s="15">
        <v>3.187433380637406</v>
      </c>
      <c r="D354" s="15">
        <v>2.0731848239898678</v>
      </c>
      <c r="E354" s="15">
        <v>2.0114631300033672</v>
      </c>
      <c r="F354" s="15">
        <v>-0.90173632358847744</v>
      </c>
      <c r="G354" s="15">
        <v>2.8986128452206162E-3</v>
      </c>
      <c r="H354" s="15">
        <v>1</v>
      </c>
      <c r="I354" s="15">
        <v>-0.90242690961663974</v>
      </c>
      <c r="J354" s="15">
        <v>-0.89894094299076133</v>
      </c>
      <c r="K354" s="15">
        <v>-0.8984555798654571</v>
      </c>
      <c r="L354" s="15">
        <v>-0.9064849903072959</v>
      </c>
      <c r="M354" s="15">
        <v>-0.9023731951622328</v>
      </c>
      <c r="N354" s="15" t="s">
        <v>595</v>
      </c>
      <c r="O354" s="15" t="s">
        <v>578</v>
      </c>
      <c r="P354" s="15">
        <v>1</v>
      </c>
      <c r="Q354" s="15" t="s">
        <v>579</v>
      </c>
      <c r="R354" s="15">
        <v>0</v>
      </c>
      <c r="S354" s="15" t="s">
        <v>580</v>
      </c>
      <c r="T354" s="15">
        <v>0.01</v>
      </c>
      <c r="U354" s="15" t="s">
        <v>450</v>
      </c>
      <c r="V354" s="15">
        <v>400</v>
      </c>
      <c r="W354" s="15" t="s">
        <v>577</v>
      </c>
      <c r="X354" s="15">
        <v>3</v>
      </c>
      <c r="Y354" s="15" t="s">
        <v>581</v>
      </c>
      <c r="Z354" s="15">
        <v>0.2</v>
      </c>
      <c r="AA354" s="15" t="s">
        <v>582</v>
      </c>
      <c r="AB354" s="15">
        <v>0.1</v>
      </c>
      <c r="AC354" s="15" t="s">
        <v>583</v>
      </c>
      <c r="AD354" s="15">
        <v>0.7</v>
      </c>
    </row>
    <row r="355" spans="2:30" x14ac:dyDescent="0.2">
      <c r="B355" s="15">
        <v>36.603197240829473</v>
      </c>
      <c r="C355" s="15">
        <v>3.082764313972798</v>
      </c>
      <c r="D355" s="15">
        <v>0.82787284851074217</v>
      </c>
      <c r="E355" s="15">
        <v>0.22876449439435781</v>
      </c>
      <c r="F355" s="15">
        <v>-0.96843209301799893</v>
      </c>
      <c r="G355" s="15">
        <v>2.0501580180311888E-3</v>
      </c>
      <c r="H355" s="15">
        <v>6</v>
      </c>
      <c r="I355" s="15">
        <v>-0.96928448438699455</v>
      </c>
      <c r="J355" s="15">
        <v>-0.96620659326088254</v>
      </c>
      <c r="K355" s="15">
        <v>-0.96590890045787392</v>
      </c>
      <c r="L355" s="15">
        <v>-0.97121067652509441</v>
      </c>
      <c r="M355" s="15">
        <v>-0.96954981045914912</v>
      </c>
      <c r="N355" s="15" t="s">
        <v>595</v>
      </c>
      <c r="O355" s="15" t="s">
        <v>578</v>
      </c>
      <c r="P355" s="15">
        <v>1</v>
      </c>
      <c r="Q355" s="15" t="s">
        <v>579</v>
      </c>
      <c r="R355" s="15">
        <v>1E-3</v>
      </c>
      <c r="S355" s="15" t="s">
        <v>580</v>
      </c>
      <c r="T355" s="15">
        <v>1E-3</v>
      </c>
      <c r="U355" s="15" t="s">
        <v>450</v>
      </c>
      <c r="V355" s="15">
        <v>300</v>
      </c>
      <c r="W355" s="15" t="s">
        <v>577</v>
      </c>
      <c r="X355" s="15">
        <v>3</v>
      </c>
      <c r="Y355" s="15" t="s">
        <v>581</v>
      </c>
      <c r="Z355" s="15">
        <v>0.01</v>
      </c>
      <c r="AA355" s="15" t="s">
        <v>582</v>
      </c>
      <c r="AB355" s="15">
        <v>0.1</v>
      </c>
      <c r="AC355" s="15" t="s">
        <v>583</v>
      </c>
      <c r="AD355" s="15">
        <v>0.7</v>
      </c>
    </row>
    <row r="356" spans="2:30" x14ac:dyDescent="0.2">
      <c r="B356" s="15">
        <v>520.78922123909001</v>
      </c>
      <c r="C356" s="15">
        <v>254.44336180601491</v>
      </c>
      <c r="D356" s="15">
        <v>9.2080778598785393</v>
      </c>
      <c r="E356" s="15">
        <v>5.2257896212286239</v>
      </c>
      <c r="F356" s="15"/>
      <c r="G356" s="15"/>
      <c r="H356" s="15">
        <v>8</v>
      </c>
      <c r="I356" s="15">
        <v>-0.90572429622786421</v>
      </c>
      <c r="J356" s="15"/>
      <c r="K356" s="15">
        <v>-0.90086748904317204</v>
      </c>
      <c r="L356" s="15">
        <v>-0.90774719449720298</v>
      </c>
      <c r="M356" s="15">
        <v>-0.90524133640857152</v>
      </c>
      <c r="N356" s="15" t="s">
        <v>595</v>
      </c>
      <c r="O356" s="15" t="s">
        <v>578</v>
      </c>
      <c r="P356" s="15">
        <v>1</v>
      </c>
      <c r="Q356" s="15" t="s">
        <v>579</v>
      </c>
      <c r="R356" s="15">
        <v>0.01</v>
      </c>
      <c r="S356" s="15" t="s">
        <v>580</v>
      </c>
      <c r="T356" s="15">
        <v>0.05</v>
      </c>
      <c r="U356" s="15" t="s">
        <v>450</v>
      </c>
      <c r="V356" s="15">
        <v>400</v>
      </c>
      <c r="W356" s="15" t="s">
        <v>577</v>
      </c>
      <c r="X356" s="15">
        <v>13</v>
      </c>
      <c r="Y356" s="15" t="s">
        <v>581</v>
      </c>
      <c r="Z356" s="15">
        <v>0.01</v>
      </c>
      <c r="AA356" s="15" t="s">
        <v>582</v>
      </c>
      <c r="AB356" s="15">
        <v>0.1</v>
      </c>
      <c r="AC356" s="15" t="s">
        <v>583</v>
      </c>
      <c r="AD356" s="15">
        <v>0.7</v>
      </c>
    </row>
    <row r="357" spans="2:30" x14ac:dyDescent="0.2">
      <c r="B357" s="15">
        <v>4588.2347305297853</v>
      </c>
      <c r="C357" s="15">
        <v>1960.488499028862</v>
      </c>
      <c r="D357" s="15">
        <v>14.06912846565247</v>
      </c>
      <c r="E357" s="15">
        <v>7.4599296130252339</v>
      </c>
      <c r="F357" s="15"/>
      <c r="G357" s="15"/>
      <c r="H357" s="15">
        <v>9</v>
      </c>
      <c r="I357" s="15"/>
      <c r="J357" s="15">
        <v>-0.91387460510348306</v>
      </c>
      <c r="K357" s="15">
        <v>-0.91300188482209788</v>
      </c>
      <c r="L357" s="15">
        <v>-0.9199103653264934</v>
      </c>
      <c r="M357" s="15">
        <v>-0.91706836973088102</v>
      </c>
      <c r="N357" s="15" t="s">
        <v>595</v>
      </c>
      <c r="O357" s="15" t="s">
        <v>578</v>
      </c>
      <c r="P357" s="15">
        <v>0.9</v>
      </c>
      <c r="Q357" s="15" t="s">
        <v>579</v>
      </c>
      <c r="R357" s="15">
        <v>0</v>
      </c>
      <c r="S357" s="15" t="s">
        <v>580</v>
      </c>
      <c r="T357" s="15">
        <v>0</v>
      </c>
      <c r="U357" s="15" t="s">
        <v>450</v>
      </c>
      <c r="V357" s="15">
        <v>400</v>
      </c>
      <c r="W357" s="15" t="s">
        <v>577</v>
      </c>
      <c r="X357" s="15">
        <v>21</v>
      </c>
      <c r="Y357" s="15" t="s">
        <v>581</v>
      </c>
      <c r="Z357" s="15">
        <v>0.01</v>
      </c>
      <c r="AA357" s="15" t="s">
        <v>582</v>
      </c>
      <c r="AB357" s="15">
        <v>0.2</v>
      </c>
      <c r="AC357" s="15" t="s">
        <v>583</v>
      </c>
      <c r="AD357" s="15">
        <v>0.8</v>
      </c>
    </row>
    <row r="358" spans="2:30" x14ac:dyDescent="0.2">
      <c r="B358" s="15">
        <v>18.101867389678951</v>
      </c>
      <c r="C358" s="15">
        <v>0.7851709914017263</v>
      </c>
      <c r="D358" s="15">
        <v>0.25239601135253908</v>
      </c>
      <c r="E358" s="15">
        <v>3.1881115205311943E-2</v>
      </c>
      <c r="F358" s="15">
        <v>-0.91822637221280468</v>
      </c>
      <c r="G358" s="15">
        <v>2.5757758996473568E-3</v>
      </c>
      <c r="H358" s="15">
        <v>4</v>
      </c>
      <c r="I358" s="15">
        <v>-0.92156701501189475</v>
      </c>
      <c r="J358" s="15">
        <v>-0.91560465957616655</v>
      </c>
      <c r="K358" s="15">
        <v>-0.91505181317965523</v>
      </c>
      <c r="L358" s="15">
        <v>-0.92046585713194451</v>
      </c>
      <c r="M358" s="15">
        <v>-0.91844251616436201</v>
      </c>
      <c r="N358" s="15" t="s">
        <v>595</v>
      </c>
      <c r="O358" s="15" t="s">
        <v>578</v>
      </c>
      <c r="P358" s="15">
        <v>0.6</v>
      </c>
      <c r="Q358" s="15" t="s">
        <v>579</v>
      </c>
      <c r="R358" s="15">
        <v>0.05</v>
      </c>
      <c r="S358" s="15" t="s">
        <v>580</v>
      </c>
      <c r="T358" s="15">
        <v>0</v>
      </c>
      <c r="U358" s="15" t="s">
        <v>450</v>
      </c>
      <c r="V358" s="15">
        <v>200</v>
      </c>
      <c r="W358" s="15" t="s">
        <v>577</v>
      </c>
      <c r="X358" s="15">
        <v>3</v>
      </c>
      <c r="Y358" s="15" t="s">
        <v>581</v>
      </c>
      <c r="Z358" s="15">
        <v>0.8</v>
      </c>
      <c r="AA358" s="15" t="s">
        <v>582</v>
      </c>
      <c r="AB358" s="15">
        <v>0.2</v>
      </c>
      <c r="AC358" s="15" t="s">
        <v>583</v>
      </c>
      <c r="AD358" s="15">
        <v>0.6</v>
      </c>
    </row>
    <row r="359" spans="2:30" x14ac:dyDescent="0.2">
      <c r="B359" s="15">
        <v>37.192116975784302</v>
      </c>
      <c r="C359" s="15">
        <v>1.8916827142810699</v>
      </c>
      <c r="D359" s="15">
        <v>0.75432105064392085</v>
      </c>
      <c r="E359" s="15">
        <v>6.3468586293903256E-2</v>
      </c>
      <c r="F359" s="15">
        <v>-0.92663202941426426</v>
      </c>
      <c r="G359" s="15">
        <v>1.9629960135134931E-3</v>
      </c>
      <c r="H359" s="15">
        <v>5</v>
      </c>
      <c r="I359" s="15">
        <v>-0.92885628644699259</v>
      </c>
      <c r="J359" s="15">
        <v>-0.92453495567673349</v>
      </c>
      <c r="K359" s="15">
        <v>-0.9249791564063774</v>
      </c>
      <c r="L359" s="15">
        <v>-0.92913065585352228</v>
      </c>
      <c r="M359" s="15">
        <v>-0.92565909268769542</v>
      </c>
      <c r="N359" s="15" t="s">
        <v>595</v>
      </c>
      <c r="O359" s="15" t="s">
        <v>578</v>
      </c>
      <c r="P359" s="15">
        <v>1</v>
      </c>
      <c r="Q359" s="15" t="s">
        <v>579</v>
      </c>
      <c r="R359" s="15">
        <v>1E-3</v>
      </c>
      <c r="S359" s="15" t="s">
        <v>580</v>
      </c>
      <c r="T359" s="15">
        <v>1E-3</v>
      </c>
      <c r="U359" s="15" t="s">
        <v>450</v>
      </c>
      <c r="V359" s="15">
        <v>400</v>
      </c>
      <c r="W359" s="15" t="s">
        <v>577</v>
      </c>
      <c r="X359" s="15">
        <v>5</v>
      </c>
      <c r="Y359" s="15" t="s">
        <v>581</v>
      </c>
      <c r="Z359" s="15">
        <v>0.5</v>
      </c>
      <c r="AA359" s="15" t="s">
        <v>582</v>
      </c>
      <c r="AB359" s="15">
        <v>0.2</v>
      </c>
      <c r="AC359" s="15" t="s">
        <v>583</v>
      </c>
      <c r="AD359" s="15">
        <v>1</v>
      </c>
    </row>
    <row r="360" spans="2:30" x14ac:dyDescent="0.2">
      <c r="B360" s="15">
        <v>127.6184639930725</v>
      </c>
      <c r="C360" s="15">
        <v>6.2982438749547063</v>
      </c>
      <c r="D360" s="15">
        <v>3.2774881839752199</v>
      </c>
      <c r="E360" s="15">
        <v>0.42176257756188618</v>
      </c>
      <c r="F360" s="15">
        <v>-1.4163965457874521</v>
      </c>
      <c r="G360" s="15">
        <v>5.5789337425692E-3</v>
      </c>
      <c r="H360" s="15">
        <v>8</v>
      </c>
      <c r="I360" s="15">
        <v>-1.426392147634596</v>
      </c>
      <c r="J360" s="15">
        <v>-1.4162240688515919</v>
      </c>
      <c r="K360" s="15">
        <v>-1.4169222288951051</v>
      </c>
      <c r="L360" s="15">
        <v>-1.4121853259513839</v>
      </c>
      <c r="M360" s="15">
        <v>-1.4102589576045841</v>
      </c>
      <c r="N360" s="15" t="s">
        <v>595</v>
      </c>
      <c r="O360" s="15" t="s">
        <v>578</v>
      </c>
      <c r="P360" s="15">
        <v>0.7</v>
      </c>
      <c r="Q360" s="15" t="s">
        <v>579</v>
      </c>
      <c r="R360" s="15">
        <v>0.1</v>
      </c>
      <c r="S360" s="15" t="s">
        <v>580</v>
      </c>
      <c r="T360" s="15">
        <v>0</v>
      </c>
      <c r="U360" s="15" t="s">
        <v>450</v>
      </c>
      <c r="V360" s="15">
        <v>400</v>
      </c>
      <c r="W360" s="15" t="s">
        <v>577</v>
      </c>
      <c r="X360" s="15">
        <v>13</v>
      </c>
      <c r="Y360" s="15" t="s">
        <v>581</v>
      </c>
      <c r="Z360" s="15">
        <v>0.8</v>
      </c>
      <c r="AA360" s="15" t="s">
        <v>582</v>
      </c>
      <c r="AB360" s="15">
        <v>0.2</v>
      </c>
      <c r="AC360" s="15" t="s">
        <v>583</v>
      </c>
      <c r="AD360" s="15">
        <v>0.7</v>
      </c>
    </row>
    <row r="361" spans="2:30" x14ac:dyDescent="0.2">
      <c r="B361" s="15">
        <v>26.7546642780304</v>
      </c>
      <c r="C361" s="15">
        <v>2.0682165232140601</v>
      </c>
      <c r="D361" s="15">
        <v>0.38194775581359858</v>
      </c>
      <c r="E361" s="15">
        <v>3.3016467525518622E-2</v>
      </c>
      <c r="F361" s="15">
        <v>-0.90387540549244716</v>
      </c>
      <c r="G361" s="15">
        <v>2.6122631646828521E-3</v>
      </c>
      <c r="H361" s="15">
        <v>2</v>
      </c>
      <c r="I361" s="15">
        <v>-0.90495226226515413</v>
      </c>
      <c r="J361" s="15">
        <v>-0.90081470167614996</v>
      </c>
      <c r="K361" s="15">
        <v>-0.90104208362027338</v>
      </c>
      <c r="L361" s="15">
        <v>-0.90769143352556314</v>
      </c>
      <c r="M361" s="15">
        <v>-0.90487654637509451</v>
      </c>
      <c r="N361" s="15" t="s">
        <v>595</v>
      </c>
      <c r="O361" s="15" t="s">
        <v>578</v>
      </c>
      <c r="P361" s="15">
        <v>0.9</v>
      </c>
      <c r="Q361" s="15" t="s">
        <v>579</v>
      </c>
      <c r="R361" s="15">
        <v>1E-3</v>
      </c>
      <c r="S361" s="15" t="s">
        <v>580</v>
      </c>
      <c r="T361" s="15">
        <v>0</v>
      </c>
      <c r="U361" s="15" t="s">
        <v>450</v>
      </c>
      <c r="V361" s="15">
        <v>300</v>
      </c>
      <c r="W361" s="15" t="s">
        <v>577</v>
      </c>
      <c r="X361" s="15">
        <v>3</v>
      </c>
      <c r="Y361" s="15" t="s">
        <v>581</v>
      </c>
      <c r="Z361" s="15">
        <v>0.2</v>
      </c>
      <c r="AA361" s="15" t="s">
        <v>582</v>
      </c>
      <c r="AB361" s="15">
        <v>0.2</v>
      </c>
      <c r="AC361" s="15" t="s">
        <v>583</v>
      </c>
      <c r="AD361" s="15">
        <v>1</v>
      </c>
    </row>
    <row r="362" spans="2:30" x14ac:dyDescent="0.2">
      <c r="B362" s="15">
        <v>2144.3619583606719</v>
      </c>
      <c r="C362" s="15">
        <v>1497.7151159686559</v>
      </c>
      <c r="D362" s="15">
        <v>5.7168519973754881</v>
      </c>
      <c r="E362" s="15">
        <v>7.0029548176415428</v>
      </c>
      <c r="F362" s="15"/>
      <c r="G362" s="15"/>
      <c r="H362" s="15">
        <v>9</v>
      </c>
      <c r="I362" s="15">
        <v>-0.94140024308801074</v>
      </c>
      <c r="J362" s="15"/>
      <c r="K362" s="15">
        <v>-0.93665777839248188</v>
      </c>
      <c r="L362" s="15"/>
      <c r="M362" s="15"/>
      <c r="N362" s="15" t="s">
        <v>595</v>
      </c>
      <c r="O362" s="15" t="s">
        <v>578</v>
      </c>
      <c r="P362" s="15">
        <v>0.6</v>
      </c>
      <c r="Q362" s="15" t="s">
        <v>579</v>
      </c>
      <c r="R362" s="15">
        <v>0</v>
      </c>
      <c r="S362" s="15" t="s">
        <v>580</v>
      </c>
      <c r="T362" s="15">
        <v>1E-3</v>
      </c>
      <c r="U362" s="15" t="s">
        <v>450</v>
      </c>
      <c r="V362" s="15">
        <v>200</v>
      </c>
      <c r="W362" s="15" t="s">
        <v>577</v>
      </c>
      <c r="X362" s="15">
        <v>21</v>
      </c>
      <c r="Y362" s="15" t="s">
        <v>581</v>
      </c>
      <c r="Z362" s="15">
        <v>0.01</v>
      </c>
      <c r="AA362" s="15" t="s">
        <v>582</v>
      </c>
      <c r="AB362" s="15">
        <v>0.2</v>
      </c>
      <c r="AC362" s="15" t="s">
        <v>583</v>
      </c>
      <c r="AD362" s="15">
        <v>0.6</v>
      </c>
    </row>
    <row r="363" spans="2:30" x14ac:dyDescent="0.2">
      <c r="B363" s="15">
        <v>265.98121004104621</v>
      </c>
      <c r="C363" s="15">
        <v>14.851784466744389</v>
      </c>
      <c r="D363" s="15">
        <v>4.9962685108184806</v>
      </c>
      <c r="E363" s="15">
        <v>0.995176914899497</v>
      </c>
      <c r="F363" s="15">
        <v>-0.95066032777620002</v>
      </c>
      <c r="G363" s="15">
        <v>2.52651290021537E-3</v>
      </c>
      <c r="H363" s="15">
        <v>6</v>
      </c>
      <c r="I363" s="15">
        <v>-0.95404295263942862</v>
      </c>
      <c r="J363" s="15">
        <v>-0.94719798635480024</v>
      </c>
      <c r="K363" s="15">
        <v>-0.9492400692692039</v>
      </c>
      <c r="L363" s="15">
        <v>-0.95304498366449741</v>
      </c>
      <c r="M363" s="15">
        <v>-0.94977564695306993</v>
      </c>
      <c r="N363" s="15" t="s">
        <v>595</v>
      </c>
      <c r="O363" s="15" t="s">
        <v>578</v>
      </c>
      <c r="P363" s="15">
        <v>0.7</v>
      </c>
      <c r="Q363" s="15" t="s">
        <v>579</v>
      </c>
      <c r="R363" s="15">
        <v>0.05</v>
      </c>
      <c r="S363" s="15" t="s">
        <v>580</v>
      </c>
      <c r="T363" s="15">
        <v>1</v>
      </c>
      <c r="U363" s="15" t="s">
        <v>450</v>
      </c>
      <c r="V363" s="15">
        <v>200</v>
      </c>
      <c r="W363" s="15" t="s">
        <v>577</v>
      </c>
      <c r="X363" s="15">
        <v>13</v>
      </c>
      <c r="Y363" s="15" t="s">
        <v>581</v>
      </c>
      <c r="Z363" s="15">
        <v>0.2</v>
      </c>
      <c r="AA363" s="15" t="s">
        <v>582</v>
      </c>
      <c r="AB363" s="15">
        <v>0.2</v>
      </c>
      <c r="AC363" s="15" t="s">
        <v>583</v>
      </c>
      <c r="AD363" s="15">
        <v>1</v>
      </c>
    </row>
    <row r="364" spans="2:30" x14ac:dyDescent="0.2">
      <c r="B364" s="15">
        <v>47.974758052825933</v>
      </c>
      <c r="C364" s="15">
        <v>4.0575534321112192</v>
      </c>
      <c r="D364" s="15">
        <v>1.5168586254119869</v>
      </c>
      <c r="E364" s="15">
        <v>0.48806927528732691</v>
      </c>
      <c r="F364" s="15">
        <v>-0.90157004915133077</v>
      </c>
      <c r="G364" s="15">
        <v>2.684355965287313E-3</v>
      </c>
      <c r="H364" s="15">
        <v>1</v>
      </c>
      <c r="I364" s="15">
        <v>-0.90242690961663974</v>
      </c>
      <c r="J364" s="15">
        <v>-0.89894094299076133</v>
      </c>
      <c r="K364" s="15">
        <v>-0.8984555798654571</v>
      </c>
      <c r="L364" s="15">
        <v>-0.90584950509993922</v>
      </c>
      <c r="M364" s="15">
        <v>-0.902177308183856</v>
      </c>
      <c r="N364" s="15" t="s">
        <v>595</v>
      </c>
      <c r="O364" s="15" t="s">
        <v>578</v>
      </c>
      <c r="P364" s="15">
        <v>1</v>
      </c>
      <c r="Q364" s="15" t="s">
        <v>579</v>
      </c>
      <c r="R364" s="15">
        <v>0</v>
      </c>
      <c r="S364" s="15" t="s">
        <v>580</v>
      </c>
      <c r="T364" s="15">
        <v>0.01</v>
      </c>
      <c r="U364" s="15" t="s">
        <v>450</v>
      </c>
      <c r="V364" s="15">
        <v>400</v>
      </c>
      <c r="W364" s="15" t="s">
        <v>577</v>
      </c>
      <c r="X364" s="15">
        <v>3</v>
      </c>
      <c r="Y364" s="15" t="s">
        <v>581</v>
      </c>
      <c r="Z364" s="15">
        <v>0.2</v>
      </c>
      <c r="AA364" s="15" t="s">
        <v>582</v>
      </c>
      <c r="AB364" s="15">
        <v>0.2</v>
      </c>
      <c r="AC364" s="15" t="s">
        <v>583</v>
      </c>
      <c r="AD364" s="15">
        <v>0.7</v>
      </c>
    </row>
    <row r="365" spans="2:30" x14ac:dyDescent="0.2">
      <c r="B365" s="15">
        <v>35.128548383712769</v>
      </c>
      <c r="C365" s="15">
        <v>4.125768921371316</v>
      </c>
      <c r="D365" s="15">
        <v>1.061679220199585</v>
      </c>
      <c r="E365" s="15">
        <v>0.30059153390515558</v>
      </c>
      <c r="F365" s="15">
        <v>-0.96843209301799893</v>
      </c>
      <c r="G365" s="15">
        <v>2.0501580180311888E-3</v>
      </c>
      <c r="H365" s="15">
        <v>7</v>
      </c>
      <c r="I365" s="15">
        <v>-0.96928448438699455</v>
      </c>
      <c r="J365" s="15">
        <v>-0.96620659326088254</v>
      </c>
      <c r="K365" s="15">
        <v>-0.96590890045787392</v>
      </c>
      <c r="L365" s="15">
        <v>-0.97121067652509441</v>
      </c>
      <c r="M365" s="15">
        <v>-0.96954981045914912</v>
      </c>
      <c r="N365" s="15" t="s">
        <v>595</v>
      </c>
      <c r="O365" s="15" t="s">
        <v>578</v>
      </c>
      <c r="P365" s="15">
        <v>1</v>
      </c>
      <c r="Q365" s="15" t="s">
        <v>579</v>
      </c>
      <c r="R365" s="15">
        <v>1E-3</v>
      </c>
      <c r="S365" s="15" t="s">
        <v>580</v>
      </c>
      <c r="T365" s="15">
        <v>1E-3</v>
      </c>
      <c r="U365" s="15" t="s">
        <v>450</v>
      </c>
      <c r="V365" s="15">
        <v>300</v>
      </c>
      <c r="W365" s="15" t="s">
        <v>577</v>
      </c>
      <c r="X365" s="15">
        <v>3</v>
      </c>
      <c r="Y365" s="15" t="s">
        <v>581</v>
      </c>
      <c r="Z365" s="15">
        <v>0.01</v>
      </c>
      <c r="AA365" s="15" t="s">
        <v>582</v>
      </c>
      <c r="AB365" s="15">
        <v>0.2</v>
      </c>
      <c r="AC365" s="15" t="s">
        <v>583</v>
      </c>
      <c r="AD365" s="15">
        <v>0.7</v>
      </c>
    </row>
    <row r="366" spans="2:30" x14ac:dyDescent="0.2">
      <c r="B366" s="15">
        <v>681.68007130622868</v>
      </c>
      <c r="C366" s="15">
        <v>7.7178523002687571</v>
      </c>
      <c r="D366" s="15">
        <v>12.58347263336182</v>
      </c>
      <c r="E366" s="15">
        <v>0.13998097816864771</v>
      </c>
      <c r="F366" s="15">
        <v>-0.90397376067069035</v>
      </c>
      <c r="G366" s="15">
        <v>2.7097453626360409E-3</v>
      </c>
      <c r="H366" s="15">
        <v>3</v>
      </c>
      <c r="I366" s="15">
        <v>-0.90559695852960453</v>
      </c>
      <c r="J366" s="15">
        <v>-0.90100126979296169</v>
      </c>
      <c r="K366" s="15">
        <v>-0.90064509112452618</v>
      </c>
      <c r="L366" s="15">
        <v>-0.907581879163461</v>
      </c>
      <c r="M366" s="15">
        <v>-0.9050436047428988</v>
      </c>
      <c r="N366" s="15" t="s">
        <v>595</v>
      </c>
      <c r="O366" s="15" t="s">
        <v>578</v>
      </c>
      <c r="P366" s="15">
        <v>1</v>
      </c>
      <c r="Q366" s="15" t="s">
        <v>579</v>
      </c>
      <c r="R366" s="15">
        <v>0.01</v>
      </c>
      <c r="S366" s="15" t="s">
        <v>580</v>
      </c>
      <c r="T366" s="15">
        <v>0.05</v>
      </c>
      <c r="U366" s="15" t="s">
        <v>450</v>
      </c>
      <c r="V366" s="15">
        <v>400</v>
      </c>
      <c r="W366" s="15" t="s">
        <v>577</v>
      </c>
      <c r="X366" s="15">
        <v>13</v>
      </c>
      <c r="Y366" s="15" t="s">
        <v>581</v>
      </c>
      <c r="Z366" s="15">
        <v>0.01</v>
      </c>
      <c r="AA366" s="15" t="s">
        <v>582</v>
      </c>
      <c r="AB366" s="15">
        <v>0.2</v>
      </c>
      <c r="AC366" s="15" t="s">
        <v>583</v>
      </c>
      <c r="AD366" s="15">
        <v>0.7</v>
      </c>
    </row>
    <row r="367" spans="2:30" x14ac:dyDescent="0.2">
      <c r="B367" s="15">
        <v>3140.2219204902649</v>
      </c>
      <c r="C367" s="15">
        <v>1179.068552120603</v>
      </c>
      <c r="D367" s="15">
        <v>8.9694344997406006</v>
      </c>
      <c r="E367" s="15">
        <v>7.471074863430708</v>
      </c>
      <c r="F367" s="15"/>
      <c r="G367" s="15"/>
      <c r="H367" s="15">
        <v>8</v>
      </c>
      <c r="I367" s="15"/>
      <c r="J367" s="15"/>
      <c r="K367" s="15">
        <v>-0.91273244784794516</v>
      </c>
      <c r="L367" s="15">
        <v>-0.91889180315230734</v>
      </c>
      <c r="M367" s="15">
        <v>-0.91650229169769204</v>
      </c>
      <c r="N367" s="15" t="s">
        <v>595</v>
      </c>
      <c r="O367" s="15" t="s">
        <v>578</v>
      </c>
      <c r="P367" s="15">
        <v>0.9</v>
      </c>
      <c r="Q367" s="15" t="s">
        <v>579</v>
      </c>
      <c r="R367" s="15">
        <v>0</v>
      </c>
      <c r="S367" s="15" t="s">
        <v>580</v>
      </c>
      <c r="T367" s="15">
        <v>0</v>
      </c>
      <c r="U367" s="15" t="s">
        <v>450</v>
      </c>
      <c r="V367" s="15">
        <v>400</v>
      </c>
      <c r="W367" s="15" t="s">
        <v>577</v>
      </c>
      <c r="X367" s="15">
        <v>21</v>
      </c>
      <c r="Y367" s="15" t="s">
        <v>581</v>
      </c>
      <c r="Z367" s="15">
        <v>0.01</v>
      </c>
      <c r="AA367" s="15" t="s">
        <v>582</v>
      </c>
      <c r="AB367" s="15">
        <v>0.3</v>
      </c>
      <c r="AC367" s="15" t="s">
        <v>583</v>
      </c>
      <c r="AD367" s="15">
        <v>0.8</v>
      </c>
    </row>
    <row r="368" spans="2:30" x14ac:dyDescent="0.2">
      <c r="B368" s="15">
        <v>20.572123670578002</v>
      </c>
      <c r="C368" s="15">
        <v>1.8971932032838901</v>
      </c>
      <c r="D368" s="15">
        <v>0.33085103034973151</v>
      </c>
      <c r="E368" s="15">
        <v>4.2252272948321588E-2</v>
      </c>
      <c r="F368" s="15">
        <v>-0.91822637221280468</v>
      </c>
      <c r="G368" s="15">
        <v>2.5757758996473568E-3</v>
      </c>
      <c r="H368" s="15">
        <v>3</v>
      </c>
      <c r="I368" s="15">
        <v>-0.92156701501189475</v>
      </c>
      <c r="J368" s="15">
        <v>-0.91560465957616655</v>
      </c>
      <c r="K368" s="15">
        <v>-0.91505181317965523</v>
      </c>
      <c r="L368" s="15">
        <v>-0.92046585713194451</v>
      </c>
      <c r="M368" s="15">
        <v>-0.91844251616436201</v>
      </c>
      <c r="N368" s="15" t="s">
        <v>595</v>
      </c>
      <c r="O368" s="15" t="s">
        <v>578</v>
      </c>
      <c r="P368" s="15">
        <v>0.6</v>
      </c>
      <c r="Q368" s="15" t="s">
        <v>579</v>
      </c>
      <c r="R368" s="15">
        <v>0.05</v>
      </c>
      <c r="S368" s="15" t="s">
        <v>580</v>
      </c>
      <c r="T368" s="15">
        <v>0</v>
      </c>
      <c r="U368" s="15" t="s">
        <v>450</v>
      </c>
      <c r="V368" s="15">
        <v>200</v>
      </c>
      <c r="W368" s="15" t="s">
        <v>577</v>
      </c>
      <c r="X368" s="15">
        <v>3</v>
      </c>
      <c r="Y368" s="15" t="s">
        <v>581</v>
      </c>
      <c r="Z368" s="15">
        <v>0.8</v>
      </c>
      <c r="AA368" s="15" t="s">
        <v>582</v>
      </c>
      <c r="AB368" s="15">
        <v>0.3</v>
      </c>
      <c r="AC368" s="15" t="s">
        <v>583</v>
      </c>
      <c r="AD368" s="15">
        <v>0.6</v>
      </c>
    </row>
    <row r="369" spans="2:30" x14ac:dyDescent="0.2">
      <c r="B369" s="15">
        <v>40.113382148742673</v>
      </c>
      <c r="C369" s="15">
        <v>2.5954340985262361</v>
      </c>
      <c r="D369" s="15">
        <v>0.77494015693664553</v>
      </c>
      <c r="E369" s="15">
        <v>9.9599127231187884E-2</v>
      </c>
      <c r="F369" s="15">
        <v>-0.92572959531100307</v>
      </c>
      <c r="G369" s="15">
        <v>1.9222582911253231E-3</v>
      </c>
      <c r="H369" s="15">
        <v>4</v>
      </c>
      <c r="I369" s="15">
        <v>-0.92597701116823983</v>
      </c>
      <c r="J369" s="15">
        <v>-0.92288564189491451</v>
      </c>
      <c r="K369" s="15">
        <v>-0.9243069900927704</v>
      </c>
      <c r="L369" s="15">
        <v>-0.92807497848572096</v>
      </c>
      <c r="M369" s="15">
        <v>-0.92740335491336945</v>
      </c>
      <c r="N369" s="15" t="s">
        <v>595</v>
      </c>
      <c r="O369" s="15" t="s">
        <v>578</v>
      </c>
      <c r="P369" s="15">
        <v>1</v>
      </c>
      <c r="Q369" s="15" t="s">
        <v>579</v>
      </c>
      <c r="R369" s="15">
        <v>1E-3</v>
      </c>
      <c r="S369" s="15" t="s">
        <v>580</v>
      </c>
      <c r="T369" s="15">
        <v>1E-3</v>
      </c>
      <c r="U369" s="15" t="s">
        <v>450</v>
      </c>
      <c r="V369" s="15">
        <v>400</v>
      </c>
      <c r="W369" s="15" t="s">
        <v>577</v>
      </c>
      <c r="X369" s="15">
        <v>5</v>
      </c>
      <c r="Y369" s="15" t="s">
        <v>581</v>
      </c>
      <c r="Z369" s="15">
        <v>0.5</v>
      </c>
      <c r="AA369" s="15" t="s">
        <v>582</v>
      </c>
      <c r="AB369" s="15">
        <v>0.3</v>
      </c>
      <c r="AC369" s="15" t="s">
        <v>583</v>
      </c>
      <c r="AD369" s="15">
        <v>1</v>
      </c>
    </row>
    <row r="370" spans="2:30" x14ac:dyDescent="0.2">
      <c r="B370" s="15">
        <v>133.23962612152101</v>
      </c>
      <c r="C370" s="15">
        <v>1.361648136107952</v>
      </c>
      <c r="D370" s="15">
        <v>2.4710331439971922</v>
      </c>
      <c r="E370" s="15">
        <v>0.38053431730670639</v>
      </c>
      <c r="F370" s="15">
        <v>-1.4086600746913649</v>
      </c>
      <c r="G370" s="15">
        <v>5.9608820034984886E-3</v>
      </c>
      <c r="H370" s="15">
        <v>7</v>
      </c>
      <c r="I370" s="15">
        <v>-1.4194628042198041</v>
      </c>
      <c r="J370" s="15">
        <v>-1.402619789783691</v>
      </c>
      <c r="K370" s="15">
        <v>-1.403762917244987</v>
      </c>
      <c r="L370" s="15">
        <v>-1.4082348159194791</v>
      </c>
      <c r="M370" s="15">
        <v>-1.4092200462888651</v>
      </c>
      <c r="N370" s="15" t="s">
        <v>595</v>
      </c>
      <c r="O370" s="15" t="s">
        <v>578</v>
      </c>
      <c r="P370" s="15">
        <v>0.7</v>
      </c>
      <c r="Q370" s="15" t="s">
        <v>579</v>
      </c>
      <c r="R370" s="15">
        <v>0.1</v>
      </c>
      <c r="S370" s="15" t="s">
        <v>580</v>
      </c>
      <c r="T370" s="15">
        <v>0</v>
      </c>
      <c r="U370" s="15" t="s">
        <v>450</v>
      </c>
      <c r="V370" s="15">
        <v>400</v>
      </c>
      <c r="W370" s="15" t="s">
        <v>577</v>
      </c>
      <c r="X370" s="15">
        <v>13</v>
      </c>
      <c r="Y370" s="15" t="s">
        <v>581</v>
      </c>
      <c r="Z370" s="15">
        <v>0.8</v>
      </c>
      <c r="AA370" s="15" t="s">
        <v>582</v>
      </c>
      <c r="AB370" s="15">
        <v>0.3</v>
      </c>
      <c r="AC370" s="15" t="s">
        <v>583</v>
      </c>
      <c r="AD370" s="15">
        <v>0.7</v>
      </c>
    </row>
    <row r="371" spans="2:30" x14ac:dyDescent="0.2">
      <c r="B371" s="15">
        <v>30.06958637237549</v>
      </c>
      <c r="C371" s="15">
        <v>3.032475288500355</v>
      </c>
      <c r="D371" s="15">
        <v>0.43274335861206048</v>
      </c>
      <c r="E371" s="15">
        <v>0.15548523961339319</v>
      </c>
      <c r="F371" s="15">
        <v>-0.9038761928505249</v>
      </c>
      <c r="G371" s="15">
        <v>2.6125653741125628E-3</v>
      </c>
      <c r="H371" s="15">
        <v>2</v>
      </c>
      <c r="I371" s="15">
        <v>-0.90495226226515413</v>
      </c>
      <c r="J371" s="15">
        <v>-0.90081470167614996</v>
      </c>
      <c r="K371" s="15">
        <v>-0.90104208362027338</v>
      </c>
      <c r="L371" s="15">
        <v>-0.90769143352556314</v>
      </c>
      <c r="M371" s="15">
        <v>-0.90488048316548386</v>
      </c>
      <c r="N371" s="15" t="s">
        <v>595</v>
      </c>
      <c r="O371" s="15" t="s">
        <v>578</v>
      </c>
      <c r="P371" s="15">
        <v>0.9</v>
      </c>
      <c r="Q371" s="15" t="s">
        <v>579</v>
      </c>
      <c r="R371" s="15">
        <v>1E-3</v>
      </c>
      <c r="S371" s="15" t="s">
        <v>580</v>
      </c>
      <c r="T371" s="15">
        <v>0</v>
      </c>
      <c r="U371" s="15" t="s">
        <v>450</v>
      </c>
      <c r="V371" s="15">
        <v>300</v>
      </c>
      <c r="W371" s="15" t="s">
        <v>577</v>
      </c>
      <c r="X371" s="15">
        <v>3</v>
      </c>
      <c r="Y371" s="15" t="s">
        <v>581</v>
      </c>
      <c r="Z371" s="15">
        <v>0.2</v>
      </c>
      <c r="AA371" s="15" t="s">
        <v>582</v>
      </c>
      <c r="AB371" s="15">
        <v>0.3</v>
      </c>
      <c r="AC371" s="15" t="s">
        <v>583</v>
      </c>
      <c r="AD371" s="15">
        <v>1</v>
      </c>
    </row>
    <row r="372" spans="2:30" x14ac:dyDescent="0.2">
      <c r="B372" s="15">
        <v>1689.8240004539491</v>
      </c>
      <c r="C372" s="15">
        <v>1298.891076480676</v>
      </c>
      <c r="D372" s="15">
        <v>5.3315822601318361</v>
      </c>
      <c r="E372" s="15">
        <v>6.5299327794966198</v>
      </c>
      <c r="F372" s="15"/>
      <c r="G372" s="15"/>
      <c r="H372" s="15">
        <v>8</v>
      </c>
      <c r="I372" s="15"/>
      <c r="J372" s="15"/>
      <c r="K372" s="15">
        <v>-0.93612693854133144</v>
      </c>
      <c r="L372" s="15"/>
      <c r="M372" s="15">
        <v>-0.9392474793275406</v>
      </c>
      <c r="N372" s="15" t="s">
        <v>595</v>
      </c>
      <c r="O372" s="15" t="s">
        <v>578</v>
      </c>
      <c r="P372" s="15">
        <v>0.6</v>
      </c>
      <c r="Q372" s="15" t="s">
        <v>579</v>
      </c>
      <c r="R372" s="15">
        <v>0</v>
      </c>
      <c r="S372" s="15" t="s">
        <v>580</v>
      </c>
      <c r="T372" s="15">
        <v>1E-3</v>
      </c>
      <c r="U372" s="15" t="s">
        <v>450</v>
      </c>
      <c r="V372" s="15">
        <v>200</v>
      </c>
      <c r="W372" s="15" t="s">
        <v>577</v>
      </c>
      <c r="X372" s="15">
        <v>21</v>
      </c>
      <c r="Y372" s="15" t="s">
        <v>581</v>
      </c>
      <c r="Z372" s="15">
        <v>0.01</v>
      </c>
      <c r="AA372" s="15" t="s">
        <v>582</v>
      </c>
      <c r="AB372" s="15">
        <v>0.3</v>
      </c>
      <c r="AC372" s="15" t="s">
        <v>583</v>
      </c>
      <c r="AD372" s="15">
        <v>0.6</v>
      </c>
    </row>
    <row r="373" spans="2:30" x14ac:dyDescent="0.2">
      <c r="B373" s="15">
        <v>243.95077342987059</v>
      </c>
      <c r="C373" s="15">
        <v>6.5384634677144309</v>
      </c>
      <c r="D373" s="15">
        <v>6.2261682033538817</v>
      </c>
      <c r="E373" s="15">
        <v>2.102439471436476</v>
      </c>
      <c r="F373" s="15">
        <v>-0.94934769483396619</v>
      </c>
      <c r="G373" s="15">
        <v>1.9792206833585931E-3</v>
      </c>
      <c r="H373" s="15">
        <v>5</v>
      </c>
      <c r="I373" s="15">
        <v>-0.95064906833981955</v>
      </c>
      <c r="J373" s="15">
        <v>-0.94748044159684619</v>
      </c>
      <c r="K373" s="15">
        <v>-0.94655654217152119</v>
      </c>
      <c r="L373" s="15">
        <v>-0.95172656754096929</v>
      </c>
      <c r="M373" s="15">
        <v>-0.95032585452067486</v>
      </c>
      <c r="N373" s="15" t="s">
        <v>595</v>
      </c>
      <c r="O373" s="15" t="s">
        <v>578</v>
      </c>
      <c r="P373" s="15">
        <v>0.7</v>
      </c>
      <c r="Q373" s="15" t="s">
        <v>579</v>
      </c>
      <c r="R373" s="15">
        <v>0.05</v>
      </c>
      <c r="S373" s="15" t="s">
        <v>580</v>
      </c>
      <c r="T373" s="15">
        <v>1</v>
      </c>
      <c r="U373" s="15" t="s">
        <v>450</v>
      </c>
      <c r="V373" s="15">
        <v>200</v>
      </c>
      <c r="W373" s="15" t="s">
        <v>577</v>
      </c>
      <c r="X373" s="15">
        <v>13</v>
      </c>
      <c r="Y373" s="15" t="s">
        <v>581</v>
      </c>
      <c r="Z373" s="15">
        <v>0.2</v>
      </c>
      <c r="AA373" s="15" t="s">
        <v>582</v>
      </c>
      <c r="AB373" s="15">
        <v>0.3</v>
      </c>
      <c r="AC373" s="15" t="s">
        <v>583</v>
      </c>
      <c r="AD373" s="15">
        <v>1</v>
      </c>
    </row>
    <row r="374" spans="2:30" x14ac:dyDescent="0.2">
      <c r="B374" s="15">
        <v>45.240449666976929</v>
      </c>
      <c r="C374" s="15">
        <v>5.8322004847024189</v>
      </c>
      <c r="D374" s="15">
        <v>2.3954827308654791</v>
      </c>
      <c r="E374" s="15">
        <v>2.0359773837971291</v>
      </c>
      <c r="F374" s="15">
        <v>-0.90157020872905635</v>
      </c>
      <c r="G374" s="15">
        <v>2.6849410799216892E-3</v>
      </c>
      <c r="H374" s="15">
        <v>1</v>
      </c>
      <c r="I374" s="15">
        <v>-0.90242951181442965</v>
      </c>
      <c r="J374" s="15">
        <v>-0.89894094299076133</v>
      </c>
      <c r="K374" s="15">
        <v>-0.89845377555629591</v>
      </c>
      <c r="L374" s="15">
        <v>-0.90584950509993922</v>
      </c>
      <c r="M374" s="15">
        <v>-0.902177308183856</v>
      </c>
      <c r="N374" s="15" t="s">
        <v>595</v>
      </c>
      <c r="O374" s="15" t="s">
        <v>578</v>
      </c>
      <c r="P374" s="15">
        <v>1</v>
      </c>
      <c r="Q374" s="15" t="s">
        <v>579</v>
      </c>
      <c r="R374" s="15">
        <v>0</v>
      </c>
      <c r="S374" s="15" t="s">
        <v>580</v>
      </c>
      <c r="T374" s="15">
        <v>0.01</v>
      </c>
      <c r="U374" s="15" t="s">
        <v>450</v>
      </c>
      <c r="V374" s="15">
        <v>400</v>
      </c>
      <c r="W374" s="15" t="s">
        <v>577</v>
      </c>
      <c r="X374" s="15">
        <v>3</v>
      </c>
      <c r="Y374" s="15" t="s">
        <v>581</v>
      </c>
      <c r="Z374" s="15">
        <v>0.2</v>
      </c>
      <c r="AA374" s="15" t="s">
        <v>582</v>
      </c>
      <c r="AB374" s="15">
        <v>0.3</v>
      </c>
      <c r="AC374" s="15" t="s">
        <v>583</v>
      </c>
      <c r="AD374" s="15">
        <v>0.7</v>
      </c>
    </row>
    <row r="375" spans="2:30" x14ac:dyDescent="0.2">
      <c r="B375" s="15">
        <v>35.990307140350339</v>
      </c>
      <c r="C375" s="15">
        <v>4.3907391351082623</v>
      </c>
      <c r="D375" s="15">
        <v>0.68105635643005369</v>
      </c>
      <c r="E375" s="15">
        <v>0.24898396384425589</v>
      </c>
      <c r="F375" s="15">
        <v>-0.96843209301799893</v>
      </c>
      <c r="G375" s="15">
        <v>2.0501580180311888E-3</v>
      </c>
      <c r="H375" s="15">
        <v>6</v>
      </c>
      <c r="I375" s="15">
        <v>-0.96928448438699455</v>
      </c>
      <c r="J375" s="15">
        <v>-0.96620659326088254</v>
      </c>
      <c r="K375" s="15">
        <v>-0.96590890045787392</v>
      </c>
      <c r="L375" s="15">
        <v>-0.97121067652509441</v>
      </c>
      <c r="M375" s="15">
        <v>-0.96954981045914912</v>
      </c>
      <c r="N375" s="15" t="s">
        <v>595</v>
      </c>
      <c r="O375" s="15" t="s">
        <v>578</v>
      </c>
      <c r="P375" s="15">
        <v>1</v>
      </c>
      <c r="Q375" s="15" t="s">
        <v>579</v>
      </c>
      <c r="R375" s="15">
        <v>1E-3</v>
      </c>
      <c r="S375" s="15" t="s">
        <v>580</v>
      </c>
      <c r="T375" s="15">
        <v>1E-3</v>
      </c>
      <c r="U375" s="15" t="s">
        <v>450</v>
      </c>
      <c r="V375" s="15">
        <v>300</v>
      </c>
      <c r="W375" s="15" t="s">
        <v>577</v>
      </c>
      <c r="X375" s="15">
        <v>3</v>
      </c>
      <c r="Y375" s="15" t="s">
        <v>581</v>
      </c>
      <c r="Z375" s="15">
        <v>0.01</v>
      </c>
      <c r="AA375" s="15" t="s">
        <v>582</v>
      </c>
      <c r="AB375" s="15">
        <v>0.3</v>
      </c>
      <c r="AC375" s="15" t="s">
        <v>583</v>
      </c>
      <c r="AD375" s="15">
        <v>0.7</v>
      </c>
    </row>
    <row r="376" spans="2:30" x14ac:dyDescent="0.2">
      <c r="B376" s="15">
        <v>372.84980449676522</v>
      </c>
      <c r="C376" s="15">
        <v>275.37713173104942</v>
      </c>
      <c r="D376" s="15">
        <v>6.0374712467193614</v>
      </c>
      <c r="E376" s="15">
        <v>4.9806280703966328</v>
      </c>
      <c r="F376" s="15"/>
      <c r="G376" s="15"/>
      <c r="H376" s="15">
        <v>8</v>
      </c>
      <c r="I376" s="15">
        <v>-0.90557029975427716</v>
      </c>
      <c r="J376" s="15"/>
      <c r="K376" s="15"/>
      <c r="L376" s="15">
        <v>-0.90769375987880019</v>
      </c>
      <c r="M376" s="15">
        <v>-0.90490649873227091</v>
      </c>
      <c r="N376" s="15" t="s">
        <v>595</v>
      </c>
      <c r="O376" s="15" t="s">
        <v>578</v>
      </c>
      <c r="P376" s="15">
        <v>1</v>
      </c>
      <c r="Q376" s="15" t="s">
        <v>579</v>
      </c>
      <c r="R376" s="15">
        <v>0.01</v>
      </c>
      <c r="S376" s="15" t="s">
        <v>580</v>
      </c>
      <c r="T376" s="15">
        <v>0.05</v>
      </c>
      <c r="U376" s="15" t="s">
        <v>450</v>
      </c>
      <c r="V376" s="15">
        <v>400</v>
      </c>
      <c r="W376" s="15" t="s">
        <v>577</v>
      </c>
      <c r="X376" s="15">
        <v>13</v>
      </c>
      <c r="Y376" s="15" t="s">
        <v>581</v>
      </c>
      <c r="Z376" s="15">
        <v>0.01</v>
      </c>
      <c r="AA376" s="15" t="s">
        <v>582</v>
      </c>
      <c r="AB376" s="15">
        <v>0.3</v>
      </c>
      <c r="AC376" s="15" t="s">
        <v>583</v>
      </c>
      <c r="AD376" s="15">
        <v>0.7</v>
      </c>
    </row>
    <row r="377" spans="2:30" x14ac:dyDescent="0.2">
      <c r="B377" s="15">
        <v>2662.17014336586</v>
      </c>
      <c r="C377" s="15">
        <v>1303.1238047548011</v>
      </c>
      <c r="D377" s="15">
        <v>8.8670670032501224</v>
      </c>
      <c r="E377" s="15">
        <v>7.2805707246467923</v>
      </c>
      <c r="F377" s="15"/>
      <c r="G377" s="15"/>
      <c r="H377" s="15">
        <v>8</v>
      </c>
      <c r="I377" s="15">
        <v>-0.91570862846804679</v>
      </c>
      <c r="J377" s="15">
        <v>-0.91200413616251486</v>
      </c>
      <c r="K377" s="15"/>
      <c r="L377" s="15">
        <v>-0.91812036321010404</v>
      </c>
      <c r="M377" s="15"/>
      <c r="N377" s="15" t="s">
        <v>595</v>
      </c>
      <c r="O377" s="15" t="s">
        <v>578</v>
      </c>
      <c r="P377" s="15">
        <v>0.9</v>
      </c>
      <c r="Q377" s="15" t="s">
        <v>579</v>
      </c>
      <c r="R377" s="15">
        <v>0</v>
      </c>
      <c r="S377" s="15" t="s">
        <v>580</v>
      </c>
      <c r="T377" s="15">
        <v>0</v>
      </c>
      <c r="U377" s="15" t="s">
        <v>450</v>
      </c>
      <c r="V377" s="15">
        <v>400</v>
      </c>
      <c r="W377" s="15" t="s">
        <v>577</v>
      </c>
      <c r="X377" s="15">
        <v>21</v>
      </c>
      <c r="Y377" s="15" t="s">
        <v>581</v>
      </c>
      <c r="Z377" s="15">
        <v>0.01</v>
      </c>
      <c r="AA377" s="15" t="s">
        <v>582</v>
      </c>
      <c r="AB377" s="15">
        <v>0.4</v>
      </c>
      <c r="AC377" s="15" t="s">
        <v>583</v>
      </c>
      <c r="AD377" s="15">
        <v>0.8</v>
      </c>
    </row>
    <row r="378" spans="2:30" x14ac:dyDescent="0.2">
      <c r="B378" s="15">
        <v>18.498831081390382</v>
      </c>
      <c r="C378" s="15">
        <v>1.4790882554699329</v>
      </c>
      <c r="D378" s="15">
        <v>0.30470962524414058</v>
      </c>
      <c r="E378" s="15">
        <v>7.5406109664703624E-2</v>
      </c>
      <c r="F378" s="15">
        <v>-0.91822637221280468</v>
      </c>
      <c r="G378" s="15">
        <v>2.5757758996473568E-3</v>
      </c>
      <c r="H378" s="15">
        <v>3</v>
      </c>
      <c r="I378" s="15">
        <v>-0.92156701501189475</v>
      </c>
      <c r="J378" s="15">
        <v>-0.91560465957616655</v>
      </c>
      <c r="K378" s="15">
        <v>-0.91505181317965523</v>
      </c>
      <c r="L378" s="15">
        <v>-0.92046585713194451</v>
      </c>
      <c r="M378" s="15">
        <v>-0.91844251616436201</v>
      </c>
      <c r="N378" s="15" t="s">
        <v>595</v>
      </c>
      <c r="O378" s="15" t="s">
        <v>578</v>
      </c>
      <c r="P378" s="15">
        <v>0.6</v>
      </c>
      <c r="Q378" s="15" t="s">
        <v>579</v>
      </c>
      <c r="R378" s="15">
        <v>0.05</v>
      </c>
      <c r="S378" s="15" t="s">
        <v>580</v>
      </c>
      <c r="T378" s="15">
        <v>0</v>
      </c>
      <c r="U378" s="15" t="s">
        <v>450</v>
      </c>
      <c r="V378" s="15">
        <v>200</v>
      </c>
      <c r="W378" s="15" t="s">
        <v>577</v>
      </c>
      <c r="X378" s="15">
        <v>3</v>
      </c>
      <c r="Y378" s="15" t="s">
        <v>581</v>
      </c>
      <c r="Z378" s="15">
        <v>0.8</v>
      </c>
      <c r="AA378" s="15" t="s">
        <v>582</v>
      </c>
      <c r="AB378" s="15">
        <v>0.4</v>
      </c>
      <c r="AC378" s="15" t="s">
        <v>583</v>
      </c>
      <c r="AD378" s="15">
        <v>0.6</v>
      </c>
    </row>
    <row r="379" spans="2:30" x14ac:dyDescent="0.2">
      <c r="B379" s="15">
        <v>39.616792774200441</v>
      </c>
      <c r="C379" s="15">
        <v>2.693122022901461</v>
      </c>
      <c r="D379" s="15">
        <v>0.75978960990905764</v>
      </c>
      <c r="E379" s="15">
        <v>0.13353949664876719</v>
      </c>
      <c r="F379" s="15">
        <v>-0.92592561255336547</v>
      </c>
      <c r="G379" s="15">
        <v>2.4858299632620818E-3</v>
      </c>
      <c r="H379" s="15">
        <v>4</v>
      </c>
      <c r="I379" s="15">
        <v>-0.92898069472695488</v>
      </c>
      <c r="J379" s="15">
        <v>-0.92163795422752526</v>
      </c>
      <c r="K379" s="15">
        <v>-0.92530913444346907</v>
      </c>
      <c r="L379" s="15">
        <v>-0.92758826769927238</v>
      </c>
      <c r="M379" s="15">
        <v>-0.92611201166960522</v>
      </c>
      <c r="N379" s="15" t="s">
        <v>595</v>
      </c>
      <c r="O379" s="15" t="s">
        <v>578</v>
      </c>
      <c r="P379" s="15">
        <v>1</v>
      </c>
      <c r="Q379" s="15" t="s">
        <v>579</v>
      </c>
      <c r="R379" s="15">
        <v>1E-3</v>
      </c>
      <c r="S379" s="15" t="s">
        <v>580</v>
      </c>
      <c r="T379" s="15">
        <v>1E-3</v>
      </c>
      <c r="U379" s="15" t="s">
        <v>450</v>
      </c>
      <c r="V379" s="15">
        <v>400</v>
      </c>
      <c r="W379" s="15" t="s">
        <v>577</v>
      </c>
      <c r="X379" s="15">
        <v>5</v>
      </c>
      <c r="Y379" s="15" t="s">
        <v>581</v>
      </c>
      <c r="Z379" s="15">
        <v>0.5</v>
      </c>
      <c r="AA379" s="15" t="s">
        <v>582</v>
      </c>
      <c r="AB379" s="15">
        <v>0.4</v>
      </c>
      <c r="AC379" s="15" t="s">
        <v>583</v>
      </c>
      <c r="AD379" s="15">
        <v>1</v>
      </c>
    </row>
    <row r="380" spans="2:30" x14ac:dyDescent="0.2">
      <c r="B380" s="15">
        <v>109.8117483615875</v>
      </c>
      <c r="C380" s="15">
        <v>8.1417599477573503</v>
      </c>
      <c r="D380" s="15">
        <v>2.1836936950683592</v>
      </c>
      <c r="E380" s="15">
        <v>0.87560500933600871</v>
      </c>
      <c r="F380" s="15">
        <v>-1.403823116782654</v>
      </c>
      <c r="G380" s="15">
        <v>6.0771649237301752E-3</v>
      </c>
      <c r="H380" s="15">
        <v>7</v>
      </c>
      <c r="I380" s="15">
        <v>-1.411990756687453</v>
      </c>
      <c r="J380" s="15">
        <v>-1.3939765095769161</v>
      </c>
      <c r="K380" s="15">
        <v>-1.4041323658569951</v>
      </c>
      <c r="L380" s="15">
        <v>-1.407667086013723</v>
      </c>
      <c r="M380" s="15">
        <v>-1.401348865778183</v>
      </c>
      <c r="N380" s="15" t="s">
        <v>595</v>
      </c>
      <c r="O380" s="15" t="s">
        <v>578</v>
      </c>
      <c r="P380" s="15">
        <v>0.7</v>
      </c>
      <c r="Q380" s="15" t="s">
        <v>579</v>
      </c>
      <c r="R380" s="15">
        <v>0.1</v>
      </c>
      <c r="S380" s="15" t="s">
        <v>580</v>
      </c>
      <c r="T380" s="15">
        <v>0</v>
      </c>
      <c r="U380" s="15" t="s">
        <v>450</v>
      </c>
      <c r="V380" s="15">
        <v>400</v>
      </c>
      <c r="W380" s="15" t="s">
        <v>577</v>
      </c>
      <c r="X380" s="15">
        <v>13</v>
      </c>
      <c r="Y380" s="15" t="s">
        <v>581</v>
      </c>
      <c r="Z380" s="15">
        <v>0.8</v>
      </c>
      <c r="AA380" s="15" t="s">
        <v>582</v>
      </c>
      <c r="AB380" s="15">
        <v>0.4</v>
      </c>
      <c r="AC380" s="15" t="s">
        <v>583</v>
      </c>
      <c r="AD380" s="15">
        <v>0.7</v>
      </c>
    </row>
    <row r="381" spans="2:30" x14ac:dyDescent="0.2">
      <c r="B381" s="15">
        <v>28.03310303688049</v>
      </c>
      <c r="C381" s="15">
        <v>2.411298119984346</v>
      </c>
      <c r="D381" s="15">
        <v>0.45342988967895509</v>
      </c>
      <c r="E381" s="15">
        <v>0.1186070361385624</v>
      </c>
      <c r="F381" s="15">
        <v>-0.90387641518827277</v>
      </c>
      <c r="G381" s="15">
        <v>2.6123242089797819E-3</v>
      </c>
      <c r="H381" s="15">
        <v>2</v>
      </c>
      <c r="I381" s="15">
        <v>-0.90495226226515413</v>
      </c>
      <c r="J381" s="15">
        <v>-0.90081470167614996</v>
      </c>
      <c r="K381" s="15">
        <v>-0.90104319530901222</v>
      </c>
      <c r="L381" s="15">
        <v>-0.90769143352556314</v>
      </c>
      <c r="M381" s="15">
        <v>-0.90488048316548386</v>
      </c>
      <c r="N381" s="15" t="s">
        <v>595</v>
      </c>
      <c r="O381" s="15" t="s">
        <v>578</v>
      </c>
      <c r="P381" s="15">
        <v>0.9</v>
      </c>
      <c r="Q381" s="15" t="s">
        <v>579</v>
      </c>
      <c r="R381" s="15">
        <v>1E-3</v>
      </c>
      <c r="S381" s="15" t="s">
        <v>580</v>
      </c>
      <c r="T381" s="15">
        <v>0</v>
      </c>
      <c r="U381" s="15" t="s">
        <v>450</v>
      </c>
      <c r="V381" s="15">
        <v>300</v>
      </c>
      <c r="W381" s="15" t="s">
        <v>577</v>
      </c>
      <c r="X381" s="15">
        <v>3</v>
      </c>
      <c r="Y381" s="15" t="s">
        <v>581</v>
      </c>
      <c r="Z381" s="15">
        <v>0.2</v>
      </c>
      <c r="AA381" s="15" t="s">
        <v>582</v>
      </c>
      <c r="AB381" s="15">
        <v>0.4</v>
      </c>
      <c r="AC381" s="15" t="s">
        <v>583</v>
      </c>
      <c r="AD381" s="15">
        <v>1</v>
      </c>
    </row>
    <row r="382" spans="2:30" x14ac:dyDescent="0.2">
      <c r="B382" s="15">
        <v>1738.633765125275</v>
      </c>
      <c r="C382" s="15">
        <v>989.8325502503377</v>
      </c>
      <c r="D382" s="15">
        <v>5.0826026439666752</v>
      </c>
      <c r="E382" s="15">
        <v>6.2311505949278434</v>
      </c>
      <c r="F382" s="15"/>
      <c r="G382" s="15"/>
      <c r="H382" s="15">
        <v>8</v>
      </c>
      <c r="I382" s="15"/>
      <c r="J382" s="15"/>
      <c r="K382" s="15">
        <v>-0.93561648145234511</v>
      </c>
      <c r="L382" s="15"/>
      <c r="M382" s="15">
        <v>-0.93926501614092217</v>
      </c>
      <c r="N382" s="15" t="s">
        <v>595</v>
      </c>
      <c r="O382" s="15" t="s">
        <v>578</v>
      </c>
      <c r="P382" s="15">
        <v>0.6</v>
      </c>
      <c r="Q382" s="15" t="s">
        <v>579</v>
      </c>
      <c r="R382" s="15">
        <v>0</v>
      </c>
      <c r="S382" s="15" t="s">
        <v>580</v>
      </c>
      <c r="T382" s="15">
        <v>1E-3</v>
      </c>
      <c r="U382" s="15" t="s">
        <v>450</v>
      </c>
      <c r="V382" s="15">
        <v>200</v>
      </c>
      <c r="W382" s="15" t="s">
        <v>577</v>
      </c>
      <c r="X382" s="15">
        <v>21</v>
      </c>
      <c r="Y382" s="15" t="s">
        <v>581</v>
      </c>
      <c r="Z382" s="15">
        <v>0.01</v>
      </c>
      <c r="AA382" s="15" t="s">
        <v>582</v>
      </c>
      <c r="AB382" s="15">
        <v>0.4</v>
      </c>
      <c r="AC382" s="15" t="s">
        <v>583</v>
      </c>
      <c r="AD382" s="15">
        <v>0.6</v>
      </c>
    </row>
    <row r="383" spans="2:30" x14ac:dyDescent="0.2">
      <c r="B383" s="15">
        <v>186.71538043022159</v>
      </c>
      <c r="C383" s="15">
        <v>9.374418438180065</v>
      </c>
      <c r="D383" s="15">
        <v>5.5485281944274902</v>
      </c>
      <c r="E383" s="15">
        <v>1.2229166802263629</v>
      </c>
      <c r="F383" s="15">
        <v>-0.94747704819394385</v>
      </c>
      <c r="G383" s="15">
        <v>3.5175194682017289E-3</v>
      </c>
      <c r="H383" s="15">
        <v>5</v>
      </c>
      <c r="I383" s="15">
        <v>-0.95049274296514541</v>
      </c>
      <c r="J383" s="15">
        <v>-0.94219002879450786</v>
      </c>
      <c r="K383" s="15">
        <v>-0.9448536850260626</v>
      </c>
      <c r="L383" s="15">
        <v>-0.9516501829746854</v>
      </c>
      <c r="M383" s="15">
        <v>-0.94819860120931776</v>
      </c>
      <c r="N383" s="15" t="s">
        <v>595</v>
      </c>
      <c r="O383" s="15" t="s">
        <v>578</v>
      </c>
      <c r="P383" s="15">
        <v>0.7</v>
      </c>
      <c r="Q383" s="15" t="s">
        <v>579</v>
      </c>
      <c r="R383" s="15">
        <v>0.05</v>
      </c>
      <c r="S383" s="15" t="s">
        <v>580</v>
      </c>
      <c r="T383" s="15">
        <v>1</v>
      </c>
      <c r="U383" s="15" t="s">
        <v>450</v>
      </c>
      <c r="V383" s="15">
        <v>200</v>
      </c>
      <c r="W383" s="15" t="s">
        <v>577</v>
      </c>
      <c r="X383" s="15">
        <v>13</v>
      </c>
      <c r="Y383" s="15" t="s">
        <v>581</v>
      </c>
      <c r="Z383" s="15">
        <v>0.2</v>
      </c>
      <c r="AA383" s="15" t="s">
        <v>582</v>
      </c>
      <c r="AB383" s="15">
        <v>0.4</v>
      </c>
      <c r="AC383" s="15" t="s">
        <v>583</v>
      </c>
      <c r="AD383" s="15">
        <v>1</v>
      </c>
    </row>
    <row r="384" spans="2:30" x14ac:dyDescent="0.2">
      <c r="B384" s="15">
        <v>38.670013093948363</v>
      </c>
      <c r="C384" s="15">
        <v>8.0466063410024518</v>
      </c>
      <c r="D384" s="15">
        <v>1.2941676139831539</v>
      </c>
      <c r="E384" s="15">
        <v>0.68848707267481768</v>
      </c>
      <c r="F384" s="15">
        <v>-0.90157020872905635</v>
      </c>
      <c r="G384" s="15">
        <v>2.6849410799216892E-3</v>
      </c>
      <c r="H384" s="15">
        <v>1</v>
      </c>
      <c r="I384" s="15">
        <v>-0.90242951181442965</v>
      </c>
      <c r="J384" s="15">
        <v>-0.89894094299076133</v>
      </c>
      <c r="K384" s="15">
        <v>-0.89845377555629591</v>
      </c>
      <c r="L384" s="15">
        <v>-0.90584950509993922</v>
      </c>
      <c r="M384" s="15">
        <v>-0.902177308183856</v>
      </c>
      <c r="N384" s="15" t="s">
        <v>595</v>
      </c>
      <c r="O384" s="15" t="s">
        <v>578</v>
      </c>
      <c r="P384" s="15">
        <v>1</v>
      </c>
      <c r="Q384" s="15" t="s">
        <v>579</v>
      </c>
      <c r="R384" s="15">
        <v>0</v>
      </c>
      <c r="S384" s="15" t="s">
        <v>580</v>
      </c>
      <c r="T384" s="15">
        <v>0.01</v>
      </c>
      <c r="U384" s="15" t="s">
        <v>450</v>
      </c>
      <c r="V384" s="15">
        <v>400</v>
      </c>
      <c r="W384" s="15" t="s">
        <v>577</v>
      </c>
      <c r="X384" s="15">
        <v>3</v>
      </c>
      <c r="Y384" s="15" t="s">
        <v>581</v>
      </c>
      <c r="Z384" s="15">
        <v>0.2</v>
      </c>
      <c r="AA384" s="15" t="s">
        <v>582</v>
      </c>
      <c r="AB384" s="15">
        <v>0.4</v>
      </c>
      <c r="AC384" s="15" t="s">
        <v>583</v>
      </c>
      <c r="AD384" s="15">
        <v>0.7</v>
      </c>
    </row>
    <row r="385" spans="2:30" x14ac:dyDescent="0.2">
      <c r="B385" s="15">
        <v>38.56145534515381</v>
      </c>
      <c r="C385" s="15">
        <v>3.5033667100087902</v>
      </c>
      <c r="D385" s="15">
        <v>0.88527870178222656</v>
      </c>
      <c r="E385" s="15">
        <v>0.37991095811267328</v>
      </c>
      <c r="F385" s="15">
        <v>-0.96843209301799893</v>
      </c>
      <c r="G385" s="15">
        <v>2.0501580180311888E-3</v>
      </c>
      <c r="H385" s="15">
        <v>6</v>
      </c>
      <c r="I385" s="15">
        <v>-0.96928448438699455</v>
      </c>
      <c r="J385" s="15">
        <v>-0.96620659326088254</v>
      </c>
      <c r="K385" s="15">
        <v>-0.96590890045787392</v>
      </c>
      <c r="L385" s="15">
        <v>-0.97121067652509441</v>
      </c>
      <c r="M385" s="15">
        <v>-0.96954981045914912</v>
      </c>
      <c r="N385" s="15" t="s">
        <v>595</v>
      </c>
      <c r="O385" s="15" t="s">
        <v>578</v>
      </c>
      <c r="P385" s="15">
        <v>1</v>
      </c>
      <c r="Q385" s="15" t="s">
        <v>579</v>
      </c>
      <c r="R385" s="15">
        <v>1E-3</v>
      </c>
      <c r="S385" s="15" t="s">
        <v>580</v>
      </c>
      <c r="T385" s="15">
        <v>1E-3</v>
      </c>
      <c r="U385" s="15" t="s">
        <v>450</v>
      </c>
      <c r="V385" s="15">
        <v>300</v>
      </c>
      <c r="W385" s="15" t="s">
        <v>577</v>
      </c>
      <c r="X385" s="15">
        <v>3</v>
      </c>
      <c r="Y385" s="15" t="s">
        <v>581</v>
      </c>
      <c r="Z385" s="15">
        <v>0.01</v>
      </c>
      <c r="AA385" s="15" t="s">
        <v>582</v>
      </c>
      <c r="AB385" s="15">
        <v>0.4</v>
      </c>
      <c r="AC385" s="15" t="s">
        <v>583</v>
      </c>
      <c r="AD385" s="15">
        <v>0.7</v>
      </c>
    </row>
    <row r="386" spans="2:30" x14ac:dyDescent="0.2">
      <c r="B386" s="15">
        <v>212.9816875457764</v>
      </c>
      <c r="C386" s="15">
        <v>222.02151714237459</v>
      </c>
      <c r="D386" s="15">
        <v>3.13661789894104</v>
      </c>
      <c r="E386" s="15">
        <v>3.865550077672701</v>
      </c>
      <c r="F386" s="15"/>
      <c r="G386" s="15"/>
      <c r="H386" s="15">
        <v>8</v>
      </c>
      <c r="I386" s="15">
        <v>-0.90566625338751472</v>
      </c>
      <c r="J386" s="15">
        <v>-0.90080568775955216</v>
      </c>
      <c r="K386" s="15"/>
      <c r="L386" s="15"/>
      <c r="M386" s="15"/>
      <c r="N386" s="15" t="s">
        <v>595</v>
      </c>
      <c r="O386" s="15" t="s">
        <v>578</v>
      </c>
      <c r="P386" s="15">
        <v>1</v>
      </c>
      <c r="Q386" s="15" t="s">
        <v>579</v>
      </c>
      <c r="R386" s="15">
        <v>0.01</v>
      </c>
      <c r="S386" s="15" t="s">
        <v>580</v>
      </c>
      <c r="T386" s="15">
        <v>0.05</v>
      </c>
      <c r="U386" s="15" t="s">
        <v>450</v>
      </c>
      <c r="V386" s="15">
        <v>400</v>
      </c>
      <c r="W386" s="15" t="s">
        <v>577</v>
      </c>
      <c r="X386" s="15">
        <v>13</v>
      </c>
      <c r="Y386" s="15" t="s">
        <v>581</v>
      </c>
      <c r="Z386" s="15">
        <v>0.01</v>
      </c>
      <c r="AA386" s="15" t="s">
        <v>582</v>
      </c>
      <c r="AB386" s="15">
        <v>0.4</v>
      </c>
      <c r="AC386" s="15" t="s">
        <v>583</v>
      </c>
      <c r="AD386" s="15">
        <v>0.7</v>
      </c>
    </row>
    <row r="387" spans="2:30" x14ac:dyDescent="0.2">
      <c r="B387" s="15">
        <v>3304.8465857505798</v>
      </c>
      <c r="C387" s="15">
        <v>1132.633958285908</v>
      </c>
      <c r="D387" s="15">
        <v>11.453134918212889</v>
      </c>
      <c r="E387" s="15">
        <v>5.9832311215327598</v>
      </c>
      <c r="F387" s="15"/>
      <c r="G387" s="15"/>
      <c r="H387" s="15">
        <v>8</v>
      </c>
      <c r="I387" s="15">
        <v>-0.91509670971590074</v>
      </c>
      <c r="J387" s="15">
        <v>-0.91126065964625813</v>
      </c>
      <c r="K387" s="15">
        <v>-0.91123746707367026</v>
      </c>
      <c r="L387" s="15">
        <v>-0.91788331244371391</v>
      </c>
      <c r="M387" s="15"/>
      <c r="N387" s="15" t="s">
        <v>595</v>
      </c>
      <c r="O387" s="15" t="s">
        <v>578</v>
      </c>
      <c r="P387" s="15">
        <v>0.9</v>
      </c>
      <c r="Q387" s="15" t="s">
        <v>579</v>
      </c>
      <c r="R387" s="15">
        <v>0</v>
      </c>
      <c r="S387" s="15" t="s">
        <v>580</v>
      </c>
      <c r="T387" s="15">
        <v>0</v>
      </c>
      <c r="U387" s="15" t="s">
        <v>450</v>
      </c>
      <c r="V387" s="15">
        <v>400</v>
      </c>
      <c r="W387" s="15" t="s">
        <v>577</v>
      </c>
      <c r="X387" s="15">
        <v>21</v>
      </c>
      <c r="Y387" s="15" t="s">
        <v>581</v>
      </c>
      <c r="Z387" s="15">
        <v>0.01</v>
      </c>
      <c r="AA387" s="15" t="s">
        <v>582</v>
      </c>
      <c r="AB387" s="15">
        <v>0.5</v>
      </c>
      <c r="AC387" s="15" t="s">
        <v>583</v>
      </c>
      <c r="AD387" s="15">
        <v>0.8</v>
      </c>
    </row>
    <row r="388" spans="2:30" x14ac:dyDescent="0.2">
      <c r="B388" s="15">
        <v>18.301435613632201</v>
      </c>
      <c r="C388" s="15">
        <v>1.660746435861771</v>
      </c>
      <c r="D388" s="15">
        <v>0.25716404914855961</v>
      </c>
      <c r="E388" s="15">
        <v>4.433668697755852E-2</v>
      </c>
      <c r="F388" s="15">
        <v>-0.91822637221280468</v>
      </c>
      <c r="G388" s="15">
        <v>2.5757758996473568E-3</v>
      </c>
      <c r="H388" s="15">
        <v>3</v>
      </c>
      <c r="I388" s="15">
        <v>-0.92156701501189475</v>
      </c>
      <c r="J388" s="15">
        <v>-0.91560465957616655</v>
      </c>
      <c r="K388" s="15">
        <v>-0.91505181317965523</v>
      </c>
      <c r="L388" s="15">
        <v>-0.92046585713194451</v>
      </c>
      <c r="M388" s="15">
        <v>-0.91844251616436201</v>
      </c>
      <c r="N388" s="15" t="s">
        <v>595</v>
      </c>
      <c r="O388" s="15" t="s">
        <v>578</v>
      </c>
      <c r="P388" s="15">
        <v>0.6</v>
      </c>
      <c r="Q388" s="15" t="s">
        <v>579</v>
      </c>
      <c r="R388" s="15">
        <v>0.05</v>
      </c>
      <c r="S388" s="15" t="s">
        <v>580</v>
      </c>
      <c r="T388" s="15">
        <v>0</v>
      </c>
      <c r="U388" s="15" t="s">
        <v>450</v>
      </c>
      <c r="V388" s="15">
        <v>200</v>
      </c>
      <c r="W388" s="15" t="s">
        <v>577</v>
      </c>
      <c r="X388" s="15">
        <v>3</v>
      </c>
      <c r="Y388" s="15" t="s">
        <v>581</v>
      </c>
      <c r="Z388" s="15">
        <v>0.8</v>
      </c>
      <c r="AA388" s="15" t="s">
        <v>582</v>
      </c>
      <c r="AB388" s="15">
        <v>0.5</v>
      </c>
      <c r="AC388" s="15" t="s">
        <v>583</v>
      </c>
      <c r="AD388" s="15">
        <v>0.6</v>
      </c>
    </row>
    <row r="389" spans="2:30" x14ac:dyDescent="0.2">
      <c r="B389" s="15">
        <v>41.733404159545898</v>
      </c>
      <c r="C389" s="15">
        <v>2.137946454856686</v>
      </c>
      <c r="D389" s="15">
        <v>0.9652007102966309</v>
      </c>
      <c r="E389" s="15">
        <v>0.22304024647440451</v>
      </c>
      <c r="F389" s="15">
        <v>-0.92503611911489858</v>
      </c>
      <c r="G389" s="15">
        <v>8.2994497803020218E-4</v>
      </c>
      <c r="H389" s="15">
        <v>4</v>
      </c>
      <c r="I389" s="15">
        <v>-0.9264877018439005</v>
      </c>
      <c r="J389" s="15">
        <v>-0.92403545596825398</v>
      </c>
      <c r="K389" s="15">
        <v>-0.92467075167656476</v>
      </c>
      <c r="L389" s="15">
        <v>-0.92467832619339307</v>
      </c>
      <c r="M389" s="15">
        <v>-0.92530835989238125</v>
      </c>
      <c r="N389" s="15" t="s">
        <v>595</v>
      </c>
      <c r="O389" s="15" t="s">
        <v>578</v>
      </c>
      <c r="P389" s="15">
        <v>1</v>
      </c>
      <c r="Q389" s="15" t="s">
        <v>579</v>
      </c>
      <c r="R389" s="15">
        <v>1E-3</v>
      </c>
      <c r="S389" s="15" t="s">
        <v>580</v>
      </c>
      <c r="T389" s="15">
        <v>1E-3</v>
      </c>
      <c r="U389" s="15" t="s">
        <v>450</v>
      </c>
      <c r="V389" s="15">
        <v>400</v>
      </c>
      <c r="W389" s="15" t="s">
        <v>577</v>
      </c>
      <c r="X389" s="15">
        <v>5</v>
      </c>
      <c r="Y389" s="15" t="s">
        <v>581</v>
      </c>
      <c r="Z389" s="15">
        <v>0.5</v>
      </c>
      <c r="AA389" s="15" t="s">
        <v>582</v>
      </c>
      <c r="AB389" s="15">
        <v>0.5</v>
      </c>
      <c r="AC389" s="15" t="s">
        <v>583</v>
      </c>
      <c r="AD389" s="15">
        <v>1</v>
      </c>
    </row>
    <row r="390" spans="2:30" x14ac:dyDescent="0.2">
      <c r="B390" s="15">
        <v>97.688016223907468</v>
      </c>
      <c r="C390" s="15">
        <v>7.0737622450437501</v>
      </c>
      <c r="D390" s="15">
        <v>1.6373529434204099</v>
      </c>
      <c r="E390" s="15">
        <v>0.48344514529856708</v>
      </c>
      <c r="F390" s="15">
        <v>-1.394689426644611</v>
      </c>
      <c r="G390" s="15">
        <v>3.166146485878193E-3</v>
      </c>
      <c r="H390" s="15">
        <v>7</v>
      </c>
      <c r="I390" s="15">
        <v>-1.396914270483786</v>
      </c>
      <c r="J390" s="15">
        <v>-1.3963306491850189</v>
      </c>
      <c r="K390" s="15">
        <v>-1.3916609578184009</v>
      </c>
      <c r="L390" s="15">
        <v>-1.390211288755931</v>
      </c>
      <c r="M390" s="15">
        <v>-1.398329966979917</v>
      </c>
      <c r="N390" s="15" t="s">
        <v>595</v>
      </c>
      <c r="O390" s="15" t="s">
        <v>578</v>
      </c>
      <c r="P390" s="15">
        <v>0.7</v>
      </c>
      <c r="Q390" s="15" t="s">
        <v>579</v>
      </c>
      <c r="R390" s="15">
        <v>0.1</v>
      </c>
      <c r="S390" s="15" t="s">
        <v>580</v>
      </c>
      <c r="T390" s="15">
        <v>0</v>
      </c>
      <c r="U390" s="15" t="s">
        <v>450</v>
      </c>
      <c r="V390" s="15">
        <v>400</v>
      </c>
      <c r="W390" s="15" t="s">
        <v>577</v>
      </c>
      <c r="X390" s="15">
        <v>13</v>
      </c>
      <c r="Y390" s="15" t="s">
        <v>581</v>
      </c>
      <c r="Z390" s="15">
        <v>0.8</v>
      </c>
      <c r="AA390" s="15" t="s">
        <v>582</v>
      </c>
      <c r="AB390" s="15">
        <v>0.5</v>
      </c>
      <c r="AC390" s="15" t="s">
        <v>583</v>
      </c>
      <c r="AD390" s="15">
        <v>0.7</v>
      </c>
    </row>
    <row r="391" spans="2:30" x14ac:dyDescent="0.2">
      <c r="B391" s="15">
        <v>30.45416889190674</v>
      </c>
      <c r="C391" s="15">
        <v>3.7961573558696222</v>
      </c>
      <c r="D391" s="15">
        <v>0.42725148200988772</v>
      </c>
      <c r="E391" s="15">
        <v>0.1120807969260703</v>
      </c>
      <c r="F391" s="15">
        <v>-0.90387641518827277</v>
      </c>
      <c r="G391" s="15">
        <v>2.6123242089797819E-3</v>
      </c>
      <c r="H391" s="15">
        <v>2</v>
      </c>
      <c r="I391" s="15">
        <v>-0.90495226226515413</v>
      </c>
      <c r="J391" s="15">
        <v>-0.90081470167614996</v>
      </c>
      <c r="K391" s="15">
        <v>-0.90104319530901222</v>
      </c>
      <c r="L391" s="15">
        <v>-0.90769143352556314</v>
      </c>
      <c r="M391" s="15">
        <v>-0.90488048316548386</v>
      </c>
      <c r="N391" s="15" t="s">
        <v>595</v>
      </c>
      <c r="O391" s="15" t="s">
        <v>578</v>
      </c>
      <c r="P391" s="15">
        <v>0.9</v>
      </c>
      <c r="Q391" s="15" t="s">
        <v>579</v>
      </c>
      <c r="R391" s="15">
        <v>1E-3</v>
      </c>
      <c r="S391" s="15" t="s">
        <v>580</v>
      </c>
      <c r="T391" s="15">
        <v>0</v>
      </c>
      <c r="U391" s="15" t="s">
        <v>450</v>
      </c>
      <c r="V391" s="15">
        <v>300</v>
      </c>
      <c r="W391" s="15" t="s">
        <v>577</v>
      </c>
      <c r="X391" s="15">
        <v>3</v>
      </c>
      <c r="Y391" s="15" t="s">
        <v>581</v>
      </c>
      <c r="Z391" s="15">
        <v>0.2</v>
      </c>
      <c r="AA391" s="15" t="s">
        <v>582</v>
      </c>
      <c r="AB391" s="15">
        <v>0.5</v>
      </c>
      <c r="AC391" s="15" t="s">
        <v>583</v>
      </c>
      <c r="AD391" s="15">
        <v>1</v>
      </c>
    </row>
    <row r="392" spans="2:30" x14ac:dyDescent="0.2">
      <c r="B392" s="15">
        <v>1495.9240876674651</v>
      </c>
      <c r="C392" s="15">
        <v>1035.7140543794569</v>
      </c>
      <c r="D392" s="15">
        <v>2.5267068862915041</v>
      </c>
      <c r="E392" s="15">
        <v>5.0534137725830082</v>
      </c>
      <c r="F392" s="15"/>
      <c r="G392" s="15"/>
      <c r="H392" s="15">
        <v>8</v>
      </c>
      <c r="I392" s="15"/>
      <c r="J392" s="15"/>
      <c r="K392" s="15">
        <v>-0.93511962117169178</v>
      </c>
      <c r="L392" s="15"/>
      <c r="M392" s="15"/>
      <c r="N392" s="15" t="s">
        <v>595</v>
      </c>
      <c r="O392" s="15" t="s">
        <v>578</v>
      </c>
      <c r="P392" s="15">
        <v>0.6</v>
      </c>
      <c r="Q392" s="15" t="s">
        <v>579</v>
      </c>
      <c r="R392" s="15">
        <v>0</v>
      </c>
      <c r="S392" s="15" t="s">
        <v>580</v>
      </c>
      <c r="T392" s="15">
        <v>1E-3</v>
      </c>
      <c r="U392" s="15" t="s">
        <v>450</v>
      </c>
      <c r="V392" s="15">
        <v>200</v>
      </c>
      <c r="W392" s="15" t="s">
        <v>577</v>
      </c>
      <c r="X392" s="15">
        <v>21</v>
      </c>
      <c r="Y392" s="15" t="s">
        <v>581</v>
      </c>
      <c r="Z392" s="15">
        <v>0.01</v>
      </c>
      <c r="AA392" s="15" t="s">
        <v>582</v>
      </c>
      <c r="AB392" s="15">
        <v>0.5</v>
      </c>
      <c r="AC392" s="15" t="s">
        <v>583</v>
      </c>
      <c r="AD392" s="15">
        <v>0.6</v>
      </c>
    </row>
    <row r="393" spans="2:30" x14ac:dyDescent="0.2">
      <c r="B393" s="15">
        <v>151.28714671134949</v>
      </c>
      <c r="C393" s="15">
        <v>7.6001793891211022</v>
      </c>
      <c r="D393" s="15">
        <v>4.8697547912597656</v>
      </c>
      <c r="E393" s="15">
        <v>1.10205247875631</v>
      </c>
      <c r="F393" s="15">
        <v>-0.94683754411330534</v>
      </c>
      <c r="G393" s="15">
        <v>3.0681964599657951E-3</v>
      </c>
      <c r="H393" s="15">
        <v>5</v>
      </c>
      <c r="I393" s="15">
        <v>-0.95002845426017501</v>
      </c>
      <c r="J393" s="15">
        <v>-0.94275312368847264</v>
      </c>
      <c r="K393" s="15">
        <v>-0.94436767956762302</v>
      </c>
      <c r="L393" s="15">
        <v>-0.95057451421083849</v>
      </c>
      <c r="M393" s="15">
        <v>-0.94646394883941753</v>
      </c>
      <c r="N393" s="15" t="s">
        <v>595</v>
      </c>
      <c r="O393" s="15" t="s">
        <v>578</v>
      </c>
      <c r="P393" s="15">
        <v>0.7</v>
      </c>
      <c r="Q393" s="15" t="s">
        <v>579</v>
      </c>
      <c r="R393" s="15">
        <v>0.05</v>
      </c>
      <c r="S393" s="15" t="s">
        <v>580</v>
      </c>
      <c r="T393" s="15">
        <v>1</v>
      </c>
      <c r="U393" s="15" t="s">
        <v>450</v>
      </c>
      <c r="V393" s="15">
        <v>200</v>
      </c>
      <c r="W393" s="15" t="s">
        <v>577</v>
      </c>
      <c r="X393" s="15">
        <v>13</v>
      </c>
      <c r="Y393" s="15" t="s">
        <v>581</v>
      </c>
      <c r="Z393" s="15">
        <v>0.2</v>
      </c>
      <c r="AA393" s="15" t="s">
        <v>582</v>
      </c>
      <c r="AB393" s="15">
        <v>0.5</v>
      </c>
      <c r="AC393" s="15" t="s">
        <v>583</v>
      </c>
      <c r="AD393" s="15">
        <v>1</v>
      </c>
    </row>
    <row r="394" spans="2:30" x14ac:dyDescent="0.2">
      <c r="B394" s="15">
        <v>32.183558320999147</v>
      </c>
      <c r="C394" s="15">
        <v>4.2897345167458347</v>
      </c>
      <c r="D394" s="15">
        <v>2.016818523406982</v>
      </c>
      <c r="E394" s="15">
        <v>2.8807933381536301</v>
      </c>
      <c r="F394" s="15">
        <v>-0.90157020872905635</v>
      </c>
      <c r="G394" s="15">
        <v>2.6849410799216892E-3</v>
      </c>
      <c r="H394" s="15">
        <v>1</v>
      </c>
      <c r="I394" s="15">
        <v>-0.90242951181442965</v>
      </c>
      <c r="J394" s="15">
        <v>-0.89894094299076133</v>
      </c>
      <c r="K394" s="15">
        <v>-0.89845377555629591</v>
      </c>
      <c r="L394" s="15">
        <v>-0.90584950509993922</v>
      </c>
      <c r="M394" s="15">
        <v>-0.902177308183856</v>
      </c>
      <c r="N394" s="15" t="s">
        <v>595</v>
      </c>
      <c r="O394" s="15" t="s">
        <v>578</v>
      </c>
      <c r="P394" s="15">
        <v>1</v>
      </c>
      <c r="Q394" s="15" t="s">
        <v>579</v>
      </c>
      <c r="R394" s="15">
        <v>0</v>
      </c>
      <c r="S394" s="15" t="s">
        <v>580</v>
      </c>
      <c r="T394" s="15">
        <v>0.01</v>
      </c>
      <c r="U394" s="15" t="s">
        <v>450</v>
      </c>
      <c r="V394" s="15">
        <v>400</v>
      </c>
      <c r="W394" s="15" t="s">
        <v>577</v>
      </c>
      <c r="X394" s="15">
        <v>3</v>
      </c>
      <c r="Y394" s="15" t="s">
        <v>581</v>
      </c>
      <c r="Z394" s="15">
        <v>0.2</v>
      </c>
      <c r="AA394" s="15" t="s">
        <v>582</v>
      </c>
      <c r="AB394" s="15">
        <v>0.5</v>
      </c>
      <c r="AC394" s="15" t="s">
        <v>583</v>
      </c>
      <c r="AD394" s="15">
        <v>0.7</v>
      </c>
    </row>
    <row r="395" spans="2:30" x14ac:dyDescent="0.2">
      <c r="B395" s="15">
        <v>33.530316162109372</v>
      </c>
      <c r="C395" s="15">
        <v>6.5716262089896249</v>
      </c>
      <c r="D395" s="15">
        <v>1.1208275794982909</v>
      </c>
      <c r="E395" s="15">
        <v>0.65710486526768463</v>
      </c>
      <c r="F395" s="15">
        <v>-0.96843209301799893</v>
      </c>
      <c r="G395" s="15">
        <v>2.0501580180311888E-3</v>
      </c>
      <c r="H395" s="15">
        <v>6</v>
      </c>
      <c r="I395" s="15">
        <v>-0.96928448438699455</v>
      </c>
      <c r="J395" s="15">
        <v>-0.96620659326088254</v>
      </c>
      <c r="K395" s="15">
        <v>-0.96590890045787392</v>
      </c>
      <c r="L395" s="15">
        <v>-0.97121067652509441</v>
      </c>
      <c r="M395" s="15">
        <v>-0.96954981045914912</v>
      </c>
      <c r="N395" s="15" t="s">
        <v>595</v>
      </c>
      <c r="O395" s="15" t="s">
        <v>578</v>
      </c>
      <c r="P395" s="15">
        <v>1</v>
      </c>
      <c r="Q395" s="15" t="s">
        <v>579</v>
      </c>
      <c r="R395" s="15">
        <v>1E-3</v>
      </c>
      <c r="S395" s="15" t="s">
        <v>580</v>
      </c>
      <c r="T395" s="15">
        <v>1E-3</v>
      </c>
      <c r="U395" s="15" t="s">
        <v>450</v>
      </c>
      <c r="V395" s="15">
        <v>300</v>
      </c>
      <c r="W395" s="15" t="s">
        <v>577</v>
      </c>
      <c r="X395" s="15">
        <v>3</v>
      </c>
      <c r="Y395" s="15" t="s">
        <v>581</v>
      </c>
      <c r="Z395" s="15">
        <v>0.01</v>
      </c>
      <c r="AA395" s="15" t="s">
        <v>582</v>
      </c>
      <c r="AB395" s="15">
        <v>0.5</v>
      </c>
      <c r="AC395" s="15" t="s">
        <v>583</v>
      </c>
      <c r="AD395" s="15">
        <v>0.7</v>
      </c>
    </row>
    <row r="396" spans="2:30" x14ac:dyDescent="0.2">
      <c r="B396" s="15">
        <v>465.83598051071169</v>
      </c>
      <c r="C396" s="15">
        <v>206.5371850037138</v>
      </c>
      <c r="D396" s="15">
        <v>8.6944237709045407</v>
      </c>
      <c r="E396" s="15">
        <v>4.3945747586677504</v>
      </c>
      <c r="F396" s="15"/>
      <c r="G396" s="15"/>
      <c r="H396" s="15">
        <v>8</v>
      </c>
      <c r="I396" s="15">
        <v>-0.90587244768712138</v>
      </c>
      <c r="J396" s="15"/>
      <c r="K396" s="15">
        <v>-0.90089230204554849</v>
      </c>
      <c r="L396" s="15">
        <v>-0.90793180939754525</v>
      </c>
      <c r="M396" s="15">
        <v>-0.90517876775495609</v>
      </c>
      <c r="N396" s="15" t="s">
        <v>595</v>
      </c>
      <c r="O396" s="15" t="s">
        <v>578</v>
      </c>
      <c r="P396" s="15">
        <v>1</v>
      </c>
      <c r="Q396" s="15" t="s">
        <v>579</v>
      </c>
      <c r="R396" s="15">
        <v>0.01</v>
      </c>
      <c r="S396" s="15" t="s">
        <v>580</v>
      </c>
      <c r="T396" s="15">
        <v>0.05</v>
      </c>
      <c r="U396" s="15" t="s">
        <v>450</v>
      </c>
      <c r="V396" s="15">
        <v>400</v>
      </c>
      <c r="W396" s="15" t="s">
        <v>577</v>
      </c>
      <c r="X396" s="15">
        <v>13</v>
      </c>
      <c r="Y396" s="15" t="s">
        <v>581</v>
      </c>
      <c r="Z396" s="15">
        <v>0.01</v>
      </c>
      <c r="AA396" s="15" t="s">
        <v>582</v>
      </c>
      <c r="AB396" s="15">
        <v>0.5</v>
      </c>
      <c r="AC396" s="15" t="s">
        <v>583</v>
      </c>
      <c r="AD396" s="15">
        <v>0.7</v>
      </c>
    </row>
    <row r="397" spans="2:30" x14ac:dyDescent="0.2">
      <c r="B397" s="15">
        <v>1829.0901019573209</v>
      </c>
      <c r="C397" s="15">
        <v>1108.4264477045419</v>
      </c>
      <c r="D397" s="15">
        <v>4.7506999492645274</v>
      </c>
      <c r="E397" s="15">
        <v>5.9063087442075037</v>
      </c>
      <c r="F397" s="15"/>
      <c r="G397" s="15"/>
      <c r="H397" s="15">
        <v>8</v>
      </c>
      <c r="I397" s="15">
        <v>-0.91454936672966103</v>
      </c>
      <c r="J397" s="15"/>
      <c r="K397" s="15">
        <v>-0.91010581867284523</v>
      </c>
      <c r="L397" s="15"/>
      <c r="M397" s="15"/>
      <c r="N397" s="15" t="s">
        <v>595</v>
      </c>
      <c r="O397" s="15" t="s">
        <v>578</v>
      </c>
      <c r="P397" s="15">
        <v>0.9</v>
      </c>
      <c r="Q397" s="15" t="s">
        <v>579</v>
      </c>
      <c r="R397" s="15">
        <v>0</v>
      </c>
      <c r="S397" s="15" t="s">
        <v>580</v>
      </c>
      <c r="T397" s="15">
        <v>0</v>
      </c>
      <c r="U397" s="15" t="s">
        <v>450</v>
      </c>
      <c r="V397" s="15">
        <v>400</v>
      </c>
      <c r="W397" s="15" t="s">
        <v>577</v>
      </c>
      <c r="X397" s="15">
        <v>21</v>
      </c>
      <c r="Y397" s="15" t="s">
        <v>581</v>
      </c>
      <c r="Z397" s="15">
        <v>0.01</v>
      </c>
      <c r="AA397" s="15" t="s">
        <v>582</v>
      </c>
      <c r="AB397" s="15">
        <v>0.6</v>
      </c>
      <c r="AC397" s="15" t="s">
        <v>583</v>
      </c>
      <c r="AD397" s="15">
        <v>0.8</v>
      </c>
    </row>
    <row r="398" spans="2:30" x14ac:dyDescent="0.2">
      <c r="B398" s="15">
        <v>18.139625787734989</v>
      </c>
      <c r="C398" s="15">
        <v>1.2870901836637889</v>
      </c>
      <c r="D398" s="15">
        <v>0.25723628997802728</v>
      </c>
      <c r="E398" s="15">
        <v>2.371990251384851E-2</v>
      </c>
      <c r="F398" s="15">
        <v>-0.91822637221280468</v>
      </c>
      <c r="G398" s="15">
        <v>2.5757758996473568E-3</v>
      </c>
      <c r="H398" s="15">
        <v>3</v>
      </c>
      <c r="I398" s="15">
        <v>-0.92156701501189475</v>
      </c>
      <c r="J398" s="15">
        <v>-0.91560465957616655</v>
      </c>
      <c r="K398" s="15">
        <v>-0.91505181317965523</v>
      </c>
      <c r="L398" s="15">
        <v>-0.92046585713194451</v>
      </c>
      <c r="M398" s="15">
        <v>-0.91844251616436201</v>
      </c>
      <c r="N398" s="15" t="s">
        <v>595</v>
      </c>
      <c r="O398" s="15" t="s">
        <v>578</v>
      </c>
      <c r="P398" s="15">
        <v>0.6</v>
      </c>
      <c r="Q398" s="15" t="s">
        <v>579</v>
      </c>
      <c r="R398" s="15">
        <v>0.05</v>
      </c>
      <c r="S398" s="15" t="s">
        <v>580</v>
      </c>
      <c r="T398" s="15">
        <v>0</v>
      </c>
      <c r="U398" s="15" t="s">
        <v>450</v>
      </c>
      <c r="V398" s="15">
        <v>200</v>
      </c>
      <c r="W398" s="15" t="s">
        <v>577</v>
      </c>
      <c r="X398" s="15">
        <v>3</v>
      </c>
      <c r="Y398" s="15" t="s">
        <v>581</v>
      </c>
      <c r="Z398" s="15">
        <v>0.8</v>
      </c>
      <c r="AA398" s="15" t="s">
        <v>582</v>
      </c>
      <c r="AB398" s="15">
        <v>0.6</v>
      </c>
      <c r="AC398" s="15" t="s">
        <v>583</v>
      </c>
      <c r="AD398" s="15">
        <v>0.6</v>
      </c>
    </row>
    <row r="399" spans="2:30" x14ac:dyDescent="0.2">
      <c r="B399" s="15">
        <v>34.934459161758433</v>
      </c>
      <c r="C399" s="15">
        <v>1.5126080563225921</v>
      </c>
      <c r="D399" s="15">
        <v>0.58893456459045412</v>
      </c>
      <c r="E399" s="15">
        <v>4.0784909694571533E-2</v>
      </c>
      <c r="F399" s="15">
        <v>-0.92141865553664781</v>
      </c>
      <c r="G399" s="15">
        <v>3.2120494532517979E-3</v>
      </c>
      <c r="H399" s="15">
        <v>4</v>
      </c>
      <c r="I399" s="15">
        <v>-0.92170551614233232</v>
      </c>
      <c r="J399" s="15">
        <v>-0.9183304759614469</v>
      </c>
      <c r="K399" s="15">
        <v>-0.91732507569419464</v>
      </c>
      <c r="L399" s="15">
        <v>-0.92571462000281335</v>
      </c>
      <c r="M399" s="15">
        <v>-0.92401758988245153</v>
      </c>
      <c r="N399" s="15" t="s">
        <v>595</v>
      </c>
      <c r="O399" s="15" t="s">
        <v>578</v>
      </c>
      <c r="P399" s="15">
        <v>1</v>
      </c>
      <c r="Q399" s="15" t="s">
        <v>579</v>
      </c>
      <c r="R399" s="15">
        <v>1E-3</v>
      </c>
      <c r="S399" s="15" t="s">
        <v>580</v>
      </c>
      <c r="T399" s="15">
        <v>1E-3</v>
      </c>
      <c r="U399" s="15" t="s">
        <v>450</v>
      </c>
      <c r="V399" s="15">
        <v>400</v>
      </c>
      <c r="W399" s="15" t="s">
        <v>577</v>
      </c>
      <c r="X399" s="15">
        <v>5</v>
      </c>
      <c r="Y399" s="15" t="s">
        <v>581</v>
      </c>
      <c r="Z399" s="15">
        <v>0.5</v>
      </c>
      <c r="AA399" s="15" t="s">
        <v>582</v>
      </c>
      <c r="AB399" s="15">
        <v>0.6</v>
      </c>
      <c r="AC399" s="15" t="s">
        <v>583</v>
      </c>
      <c r="AD399" s="15">
        <v>1</v>
      </c>
    </row>
    <row r="400" spans="2:30" x14ac:dyDescent="0.2">
      <c r="B400" s="15">
        <v>95.811576175689694</v>
      </c>
      <c r="C400" s="15">
        <v>5.2990587282879007</v>
      </c>
      <c r="D400" s="15">
        <v>1.908940315246582</v>
      </c>
      <c r="E400" s="15">
        <v>0.6902887369961207</v>
      </c>
      <c r="F400" s="15">
        <v>-1.3888437048248281</v>
      </c>
      <c r="G400" s="15">
        <v>6.8349177899426072E-3</v>
      </c>
      <c r="H400" s="15">
        <v>7</v>
      </c>
      <c r="I400" s="15">
        <v>-1.396367398353118</v>
      </c>
      <c r="J400" s="15">
        <v>-1.381247110582027</v>
      </c>
      <c r="K400" s="15">
        <v>-1.3957897502625909</v>
      </c>
      <c r="L400" s="15">
        <v>-1.380538935098564</v>
      </c>
      <c r="M400" s="15">
        <v>-1.390275329827841</v>
      </c>
      <c r="N400" s="15" t="s">
        <v>595</v>
      </c>
      <c r="O400" s="15" t="s">
        <v>578</v>
      </c>
      <c r="P400" s="15">
        <v>0.7</v>
      </c>
      <c r="Q400" s="15" t="s">
        <v>579</v>
      </c>
      <c r="R400" s="15">
        <v>0.1</v>
      </c>
      <c r="S400" s="15" t="s">
        <v>580</v>
      </c>
      <c r="T400" s="15">
        <v>0</v>
      </c>
      <c r="U400" s="15" t="s">
        <v>450</v>
      </c>
      <c r="V400" s="15">
        <v>400</v>
      </c>
      <c r="W400" s="15" t="s">
        <v>577</v>
      </c>
      <c r="X400" s="15">
        <v>13</v>
      </c>
      <c r="Y400" s="15" t="s">
        <v>581</v>
      </c>
      <c r="Z400" s="15">
        <v>0.8</v>
      </c>
      <c r="AA400" s="15" t="s">
        <v>582</v>
      </c>
      <c r="AB400" s="15">
        <v>0.6</v>
      </c>
      <c r="AC400" s="15" t="s">
        <v>583</v>
      </c>
      <c r="AD400" s="15">
        <v>0.7</v>
      </c>
    </row>
    <row r="401" spans="2:30" x14ac:dyDescent="0.2">
      <c r="B401" s="15">
        <v>26.329696369171138</v>
      </c>
      <c r="C401" s="15">
        <v>1.9877571958907341</v>
      </c>
      <c r="D401" s="15">
        <v>0.35547542572021479</v>
      </c>
      <c r="E401" s="15">
        <v>4.5564971647836822E-2</v>
      </c>
      <c r="F401" s="15">
        <v>-0.90387641518827277</v>
      </c>
      <c r="G401" s="15">
        <v>2.6123242089797819E-3</v>
      </c>
      <c r="H401" s="15">
        <v>2</v>
      </c>
      <c r="I401" s="15">
        <v>-0.90495226226515413</v>
      </c>
      <c r="J401" s="15">
        <v>-0.90081470167614996</v>
      </c>
      <c r="K401" s="15">
        <v>-0.90104319530901222</v>
      </c>
      <c r="L401" s="15">
        <v>-0.90769143352556314</v>
      </c>
      <c r="M401" s="15">
        <v>-0.90488048316548386</v>
      </c>
      <c r="N401" s="15" t="s">
        <v>595</v>
      </c>
      <c r="O401" s="15" t="s">
        <v>578</v>
      </c>
      <c r="P401" s="15">
        <v>0.9</v>
      </c>
      <c r="Q401" s="15" t="s">
        <v>579</v>
      </c>
      <c r="R401" s="15">
        <v>1E-3</v>
      </c>
      <c r="S401" s="15" t="s">
        <v>580</v>
      </c>
      <c r="T401" s="15">
        <v>0</v>
      </c>
      <c r="U401" s="15" t="s">
        <v>450</v>
      </c>
      <c r="V401" s="15">
        <v>300</v>
      </c>
      <c r="W401" s="15" t="s">
        <v>577</v>
      </c>
      <c r="X401" s="15">
        <v>3</v>
      </c>
      <c r="Y401" s="15" t="s">
        <v>581</v>
      </c>
      <c r="Z401" s="15">
        <v>0.2</v>
      </c>
      <c r="AA401" s="15" t="s">
        <v>582</v>
      </c>
      <c r="AB401" s="15">
        <v>0.6</v>
      </c>
      <c r="AC401" s="15" t="s">
        <v>583</v>
      </c>
      <c r="AD401" s="15">
        <v>1</v>
      </c>
    </row>
    <row r="402" spans="2:30" x14ac:dyDescent="0.2">
      <c r="B402" s="15">
        <v>2153.0362884998322</v>
      </c>
      <c r="C402" s="15">
        <v>896.65825207548687</v>
      </c>
      <c r="D402" s="15">
        <v>9.6995159149169918</v>
      </c>
      <c r="E402" s="15">
        <v>4.9581226142723613</v>
      </c>
      <c r="F402" s="15"/>
      <c r="G402" s="15"/>
      <c r="H402" s="15">
        <v>8</v>
      </c>
      <c r="I402" s="15">
        <v>-0.93973048307139206</v>
      </c>
      <c r="J402" s="15">
        <v>-0.93556724010819658</v>
      </c>
      <c r="K402" s="15">
        <v>-0.93533097968912182</v>
      </c>
      <c r="L402" s="15">
        <v>-0.94158852804448134</v>
      </c>
      <c r="M402" s="15"/>
      <c r="N402" s="15" t="s">
        <v>595</v>
      </c>
      <c r="O402" s="15" t="s">
        <v>578</v>
      </c>
      <c r="P402" s="15">
        <v>0.6</v>
      </c>
      <c r="Q402" s="15" t="s">
        <v>579</v>
      </c>
      <c r="R402" s="15">
        <v>0</v>
      </c>
      <c r="S402" s="15" t="s">
        <v>580</v>
      </c>
      <c r="T402" s="15">
        <v>1E-3</v>
      </c>
      <c r="U402" s="15" t="s">
        <v>450</v>
      </c>
      <c r="V402" s="15">
        <v>200</v>
      </c>
      <c r="W402" s="15" t="s">
        <v>577</v>
      </c>
      <c r="X402" s="15">
        <v>21</v>
      </c>
      <c r="Y402" s="15" t="s">
        <v>581</v>
      </c>
      <c r="Z402" s="15">
        <v>0.01</v>
      </c>
      <c r="AA402" s="15" t="s">
        <v>582</v>
      </c>
      <c r="AB402" s="15">
        <v>0.6</v>
      </c>
      <c r="AC402" s="15" t="s">
        <v>583</v>
      </c>
      <c r="AD402" s="15">
        <v>0.6</v>
      </c>
    </row>
    <row r="403" spans="2:30" x14ac:dyDescent="0.2">
      <c r="B403" s="15">
        <v>149.51167345047</v>
      </c>
      <c r="C403" s="15">
        <v>5.9342353368493113</v>
      </c>
      <c r="D403" s="15">
        <v>4.3940728187561033</v>
      </c>
      <c r="E403" s="15">
        <v>2.932740482519526</v>
      </c>
      <c r="F403" s="15">
        <v>-0.94561268555655897</v>
      </c>
      <c r="G403" s="15">
        <v>2.575038538797386E-3</v>
      </c>
      <c r="H403" s="15">
        <v>5</v>
      </c>
      <c r="I403" s="15">
        <v>-0.94933137271996704</v>
      </c>
      <c r="J403" s="15">
        <v>-0.94356204493055018</v>
      </c>
      <c r="K403" s="15">
        <v>-0.94202606780006792</v>
      </c>
      <c r="L403" s="15">
        <v>-0.94702808052392673</v>
      </c>
      <c r="M403" s="15">
        <v>-0.94611586180828233</v>
      </c>
      <c r="N403" s="15" t="s">
        <v>595</v>
      </c>
      <c r="O403" s="15" t="s">
        <v>578</v>
      </c>
      <c r="P403" s="15">
        <v>0.7</v>
      </c>
      <c r="Q403" s="15" t="s">
        <v>579</v>
      </c>
      <c r="R403" s="15">
        <v>0.05</v>
      </c>
      <c r="S403" s="15" t="s">
        <v>580</v>
      </c>
      <c r="T403" s="15">
        <v>1</v>
      </c>
      <c r="U403" s="15" t="s">
        <v>450</v>
      </c>
      <c r="V403" s="15">
        <v>200</v>
      </c>
      <c r="W403" s="15" t="s">
        <v>577</v>
      </c>
      <c r="X403" s="15">
        <v>13</v>
      </c>
      <c r="Y403" s="15" t="s">
        <v>581</v>
      </c>
      <c r="Z403" s="15">
        <v>0.2</v>
      </c>
      <c r="AA403" s="15" t="s">
        <v>582</v>
      </c>
      <c r="AB403" s="15">
        <v>0.6</v>
      </c>
      <c r="AC403" s="15" t="s">
        <v>583</v>
      </c>
      <c r="AD403" s="15">
        <v>1</v>
      </c>
    </row>
    <row r="404" spans="2:30" x14ac:dyDescent="0.2">
      <c r="B404" s="15">
        <v>38.747225236892703</v>
      </c>
      <c r="C404" s="15">
        <v>6.0805314947644229</v>
      </c>
      <c r="D404" s="15">
        <v>1.407652997970581</v>
      </c>
      <c r="E404" s="15">
        <v>0.65978731547154668</v>
      </c>
      <c r="F404" s="15">
        <v>-0.901578664268054</v>
      </c>
      <c r="G404" s="15">
        <v>2.6767014904989631E-3</v>
      </c>
      <c r="H404" s="15">
        <v>1</v>
      </c>
      <c r="I404" s="15">
        <v>-0.90242951181442965</v>
      </c>
      <c r="J404" s="15">
        <v>-0.89898322068574954</v>
      </c>
      <c r="K404" s="15">
        <v>-0.89845377555629591</v>
      </c>
      <c r="L404" s="15">
        <v>-0.90584950509993922</v>
      </c>
      <c r="M404" s="15">
        <v>-0.902177308183856</v>
      </c>
      <c r="N404" s="15" t="s">
        <v>595</v>
      </c>
      <c r="O404" s="15" t="s">
        <v>578</v>
      </c>
      <c r="P404" s="15">
        <v>1</v>
      </c>
      <c r="Q404" s="15" t="s">
        <v>579</v>
      </c>
      <c r="R404" s="15">
        <v>0</v>
      </c>
      <c r="S404" s="15" t="s">
        <v>580</v>
      </c>
      <c r="T404" s="15">
        <v>0.01</v>
      </c>
      <c r="U404" s="15" t="s">
        <v>450</v>
      </c>
      <c r="V404" s="15">
        <v>400</v>
      </c>
      <c r="W404" s="15" t="s">
        <v>577</v>
      </c>
      <c r="X404" s="15">
        <v>3</v>
      </c>
      <c r="Y404" s="15" t="s">
        <v>581</v>
      </c>
      <c r="Z404" s="15">
        <v>0.2</v>
      </c>
      <c r="AA404" s="15" t="s">
        <v>582</v>
      </c>
      <c r="AB404" s="15">
        <v>0.6</v>
      </c>
      <c r="AC404" s="15" t="s">
        <v>583</v>
      </c>
      <c r="AD404" s="15">
        <v>0.7</v>
      </c>
    </row>
    <row r="405" spans="2:30" x14ac:dyDescent="0.2">
      <c r="B405" s="15">
        <v>33.406264352798459</v>
      </c>
      <c r="C405" s="15">
        <v>4.0924754383005206</v>
      </c>
      <c r="D405" s="15">
        <v>2.9785496711730959</v>
      </c>
      <c r="E405" s="15">
        <v>2.640156122088126</v>
      </c>
      <c r="F405" s="15">
        <v>-0.96843209301799893</v>
      </c>
      <c r="G405" s="15">
        <v>2.0501580180311888E-3</v>
      </c>
      <c r="H405" s="15">
        <v>6</v>
      </c>
      <c r="I405" s="15">
        <v>-0.96928448438699455</v>
      </c>
      <c r="J405" s="15">
        <v>-0.96620659326088254</v>
      </c>
      <c r="K405" s="15">
        <v>-0.96590890045787392</v>
      </c>
      <c r="L405" s="15">
        <v>-0.97121067652509441</v>
      </c>
      <c r="M405" s="15">
        <v>-0.96954981045914912</v>
      </c>
      <c r="N405" s="15" t="s">
        <v>595</v>
      </c>
      <c r="O405" s="15" t="s">
        <v>578</v>
      </c>
      <c r="P405" s="15">
        <v>1</v>
      </c>
      <c r="Q405" s="15" t="s">
        <v>579</v>
      </c>
      <c r="R405" s="15">
        <v>1E-3</v>
      </c>
      <c r="S405" s="15" t="s">
        <v>580</v>
      </c>
      <c r="T405" s="15">
        <v>1E-3</v>
      </c>
      <c r="U405" s="15" t="s">
        <v>450</v>
      </c>
      <c r="V405" s="15">
        <v>300</v>
      </c>
      <c r="W405" s="15" t="s">
        <v>577</v>
      </c>
      <c r="X405" s="15">
        <v>3</v>
      </c>
      <c r="Y405" s="15" t="s">
        <v>581</v>
      </c>
      <c r="Z405" s="15">
        <v>0.01</v>
      </c>
      <c r="AA405" s="15" t="s">
        <v>582</v>
      </c>
      <c r="AB405" s="15">
        <v>0.6</v>
      </c>
      <c r="AC405" s="15" t="s">
        <v>583</v>
      </c>
      <c r="AD405" s="15">
        <v>0.7</v>
      </c>
    </row>
    <row r="406" spans="2:30" x14ac:dyDescent="0.2">
      <c r="B406" s="15">
        <v>339.72823615074162</v>
      </c>
      <c r="C406" s="15">
        <v>234.12416035841679</v>
      </c>
      <c r="D406" s="15">
        <v>5.9313508033752438</v>
      </c>
      <c r="E406" s="15">
        <v>4.8566589216784513</v>
      </c>
      <c r="F406" s="15"/>
      <c r="G406" s="15"/>
      <c r="H406" s="15">
        <v>8</v>
      </c>
      <c r="I406" s="15"/>
      <c r="J406" s="15">
        <v>-0.9010717136930847</v>
      </c>
      <c r="K406" s="15">
        <v>-0.90092237780919904</v>
      </c>
      <c r="L406" s="15"/>
      <c r="M406" s="15">
        <v>-0.90510283697128857</v>
      </c>
      <c r="N406" s="15" t="s">
        <v>595</v>
      </c>
      <c r="O406" s="15" t="s">
        <v>578</v>
      </c>
      <c r="P406" s="15">
        <v>1</v>
      </c>
      <c r="Q406" s="15" t="s">
        <v>579</v>
      </c>
      <c r="R406" s="15">
        <v>0.01</v>
      </c>
      <c r="S406" s="15" t="s">
        <v>580</v>
      </c>
      <c r="T406" s="15">
        <v>0.05</v>
      </c>
      <c r="U406" s="15" t="s">
        <v>450</v>
      </c>
      <c r="V406" s="15">
        <v>400</v>
      </c>
      <c r="W406" s="15" t="s">
        <v>577</v>
      </c>
      <c r="X406" s="15">
        <v>13</v>
      </c>
      <c r="Y406" s="15" t="s">
        <v>581</v>
      </c>
      <c r="Z406" s="15">
        <v>0.01</v>
      </c>
      <c r="AA406" s="15" t="s">
        <v>582</v>
      </c>
      <c r="AB406" s="15">
        <v>0.6</v>
      </c>
      <c r="AC406" s="15" t="s">
        <v>583</v>
      </c>
      <c r="AD406" s="15">
        <v>0.7</v>
      </c>
    </row>
    <row r="407" spans="2:30" x14ac:dyDescent="0.2">
      <c r="B407" s="15">
        <v>4578.609278154373</v>
      </c>
      <c r="C407" s="15">
        <v>133.61551675125429</v>
      </c>
      <c r="D407" s="15">
        <v>12.8042209148407</v>
      </c>
      <c r="E407" s="15">
        <v>2.2988161830443108</v>
      </c>
      <c r="F407" s="15">
        <v>-0.91292595395632326</v>
      </c>
      <c r="G407" s="15">
        <v>2.5359841068234479E-3</v>
      </c>
      <c r="H407" s="15">
        <v>4</v>
      </c>
      <c r="I407" s="15">
        <v>-0.91384918822379968</v>
      </c>
      <c r="J407" s="15">
        <v>-0.91027304985486257</v>
      </c>
      <c r="K407" s="15">
        <v>-0.90986011286478308</v>
      </c>
      <c r="L407" s="15">
        <v>-0.91662139411675414</v>
      </c>
      <c r="M407" s="15">
        <v>-0.91402602472141714</v>
      </c>
      <c r="N407" s="15" t="s">
        <v>595</v>
      </c>
      <c r="O407" s="15" t="s">
        <v>578</v>
      </c>
      <c r="P407" s="15">
        <v>0.9</v>
      </c>
      <c r="Q407" s="15" t="s">
        <v>579</v>
      </c>
      <c r="R407" s="15">
        <v>0</v>
      </c>
      <c r="S407" s="15" t="s">
        <v>580</v>
      </c>
      <c r="T407" s="15">
        <v>0</v>
      </c>
      <c r="U407" s="15" t="s">
        <v>450</v>
      </c>
      <c r="V407" s="15">
        <v>400</v>
      </c>
      <c r="W407" s="15" t="s">
        <v>577</v>
      </c>
      <c r="X407" s="15">
        <v>21</v>
      </c>
      <c r="Y407" s="15" t="s">
        <v>581</v>
      </c>
      <c r="Z407" s="15">
        <v>0.01</v>
      </c>
      <c r="AA407" s="15" t="s">
        <v>582</v>
      </c>
      <c r="AB407" s="15">
        <v>0.7</v>
      </c>
      <c r="AC407" s="15" t="s">
        <v>583</v>
      </c>
      <c r="AD407" s="15">
        <v>0.8</v>
      </c>
    </row>
    <row r="408" spans="2:30" x14ac:dyDescent="0.2">
      <c r="B408" s="15">
        <v>17.922138929367069</v>
      </c>
      <c r="C408" s="15">
        <v>1.03443040425818</v>
      </c>
      <c r="D408" s="15">
        <v>0.28164968490600578</v>
      </c>
      <c r="E408" s="15">
        <v>6.2257490150892887E-2</v>
      </c>
      <c r="F408" s="15">
        <v>-0.91835184700267336</v>
      </c>
      <c r="G408" s="15">
        <v>2.694363556771915E-3</v>
      </c>
      <c r="H408" s="15">
        <v>5</v>
      </c>
      <c r="I408" s="15">
        <v>-0.92156701501189475</v>
      </c>
      <c r="J408" s="15">
        <v>-0.91560465957616655</v>
      </c>
      <c r="K408" s="15">
        <v>-0.91505181317965523</v>
      </c>
      <c r="L408" s="15">
        <v>-0.92109323108128771</v>
      </c>
      <c r="M408" s="15">
        <v>-0.91844251616436201</v>
      </c>
      <c r="N408" s="15" t="s">
        <v>595</v>
      </c>
      <c r="O408" s="15" t="s">
        <v>578</v>
      </c>
      <c r="P408" s="15">
        <v>0.6</v>
      </c>
      <c r="Q408" s="15" t="s">
        <v>579</v>
      </c>
      <c r="R408" s="15">
        <v>0.05</v>
      </c>
      <c r="S408" s="15" t="s">
        <v>580</v>
      </c>
      <c r="T408" s="15">
        <v>0</v>
      </c>
      <c r="U408" s="15" t="s">
        <v>450</v>
      </c>
      <c r="V408" s="15">
        <v>200</v>
      </c>
      <c r="W408" s="15" t="s">
        <v>577</v>
      </c>
      <c r="X408" s="15">
        <v>3</v>
      </c>
      <c r="Y408" s="15" t="s">
        <v>581</v>
      </c>
      <c r="Z408" s="15">
        <v>0.8</v>
      </c>
      <c r="AA408" s="15" t="s">
        <v>582</v>
      </c>
      <c r="AB408" s="15">
        <v>0.7</v>
      </c>
      <c r="AC408" s="15" t="s">
        <v>583</v>
      </c>
      <c r="AD408" s="15">
        <v>0.6</v>
      </c>
    </row>
    <row r="409" spans="2:30" x14ac:dyDescent="0.2">
      <c r="B409" s="15">
        <v>32.279298639297487</v>
      </c>
      <c r="C409" s="15">
        <v>1.072249643496537</v>
      </c>
      <c r="D409" s="15">
        <v>0.5397791862487793</v>
      </c>
      <c r="E409" s="15">
        <v>5.1642620004390329E-2</v>
      </c>
      <c r="F409" s="15">
        <v>-0.91864566876498799</v>
      </c>
      <c r="G409" s="15">
        <v>2.3993045622939901E-3</v>
      </c>
      <c r="H409" s="15">
        <v>6</v>
      </c>
      <c r="I409" s="15">
        <v>-0.91967478277946602</v>
      </c>
      <c r="J409" s="15">
        <v>-0.9150400228516683</v>
      </c>
      <c r="K409" s="15">
        <v>-0.91667283810169886</v>
      </c>
      <c r="L409" s="15">
        <v>-0.92042885074833525</v>
      </c>
      <c r="M409" s="15">
        <v>-0.92141184934377196</v>
      </c>
      <c r="N409" s="15" t="s">
        <v>595</v>
      </c>
      <c r="O409" s="15" t="s">
        <v>578</v>
      </c>
      <c r="P409" s="15">
        <v>1</v>
      </c>
      <c r="Q409" s="15" t="s">
        <v>579</v>
      </c>
      <c r="R409" s="15">
        <v>1E-3</v>
      </c>
      <c r="S409" s="15" t="s">
        <v>580</v>
      </c>
      <c r="T409" s="15">
        <v>1E-3</v>
      </c>
      <c r="U409" s="15" t="s">
        <v>450</v>
      </c>
      <c r="V409" s="15">
        <v>400</v>
      </c>
      <c r="W409" s="15" t="s">
        <v>577</v>
      </c>
      <c r="X409" s="15">
        <v>5</v>
      </c>
      <c r="Y409" s="15" t="s">
        <v>581</v>
      </c>
      <c r="Z409" s="15">
        <v>0.5</v>
      </c>
      <c r="AA409" s="15" t="s">
        <v>582</v>
      </c>
      <c r="AB409" s="15">
        <v>0.7</v>
      </c>
      <c r="AC409" s="15" t="s">
        <v>583</v>
      </c>
      <c r="AD409" s="15">
        <v>1</v>
      </c>
    </row>
    <row r="410" spans="2:30" x14ac:dyDescent="0.2">
      <c r="B410" s="15">
        <v>84.598324537277222</v>
      </c>
      <c r="C410" s="15">
        <v>1.296988390013875</v>
      </c>
      <c r="D410" s="15">
        <v>1.249572086334229</v>
      </c>
      <c r="E410" s="15">
        <v>0.3011693550337689</v>
      </c>
      <c r="F410" s="15">
        <v>-1.3808278677525849</v>
      </c>
      <c r="G410" s="15">
        <v>2.449890086897469E-3</v>
      </c>
      <c r="H410" s="15">
        <v>9</v>
      </c>
      <c r="I410" s="15">
        <v>-1.3806509182235049</v>
      </c>
      <c r="J410" s="15">
        <v>-1.381626733455614</v>
      </c>
      <c r="K410" s="15">
        <v>-1.3774206490284671</v>
      </c>
      <c r="L410" s="15">
        <v>-1.379588769128828</v>
      </c>
      <c r="M410" s="15">
        <v>-1.384852268926511</v>
      </c>
      <c r="N410" s="15" t="s">
        <v>595</v>
      </c>
      <c r="O410" s="15" t="s">
        <v>578</v>
      </c>
      <c r="P410" s="15">
        <v>0.7</v>
      </c>
      <c r="Q410" s="15" t="s">
        <v>579</v>
      </c>
      <c r="R410" s="15">
        <v>0.1</v>
      </c>
      <c r="S410" s="15" t="s">
        <v>580</v>
      </c>
      <c r="T410" s="15">
        <v>0</v>
      </c>
      <c r="U410" s="15" t="s">
        <v>450</v>
      </c>
      <c r="V410" s="15">
        <v>400</v>
      </c>
      <c r="W410" s="15" t="s">
        <v>577</v>
      </c>
      <c r="X410" s="15">
        <v>13</v>
      </c>
      <c r="Y410" s="15" t="s">
        <v>581</v>
      </c>
      <c r="Z410" s="15">
        <v>0.8</v>
      </c>
      <c r="AA410" s="15" t="s">
        <v>582</v>
      </c>
      <c r="AB410" s="15">
        <v>0.7</v>
      </c>
      <c r="AC410" s="15" t="s">
        <v>583</v>
      </c>
      <c r="AD410" s="15">
        <v>0.7</v>
      </c>
    </row>
    <row r="411" spans="2:30" x14ac:dyDescent="0.2">
      <c r="B411" s="15">
        <v>26.337662220001221</v>
      </c>
      <c r="C411" s="15">
        <v>1.3629747891898161</v>
      </c>
      <c r="D411" s="15">
        <v>0.34199023246765142</v>
      </c>
      <c r="E411" s="15">
        <v>1.1260302367275229E-2</v>
      </c>
      <c r="F411" s="15">
        <v>-0.90387641518827277</v>
      </c>
      <c r="G411" s="15">
        <v>2.6123242089797819E-3</v>
      </c>
      <c r="H411" s="15">
        <v>2</v>
      </c>
      <c r="I411" s="15">
        <v>-0.90495226226515413</v>
      </c>
      <c r="J411" s="15">
        <v>-0.90081470167614996</v>
      </c>
      <c r="K411" s="15">
        <v>-0.90104319530901222</v>
      </c>
      <c r="L411" s="15">
        <v>-0.90769143352556314</v>
      </c>
      <c r="M411" s="15">
        <v>-0.90488048316548386</v>
      </c>
      <c r="N411" s="15" t="s">
        <v>595</v>
      </c>
      <c r="O411" s="15" t="s">
        <v>578</v>
      </c>
      <c r="P411" s="15">
        <v>0.9</v>
      </c>
      <c r="Q411" s="15" t="s">
        <v>579</v>
      </c>
      <c r="R411" s="15">
        <v>1E-3</v>
      </c>
      <c r="S411" s="15" t="s">
        <v>580</v>
      </c>
      <c r="T411" s="15">
        <v>0</v>
      </c>
      <c r="U411" s="15" t="s">
        <v>450</v>
      </c>
      <c r="V411" s="15">
        <v>300</v>
      </c>
      <c r="W411" s="15" t="s">
        <v>577</v>
      </c>
      <c r="X411" s="15">
        <v>3</v>
      </c>
      <c r="Y411" s="15" t="s">
        <v>581</v>
      </c>
      <c r="Z411" s="15">
        <v>0.2</v>
      </c>
      <c r="AA411" s="15" t="s">
        <v>582</v>
      </c>
      <c r="AB411" s="15">
        <v>0.7</v>
      </c>
      <c r="AC411" s="15" t="s">
        <v>583</v>
      </c>
      <c r="AD411" s="15">
        <v>1</v>
      </c>
    </row>
    <row r="412" spans="2:30" x14ac:dyDescent="0.2">
      <c r="B412" s="15">
        <v>2405.0653615951542</v>
      </c>
      <c r="C412" s="15">
        <v>1208.7826456333271</v>
      </c>
      <c r="D412" s="15">
        <v>8.0041423320770271</v>
      </c>
      <c r="E412" s="15">
        <v>6.5703825972166676</v>
      </c>
      <c r="F412" s="15"/>
      <c r="G412" s="15"/>
      <c r="H412" s="15">
        <v>10</v>
      </c>
      <c r="I412" s="15">
        <v>-0.93960608859806127</v>
      </c>
      <c r="J412" s="15">
        <v>-0.93549942254737151</v>
      </c>
      <c r="K412" s="15"/>
      <c r="L412" s="15"/>
      <c r="M412" s="15">
        <v>-0.93763157961669763</v>
      </c>
      <c r="N412" s="15" t="s">
        <v>595</v>
      </c>
      <c r="O412" s="15" t="s">
        <v>578</v>
      </c>
      <c r="P412" s="15">
        <v>0.6</v>
      </c>
      <c r="Q412" s="15" t="s">
        <v>579</v>
      </c>
      <c r="R412" s="15">
        <v>0</v>
      </c>
      <c r="S412" s="15" t="s">
        <v>580</v>
      </c>
      <c r="T412" s="15">
        <v>1E-3</v>
      </c>
      <c r="U412" s="15" t="s">
        <v>450</v>
      </c>
      <c r="V412" s="15">
        <v>200</v>
      </c>
      <c r="W412" s="15" t="s">
        <v>577</v>
      </c>
      <c r="X412" s="15">
        <v>21</v>
      </c>
      <c r="Y412" s="15" t="s">
        <v>581</v>
      </c>
      <c r="Z412" s="15">
        <v>0.01</v>
      </c>
      <c r="AA412" s="15" t="s">
        <v>582</v>
      </c>
      <c r="AB412" s="15">
        <v>0.7</v>
      </c>
      <c r="AC412" s="15" t="s">
        <v>583</v>
      </c>
      <c r="AD412" s="15">
        <v>0.6</v>
      </c>
    </row>
    <row r="413" spans="2:30" x14ac:dyDescent="0.2">
      <c r="B413" s="15">
        <v>149.36597776412961</v>
      </c>
      <c r="C413" s="15">
        <v>5.6621429675245736</v>
      </c>
      <c r="D413" s="15">
        <v>5.0328265190124508</v>
      </c>
      <c r="E413" s="15">
        <v>1.871688402877294</v>
      </c>
      <c r="F413" s="15">
        <v>-0.94501276226685282</v>
      </c>
      <c r="G413" s="15">
        <v>2.7739397948440439E-3</v>
      </c>
      <c r="H413" s="15">
        <v>7</v>
      </c>
      <c r="I413" s="15">
        <v>-0.9482364301046935</v>
      </c>
      <c r="J413" s="15">
        <v>-0.94159955307396337</v>
      </c>
      <c r="K413" s="15">
        <v>-0.94176741285470755</v>
      </c>
      <c r="L413" s="15">
        <v>-0.94672159063950401</v>
      </c>
      <c r="M413" s="15">
        <v>-0.94673882466139547</v>
      </c>
      <c r="N413" s="15" t="s">
        <v>595</v>
      </c>
      <c r="O413" s="15" t="s">
        <v>578</v>
      </c>
      <c r="P413" s="15">
        <v>0.7</v>
      </c>
      <c r="Q413" s="15" t="s">
        <v>579</v>
      </c>
      <c r="R413" s="15">
        <v>0.05</v>
      </c>
      <c r="S413" s="15" t="s">
        <v>580</v>
      </c>
      <c r="T413" s="15">
        <v>1</v>
      </c>
      <c r="U413" s="15" t="s">
        <v>450</v>
      </c>
      <c r="V413" s="15">
        <v>200</v>
      </c>
      <c r="W413" s="15" t="s">
        <v>577</v>
      </c>
      <c r="X413" s="15">
        <v>13</v>
      </c>
      <c r="Y413" s="15" t="s">
        <v>581</v>
      </c>
      <c r="Z413" s="15">
        <v>0.2</v>
      </c>
      <c r="AA413" s="15" t="s">
        <v>582</v>
      </c>
      <c r="AB413" s="15">
        <v>0.7</v>
      </c>
      <c r="AC413" s="15" t="s">
        <v>583</v>
      </c>
      <c r="AD413" s="15">
        <v>1</v>
      </c>
    </row>
    <row r="414" spans="2:30" x14ac:dyDescent="0.2">
      <c r="B414" s="15">
        <v>35.350615310668942</v>
      </c>
      <c r="C414" s="15">
        <v>7.4964455318379297</v>
      </c>
      <c r="D414" s="15">
        <v>2.0482082366943359</v>
      </c>
      <c r="E414" s="15">
        <v>2.0563780751687841</v>
      </c>
      <c r="F414" s="15">
        <v>-0.90157866493809879</v>
      </c>
      <c r="G414" s="15">
        <v>2.6767007082619258E-3</v>
      </c>
      <c r="H414" s="15">
        <v>1</v>
      </c>
      <c r="I414" s="15">
        <v>-0.90242951181442965</v>
      </c>
      <c r="J414" s="15">
        <v>-0.89898322068574954</v>
      </c>
      <c r="K414" s="15">
        <v>-0.89845377890652023</v>
      </c>
      <c r="L414" s="15">
        <v>-0.90584950509993922</v>
      </c>
      <c r="M414" s="15">
        <v>-0.902177308183856</v>
      </c>
      <c r="N414" s="15" t="s">
        <v>595</v>
      </c>
      <c r="O414" s="15" t="s">
        <v>578</v>
      </c>
      <c r="P414" s="15">
        <v>1</v>
      </c>
      <c r="Q414" s="15" t="s">
        <v>579</v>
      </c>
      <c r="R414" s="15">
        <v>0</v>
      </c>
      <c r="S414" s="15" t="s">
        <v>580</v>
      </c>
      <c r="T414" s="15">
        <v>0.01</v>
      </c>
      <c r="U414" s="15" t="s">
        <v>450</v>
      </c>
      <c r="V414" s="15">
        <v>400</v>
      </c>
      <c r="W414" s="15" t="s">
        <v>577</v>
      </c>
      <c r="X414" s="15">
        <v>3</v>
      </c>
      <c r="Y414" s="15" t="s">
        <v>581</v>
      </c>
      <c r="Z414" s="15">
        <v>0.2</v>
      </c>
      <c r="AA414" s="15" t="s">
        <v>582</v>
      </c>
      <c r="AB414" s="15">
        <v>0.7</v>
      </c>
      <c r="AC414" s="15" t="s">
        <v>583</v>
      </c>
      <c r="AD414" s="15">
        <v>0.7</v>
      </c>
    </row>
    <row r="415" spans="2:30" x14ac:dyDescent="0.2">
      <c r="B415" s="15">
        <v>28.32793560028076</v>
      </c>
      <c r="C415" s="15">
        <v>0.99397415307308212</v>
      </c>
      <c r="D415" s="15">
        <v>0.55370349884033199</v>
      </c>
      <c r="E415" s="15">
        <v>0.19477093431012529</v>
      </c>
      <c r="F415" s="15">
        <v>-0.96843209301799893</v>
      </c>
      <c r="G415" s="15">
        <v>2.0501580180311888E-3</v>
      </c>
      <c r="H415" s="15">
        <v>8</v>
      </c>
      <c r="I415" s="15">
        <v>-0.96928448438699455</v>
      </c>
      <c r="J415" s="15">
        <v>-0.96620659326088254</v>
      </c>
      <c r="K415" s="15">
        <v>-0.96590890045787392</v>
      </c>
      <c r="L415" s="15">
        <v>-0.97121067652509441</v>
      </c>
      <c r="M415" s="15">
        <v>-0.96954981045914912</v>
      </c>
      <c r="N415" s="15" t="s">
        <v>595</v>
      </c>
      <c r="O415" s="15" t="s">
        <v>578</v>
      </c>
      <c r="P415" s="15">
        <v>1</v>
      </c>
      <c r="Q415" s="15" t="s">
        <v>579</v>
      </c>
      <c r="R415" s="15">
        <v>1E-3</v>
      </c>
      <c r="S415" s="15" t="s">
        <v>580</v>
      </c>
      <c r="T415" s="15">
        <v>1E-3</v>
      </c>
      <c r="U415" s="15" t="s">
        <v>450</v>
      </c>
      <c r="V415" s="15">
        <v>300</v>
      </c>
      <c r="W415" s="15" t="s">
        <v>577</v>
      </c>
      <c r="X415" s="15">
        <v>3</v>
      </c>
      <c r="Y415" s="15" t="s">
        <v>581</v>
      </c>
      <c r="Z415" s="15">
        <v>0.01</v>
      </c>
      <c r="AA415" s="15" t="s">
        <v>582</v>
      </c>
      <c r="AB415" s="15">
        <v>0.7</v>
      </c>
      <c r="AC415" s="15" t="s">
        <v>583</v>
      </c>
      <c r="AD415" s="15">
        <v>0.7</v>
      </c>
    </row>
    <row r="416" spans="2:30" x14ac:dyDescent="0.2">
      <c r="B416" s="15">
        <v>632.8080504417419</v>
      </c>
      <c r="C416" s="15">
        <v>15.227115049585461</v>
      </c>
      <c r="D416" s="15">
        <v>11.647103404998781</v>
      </c>
      <c r="E416" s="15">
        <v>0.80583870659707557</v>
      </c>
      <c r="F416" s="15">
        <v>-0.90401925135264727</v>
      </c>
      <c r="G416" s="15">
        <v>2.7395504830067161E-3</v>
      </c>
      <c r="H416" s="15">
        <v>3</v>
      </c>
      <c r="I416" s="15">
        <v>-0.90552959062709282</v>
      </c>
      <c r="J416" s="15">
        <v>-0.90090265514534895</v>
      </c>
      <c r="K416" s="15">
        <v>-0.90092275578500813</v>
      </c>
      <c r="L416" s="15">
        <v>-0.90793350351936619</v>
      </c>
      <c r="M416" s="15">
        <v>-0.90480775168642025</v>
      </c>
      <c r="N416" s="15" t="s">
        <v>595</v>
      </c>
      <c r="O416" s="15" t="s">
        <v>578</v>
      </c>
      <c r="P416" s="15">
        <v>1</v>
      </c>
      <c r="Q416" s="15" t="s">
        <v>579</v>
      </c>
      <c r="R416" s="15">
        <v>0.01</v>
      </c>
      <c r="S416" s="15" t="s">
        <v>580</v>
      </c>
      <c r="T416" s="15">
        <v>0.05</v>
      </c>
      <c r="U416" s="15" t="s">
        <v>450</v>
      </c>
      <c r="V416" s="15">
        <v>400</v>
      </c>
      <c r="W416" s="15" t="s">
        <v>577</v>
      </c>
      <c r="X416" s="15">
        <v>13</v>
      </c>
      <c r="Y416" s="15" t="s">
        <v>581</v>
      </c>
      <c r="Z416" s="15">
        <v>0.01</v>
      </c>
      <c r="AA416" s="15" t="s">
        <v>582</v>
      </c>
      <c r="AB416" s="15">
        <v>0.7</v>
      </c>
      <c r="AC416" s="15" t="s">
        <v>583</v>
      </c>
      <c r="AD416" s="15">
        <v>0.7</v>
      </c>
    </row>
    <row r="417" spans="2:30" x14ac:dyDescent="0.2">
      <c r="B417" s="15">
        <v>3989.4557998657228</v>
      </c>
      <c r="C417" s="15">
        <v>99.559934013174555</v>
      </c>
      <c r="D417" s="15">
        <v>12.27576265335083</v>
      </c>
      <c r="E417" s="15">
        <v>2.232917746247677</v>
      </c>
      <c r="F417" s="15">
        <v>-0.91278854063210524</v>
      </c>
      <c r="G417" s="15">
        <v>2.5196819102065748E-3</v>
      </c>
      <c r="H417" s="15">
        <v>3</v>
      </c>
      <c r="I417" s="15">
        <v>-0.91386858111179148</v>
      </c>
      <c r="J417" s="15">
        <v>-0.91010822867229502</v>
      </c>
      <c r="K417" s="15">
        <v>-0.90975814590975612</v>
      </c>
      <c r="L417" s="15">
        <v>-0.9164245928728344</v>
      </c>
      <c r="M417" s="15">
        <v>-0.91378315459384907</v>
      </c>
      <c r="N417" s="15" t="s">
        <v>595</v>
      </c>
      <c r="O417" s="15" t="s">
        <v>578</v>
      </c>
      <c r="P417" s="15">
        <v>0.9</v>
      </c>
      <c r="Q417" s="15" t="s">
        <v>579</v>
      </c>
      <c r="R417" s="15">
        <v>0</v>
      </c>
      <c r="S417" s="15" t="s">
        <v>580</v>
      </c>
      <c r="T417" s="15">
        <v>0</v>
      </c>
      <c r="U417" s="15" t="s">
        <v>450</v>
      </c>
      <c r="V417" s="15">
        <v>400</v>
      </c>
      <c r="W417" s="15" t="s">
        <v>577</v>
      </c>
      <c r="X417" s="15">
        <v>21</v>
      </c>
      <c r="Y417" s="15" t="s">
        <v>581</v>
      </c>
      <c r="Z417" s="15">
        <v>0.01</v>
      </c>
      <c r="AA417" s="15" t="s">
        <v>582</v>
      </c>
      <c r="AB417" s="15">
        <v>0.8</v>
      </c>
      <c r="AC417" s="15" t="s">
        <v>583</v>
      </c>
      <c r="AD417" s="15">
        <v>0.8</v>
      </c>
    </row>
    <row r="418" spans="2:30" x14ac:dyDescent="0.2">
      <c r="B418" s="15">
        <v>15.98439021110535</v>
      </c>
      <c r="C418" s="15">
        <v>0.60956897400737731</v>
      </c>
      <c r="D418" s="15">
        <v>0.22286019325256351</v>
      </c>
      <c r="E418" s="15">
        <v>2.4091187868196379E-2</v>
      </c>
      <c r="F418" s="15">
        <v>-0.91835184700267336</v>
      </c>
      <c r="G418" s="15">
        <v>2.694363556771915E-3</v>
      </c>
      <c r="H418" s="15">
        <v>5</v>
      </c>
      <c r="I418" s="15">
        <v>-0.92156701501189475</v>
      </c>
      <c r="J418" s="15">
        <v>-0.91560465957616655</v>
      </c>
      <c r="K418" s="15">
        <v>-0.91505181317965523</v>
      </c>
      <c r="L418" s="15">
        <v>-0.92109323108128771</v>
      </c>
      <c r="M418" s="15">
        <v>-0.91844251616436201</v>
      </c>
      <c r="N418" s="15" t="s">
        <v>595</v>
      </c>
      <c r="O418" s="15" t="s">
        <v>578</v>
      </c>
      <c r="P418" s="15">
        <v>0.6</v>
      </c>
      <c r="Q418" s="15" t="s">
        <v>579</v>
      </c>
      <c r="R418" s="15">
        <v>0.05</v>
      </c>
      <c r="S418" s="15" t="s">
        <v>580</v>
      </c>
      <c r="T418" s="15">
        <v>0</v>
      </c>
      <c r="U418" s="15" t="s">
        <v>450</v>
      </c>
      <c r="V418" s="15">
        <v>200</v>
      </c>
      <c r="W418" s="15" t="s">
        <v>577</v>
      </c>
      <c r="X418" s="15">
        <v>3</v>
      </c>
      <c r="Y418" s="15" t="s">
        <v>581</v>
      </c>
      <c r="Z418" s="15">
        <v>0.8</v>
      </c>
      <c r="AA418" s="15" t="s">
        <v>582</v>
      </c>
      <c r="AB418" s="15">
        <v>0.8</v>
      </c>
      <c r="AC418" s="15" t="s">
        <v>583</v>
      </c>
      <c r="AD418" s="15">
        <v>0.6</v>
      </c>
    </row>
    <row r="419" spans="2:30" x14ac:dyDescent="0.2">
      <c r="B419" s="15">
        <v>27.86623554229736</v>
      </c>
      <c r="C419" s="15">
        <v>1.4318426576246699</v>
      </c>
      <c r="D419" s="15">
        <v>0.45923018455505371</v>
      </c>
      <c r="E419" s="15">
        <v>1.7859263513756621E-2</v>
      </c>
      <c r="F419" s="15">
        <v>-0.91738513313886005</v>
      </c>
      <c r="G419" s="15">
        <v>2.652723187845752E-3</v>
      </c>
      <c r="H419" s="15">
        <v>4</v>
      </c>
      <c r="I419" s="15">
        <v>-0.91765682069011867</v>
      </c>
      <c r="J419" s="15">
        <v>-0.9156287770966649</v>
      </c>
      <c r="K419" s="15">
        <v>-0.9143515285518834</v>
      </c>
      <c r="L419" s="15">
        <v>-0.92215583774286936</v>
      </c>
      <c r="M419" s="15">
        <v>-0.91713270161276439</v>
      </c>
      <c r="N419" s="15" t="s">
        <v>595</v>
      </c>
      <c r="O419" s="15" t="s">
        <v>578</v>
      </c>
      <c r="P419" s="15">
        <v>1</v>
      </c>
      <c r="Q419" s="15" t="s">
        <v>579</v>
      </c>
      <c r="R419" s="15">
        <v>1E-3</v>
      </c>
      <c r="S419" s="15" t="s">
        <v>580</v>
      </c>
      <c r="T419" s="15">
        <v>1E-3</v>
      </c>
      <c r="U419" s="15" t="s">
        <v>450</v>
      </c>
      <c r="V419" s="15">
        <v>400</v>
      </c>
      <c r="W419" s="15" t="s">
        <v>577</v>
      </c>
      <c r="X419" s="15">
        <v>5</v>
      </c>
      <c r="Y419" s="15" t="s">
        <v>581</v>
      </c>
      <c r="Z419" s="15">
        <v>0.5</v>
      </c>
      <c r="AA419" s="15" t="s">
        <v>582</v>
      </c>
      <c r="AB419" s="15">
        <v>0.8</v>
      </c>
      <c r="AC419" s="15" t="s">
        <v>583</v>
      </c>
      <c r="AD419" s="15">
        <v>1</v>
      </c>
    </row>
    <row r="420" spans="2:30" x14ac:dyDescent="0.2">
      <c r="B420" s="15">
        <v>76.43903484344483</v>
      </c>
      <c r="C420" s="15">
        <v>2.5246104749490819</v>
      </c>
      <c r="D420" s="15">
        <v>0.79704346656799319</v>
      </c>
      <c r="E420" s="15">
        <v>3.3367698692934031E-2</v>
      </c>
      <c r="F420" s="15">
        <v>-1.372591505998588</v>
      </c>
      <c r="G420" s="15">
        <v>6.8454365715443213E-3</v>
      </c>
      <c r="H420" s="15">
        <v>8</v>
      </c>
      <c r="I420" s="15">
        <v>-1.379878238277124</v>
      </c>
      <c r="J420" s="15">
        <v>-1.364533514758852</v>
      </c>
      <c r="K420" s="15">
        <v>-1.3675394265881491</v>
      </c>
      <c r="L420" s="15">
        <v>-1.3815774314307221</v>
      </c>
      <c r="M420" s="15">
        <v>-1.3694289189380939</v>
      </c>
      <c r="N420" s="15" t="s">
        <v>595</v>
      </c>
      <c r="O420" s="15" t="s">
        <v>578</v>
      </c>
      <c r="P420" s="15">
        <v>0.7</v>
      </c>
      <c r="Q420" s="15" t="s">
        <v>579</v>
      </c>
      <c r="R420" s="15">
        <v>0.1</v>
      </c>
      <c r="S420" s="15" t="s">
        <v>580</v>
      </c>
      <c r="T420" s="15">
        <v>0</v>
      </c>
      <c r="U420" s="15" t="s">
        <v>450</v>
      </c>
      <c r="V420" s="15">
        <v>400</v>
      </c>
      <c r="W420" s="15" t="s">
        <v>577</v>
      </c>
      <c r="X420" s="15">
        <v>13</v>
      </c>
      <c r="Y420" s="15" t="s">
        <v>581</v>
      </c>
      <c r="Z420" s="15">
        <v>0.8</v>
      </c>
      <c r="AA420" s="15" t="s">
        <v>582</v>
      </c>
      <c r="AB420" s="15">
        <v>0.8</v>
      </c>
      <c r="AC420" s="15" t="s">
        <v>583</v>
      </c>
      <c r="AD420" s="15">
        <v>0.7</v>
      </c>
    </row>
    <row r="421" spans="2:30" x14ac:dyDescent="0.2">
      <c r="B421" s="15">
        <v>24.546471023559569</v>
      </c>
      <c r="C421" s="15">
        <v>1.349861102153505</v>
      </c>
      <c r="D421" s="15">
        <v>0.34344053268432623</v>
      </c>
      <c r="E421" s="15">
        <v>4.7370348966061418E-2</v>
      </c>
      <c r="F421" s="15">
        <v>-0.90387641518827277</v>
      </c>
      <c r="G421" s="15">
        <v>2.6123242089797819E-3</v>
      </c>
      <c r="H421" s="15">
        <v>2</v>
      </c>
      <c r="I421" s="15">
        <v>-0.90495226226515413</v>
      </c>
      <c r="J421" s="15">
        <v>-0.90081470167614996</v>
      </c>
      <c r="K421" s="15">
        <v>-0.90104319530901222</v>
      </c>
      <c r="L421" s="15">
        <v>-0.90769143352556314</v>
      </c>
      <c r="M421" s="15">
        <v>-0.90488048316548386</v>
      </c>
      <c r="N421" s="15" t="s">
        <v>595</v>
      </c>
      <c r="O421" s="15" t="s">
        <v>578</v>
      </c>
      <c r="P421" s="15">
        <v>0.9</v>
      </c>
      <c r="Q421" s="15" t="s">
        <v>579</v>
      </c>
      <c r="R421" s="15">
        <v>1E-3</v>
      </c>
      <c r="S421" s="15" t="s">
        <v>580</v>
      </c>
      <c r="T421" s="15">
        <v>0</v>
      </c>
      <c r="U421" s="15" t="s">
        <v>450</v>
      </c>
      <c r="V421" s="15">
        <v>300</v>
      </c>
      <c r="W421" s="15" t="s">
        <v>577</v>
      </c>
      <c r="X421" s="15">
        <v>3</v>
      </c>
      <c r="Y421" s="15" t="s">
        <v>581</v>
      </c>
      <c r="Z421" s="15">
        <v>0.2</v>
      </c>
      <c r="AA421" s="15" t="s">
        <v>582</v>
      </c>
      <c r="AB421" s="15">
        <v>0.8</v>
      </c>
      <c r="AC421" s="15" t="s">
        <v>583</v>
      </c>
      <c r="AD421" s="15">
        <v>1</v>
      </c>
    </row>
    <row r="422" spans="2:30" x14ac:dyDescent="0.2">
      <c r="B422" s="15">
        <v>2268.140215492248</v>
      </c>
      <c r="C422" s="15">
        <v>1027.300625024302</v>
      </c>
      <c r="D422" s="15">
        <v>7.805456972122192</v>
      </c>
      <c r="E422" s="15">
        <v>6.3853201289740404</v>
      </c>
      <c r="F422" s="15"/>
      <c r="G422" s="15"/>
      <c r="H422" s="15">
        <v>9</v>
      </c>
      <c r="I422" s="15"/>
      <c r="J422" s="15">
        <v>-0.93491662354012317</v>
      </c>
      <c r="K422" s="15">
        <v>-0.93459938552049326</v>
      </c>
      <c r="L422" s="15"/>
      <c r="M422" s="15">
        <v>-0.93730986526820992</v>
      </c>
      <c r="N422" s="15" t="s">
        <v>595</v>
      </c>
      <c r="O422" s="15" t="s">
        <v>578</v>
      </c>
      <c r="P422" s="15">
        <v>0.6</v>
      </c>
      <c r="Q422" s="15" t="s">
        <v>579</v>
      </c>
      <c r="R422" s="15">
        <v>0</v>
      </c>
      <c r="S422" s="15" t="s">
        <v>580</v>
      </c>
      <c r="T422" s="15">
        <v>1E-3</v>
      </c>
      <c r="U422" s="15" t="s">
        <v>450</v>
      </c>
      <c r="V422" s="15">
        <v>200</v>
      </c>
      <c r="W422" s="15" t="s">
        <v>577</v>
      </c>
      <c r="X422" s="15">
        <v>21</v>
      </c>
      <c r="Y422" s="15" t="s">
        <v>581</v>
      </c>
      <c r="Z422" s="15">
        <v>0.01</v>
      </c>
      <c r="AA422" s="15" t="s">
        <v>582</v>
      </c>
      <c r="AB422" s="15">
        <v>0.8</v>
      </c>
      <c r="AC422" s="15" t="s">
        <v>583</v>
      </c>
      <c r="AD422" s="15">
        <v>0.6</v>
      </c>
    </row>
    <row r="423" spans="2:30" x14ac:dyDescent="0.2">
      <c r="B423" s="15">
        <v>123.2276390552521</v>
      </c>
      <c r="C423" s="15">
        <v>7.278766464056118</v>
      </c>
      <c r="D423" s="15">
        <v>2.604130554199219</v>
      </c>
      <c r="E423" s="15">
        <v>4.2681559013981629E-2</v>
      </c>
      <c r="F423" s="15">
        <v>-0.94352367847542307</v>
      </c>
      <c r="G423" s="15">
        <v>1.6645198793889229E-3</v>
      </c>
      <c r="H423" s="15">
        <v>6</v>
      </c>
      <c r="I423" s="15">
        <v>-0.94521026405496433</v>
      </c>
      <c r="J423" s="15">
        <v>-0.94166232682102347</v>
      </c>
      <c r="K423" s="15">
        <v>-0.94161037951172266</v>
      </c>
      <c r="L423" s="15">
        <v>-0.94549053560394003</v>
      </c>
      <c r="M423" s="15">
        <v>-0.94364488638546551</v>
      </c>
      <c r="N423" s="15" t="s">
        <v>595</v>
      </c>
      <c r="O423" s="15" t="s">
        <v>578</v>
      </c>
      <c r="P423" s="15">
        <v>0.7</v>
      </c>
      <c r="Q423" s="15" t="s">
        <v>579</v>
      </c>
      <c r="R423" s="15">
        <v>0.05</v>
      </c>
      <c r="S423" s="15" t="s">
        <v>580</v>
      </c>
      <c r="T423" s="15">
        <v>1</v>
      </c>
      <c r="U423" s="15" t="s">
        <v>450</v>
      </c>
      <c r="V423" s="15">
        <v>200</v>
      </c>
      <c r="W423" s="15" t="s">
        <v>577</v>
      </c>
      <c r="X423" s="15">
        <v>13</v>
      </c>
      <c r="Y423" s="15" t="s">
        <v>581</v>
      </c>
      <c r="Z423" s="15">
        <v>0.2</v>
      </c>
      <c r="AA423" s="15" t="s">
        <v>582</v>
      </c>
      <c r="AB423" s="15">
        <v>0.8</v>
      </c>
      <c r="AC423" s="15" t="s">
        <v>583</v>
      </c>
      <c r="AD423" s="15">
        <v>1</v>
      </c>
    </row>
    <row r="424" spans="2:30" x14ac:dyDescent="0.2">
      <c r="B424" s="15">
        <v>30.139517116546632</v>
      </c>
      <c r="C424" s="15">
        <v>4.4797634217320281</v>
      </c>
      <c r="D424" s="15">
        <v>0.71600837707519527</v>
      </c>
      <c r="E424" s="15">
        <v>0.30109945186272602</v>
      </c>
      <c r="F424" s="15">
        <v>-0.90147338153970313</v>
      </c>
      <c r="G424" s="15">
        <v>2.8048283903883749E-3</v>
      </c>
      <c r="H424" s="15">
        <v>1</v>
      </c>
      <c r="I424" s="15">
        <v>-0.90242951181442965</v>
      </c>
      <c r="J424" s="15">
        <v>-0.89898322068574954</v>
      </c>
      <c r="K424" s="15">
        <v>-0.8979273619145417</v>
      </c>
      <c r="L424" s="15">
        <v>-0.90584950509993922</v>
      </c>
      <c r="M424" s="15">
        <v>-0.902177308183856</v>
      </c>
      <c r="N424" s="15" t="s">
        <v>595</v>
      </c>
      <c r="O424" s="15" t="s">
        <v>578</v>
      </c>
      <c r="P424" s="15">
        <v>1</v>
      </c>
      <c r="Q424" s="15" t="s">
        <v>579</v>
      </c>
      <c r="R424" s="15">
        <v>0</v>
      </c>
      <c r="S424" s="15" t="s">
        <v>580</v>
      </c>
      <c r="T424" s="15">
        <v>0.01</v>
      </c>
      <c r="U424" s="15" t="s">
        <v>450</v>
      </c>
      <c r="V424" s="15">
        <v>400</v>
      </c>
      <c r="W424" s="15" t="s">
        <v>577</v>
      </c>
      <c r="X424" s="15">
        <v>3</v>
      </c>
      <c r="Y424" s="15" t="s">
        <v>581</v>
      </c>
      <c r="Z424" s="15">
        <v>0.2</v>
      </c>
      <c r="AA424" s="15" t="s">
        <v>582</v>
      </c>
      <c r="AB424" s="15">
        <v>0.8</v>
      </c>
      <c r="AC424" s="15" t="s">
        <v>583</v>
      </c>
      <c r="AD424" s="15">
        <v>0.7</v>
      </c>
    </row>
    <row r="425" spans="2:30" x14ac:dyDescent="0.2">
      <c r="B425" s="15">
        <v>22.224516868591309</v>
      </c>
      <c r="C425" s="15">
        <v>0.39311435903067582</v>
      </c>
      <c r="D425" s="15">
        <v>0.50542602539062498</v>
      </c>
      <c r="E425" s="15">
        <v>0.15455174418617659</v>
      </c>
      <c r="F425" s="15">
        <v>-0.96843209301799893</v>
      </c>
      <c r="G425" s="15">
        <v>2.0501580180311888E-3</v>
      </c>
      <c r="H425" s="15">
        <v>7</v>
      </c>
      <c r="I425" s="15">
        <v>-0.96928448438699455</v>
      </c>
      <c r="J425" s="15">
        <v>-0.96620659326088254</v>
      </c>
      <c r="K425" s="15">
        <v>-0.96590890045787392</v>
      </c>
      <c r="L425" s="15">
        <v>-0.97121067652509441</v>
      </c>
      <c r="M425" s="15">
        <v>-0.96954981045914912</v>
      </c>
      <c r="N425" s="15" t="s">
        <v>595</v>
      </c>
      <c r="O425" s="15" t="s">
        <v>578</v>
      </c>
      <c r="P425" s="15">
        <v>1</v>
      </c>
      <c r="Q425" s="15" t="s">
        <v>579</v>
      </c>
      <c r="R425" s="15">
        <v>1E-3</v>
      </c>
      <c r="S425" s="15" t="s">
        <v>580</v>
      </c>
      <c r="T425" s="15">
        <v>1E-3</v>
      </c>
      <c r="U425" s="15" t="s">
        <v>450</v>
      </c>
      <c r="V425" s="15">
        <v>300</v>
      </c>
      <c r="W425" s="15" t="s">
        <v>577</v>
      </c>
      <c r="X425" s="15">
        <v>3</v>
      </c>
      <c r="Y425" s="15" t="s">
        <v>581</v>
      </c>
      <c r="Z425" s="15">
        <v>0.01</v>
      </c>
      <c r="AA425" s="15" t="s">
        <v>582</v>
      </c>
      <c r="AB425" s="15">
        <v>0.8</v>
      </c>
      <c r="AC425" s="15" t="s">
        <v>583</v>
      </c>
      <c r="AD425" s="15">
        <v>0.7</v>
      </c>
    </row>
    <row r="426" spans="2:30" x14ac:dyDescent="0.2">
      <c r="B426" s="15">
        <v>324.3436682701111</v>
      </c>
      <c r="C426" s="15">
        <v>6.6363995671267713</v>
      </c>
      <c r="D426" s="15">
        <v>0</v>
      </c>
      <c r="E426" s="15">
        <v>0</v>
      </c>
      <c r="F426" s="15"/>
      <c r="G426" s="15"/>
      <c r="H426" s="15">
        <v>9</v>
      </c>
      <c r="I426" s="15"/>
      <c r="J426" s="15"/>
      <c r="K426" s="15"/>
      <c r="L426" s="15"/>
      <c r="M426" s="15"/>
      <c r="N426" s="15" t="s">
        <v>595</v>
      </c>
      <c r="O426" s="15" t="s">
        <v>578</v>
      </c>
      <c r="P426" s="15">
        <v>1</v>
      </c>
      <c r="Q426" s="15" t="s">
        <v>579</v>
      </c>
      <c r="R426" s="15">
        <v>0.01</v>
      </c>
      <c r="S426" s="15" t="s">
        <v>580</v>
      </c>
      <c r="T426" s="15">
        <v>0.05</v>
      </c>
      <c r="U426" s="15" t="s">
        <v>450</v>
      </c>
      <c r="V426" s="15">
        <v>400</v>
      </c>
      <c r="W426" s="15" t="s">
        <v>577</v>
      </c>
      <c r="X426" s="15">
        <v>13</v>
      </c>
      <c r="Y426" s="15" t="s">
        <v>581</v>
      </c>
      <c r="Z426" s="15">
        <v>0.01</v>
      </c>
      <c r="AA426" s="15" t="s">
        <v>582</v>
      </c>
      <c r="AB426" s="15">
        <v>0.8</v>
      </c>
      <c r="AC426" s="15" t="s">
        <v>583</v>
      </c>
      <c r="AD426" s="15">
        <v>0.7</v>
      </c>
    </row>
    <row r="427" spans="2:30" x14ac:dyDescent="0.2">
      <c r="B427" s="15">
        <v>3402.1185842037198</v>
      </c>
      <c r="C427" s="15">
        <v>25.903919310481431</v>
      </c>
      <c r="D427" s="15">
        <v>12.31421236991882</v>
      </c>
      <c r="E427" s="15">
        <v>1.809595305395395</v>
      </c>
      <c r="F427" s="15">
        <v>-0.91241745100087002</v>
      </c>
      <c r="G427" s="15">
        <v>2.5690012029138841E-3</v>
      </c>
      <c r="H427" s="15">
        <v>4</v>
      </c>
      <c r="I427" s="15">
        <v>-0.91340606636864052</v>
      </c>
      <c r="J427" s="15">
        <v>-0.91018886661812914</v>
      </c>
      <c r="K427" s="15">
        <v>-0.90909094230048326</v>
      </c>
      <c r="L427" s="15">
        <v>-0.91636845298775793</v>
      </c>
      <c r="M427" s="15">
        <v>-0.91303292672933978</v>
      </c>
      <c r="N427" s="15" t="s">
        <v>595</v>
      </c>
      <c r="O427" s="15" t="s">
        <v>578</v>
      </c>
      <c r="P427" s="15">
        <v>0.9</v>
      </c>
      <c r="Q427" s="15" t="s">
        <v>579</v>
      </c>
      <c r="R427" s="15">
        <v>0</v>
      </c>
      <c r="S427" s="15" t="s">
        <v>580</v>
      </c>
      <c r="T427" s="15">
        <v>0</v>
      </c>
      <c r="U427" s="15" t="s">
        <v>450</v>
      </c>
      <c r="V427" s="15">
        <v>400</v>
      </c>
      <c r="W427" s="15" t="s">
        <v>577</v>
      </c>
      <c r="X427" s="15">
        <v>21</v>
      </c>
      <c r="Y427" s="15" t="s">
        <v>581</v>
      </c>
      <c r="Z427" s="15">
        <v>0.01</v>
      </c>
      <c r="AA427" s="15" t="s">
        <v>582</v>
      </c>
      <c r="AB427" s="15">
        <v>0.9</v>
      </c>
      <c r="AC427" s="15" t="s">
        <v>583</v>
      </c>
      <c r="AD427" s="15">
        <v>0.8</v>
      </c>
    </row>
    <row r="428" spans="2:30" x14ac:dyDescent="0.2">
      <c r="B428" s="15">
        <v>16.799875354766851</v>
      </c>
      <c r="C428" s="15">
        <v>0.67101349985890213</v>
      </c>
      <c r="D428" s="15">
        <v>0.24694213867187501</v>
      </c>
      <c r="E428" s="15">
        <v>4.0553437427847602E-2</v>
      </c>
      <c r="F428" s="15">
        <v>-0.91834846853515462</v>
      </c>
      <c r="G428" s="15">
        <v>2.6903375161602071E-3</v>
      </c>
      <c r="H428" s="15">
        <v>6</v>
      </c>
      <c r="I428" s="15">
        <v>-0.92155012267430125</v>
      </c>
      <c r="J428" s="15">
        <v>-0.91560465957616655</v>
      </c>
      <c r="K428" s="15">
        <v>-0.91505181317965523</v>
      </c>
      <c r="L428" s="15">
        <v>-0.92109323108128771</v>
      </c>
      <c r="M428" s="15">
        <v>-0.91844251616436201</v>
      </c>
      <c r="N428" s="15" t="s">
        <v>595</v>
      </c>
      <c r="O428" s="15" t="s">
        <v>578</v>
      </c>
      <c r="P428" s="15">
        <v>0.6</v>
      </c>
      <c r="Q428" s="15" t="s">
        <v>579</v>
      </c>
      <c r="R428" s="15">
        <v>0.05</v>
      </c>
      <c r="S428" s="15" t="s">
        <v>580</v>
      </c>
      <c r="T428" s="15">
        <v>0</v>
      </c>
      <c r="U428" s="15" t="s">
        <v>450</v>
      </c>
      <c r="V428" s="15">
        <v>200</v>
      </c>
      <c r="W428" s="15" t="s">
        <v>577</v>
      </c>
      <c r="X428" s="15">
        <v>3</v>
      </c>
      <c r="Y428" s="15" t="s">
        <v>581</v>
      </c>
      <c r="Z428" s="15">
        <v>0.8</v>
      </c>
      <c r="AA428" s="15" t="s">
        <v>582</v>
      </c>
      <c r="AB428" s="15">
        <v>0.9</v>
      </c>
      <c r="AC428" s="15" t="s">
        <v>583</v>
      </c>
      <c r="AD428" s="15">
        <v>0.6</v>
      </c>
    </row>
    <row r="429" spans="2:30" x14ac:dyDescent="0.2">
      <c r="B429" s="15">
        <v>26.359633350372309</v>
      </c>
      <c r="C429" s="15">
        <v>1.2127196593348371</v>
      </c>
      <c r="D429" s="15">
        <v>0.44207148551940922</v>
      </c>
      <c r="E429" s="15">
        <v>4.4874404407305141E-2</v>
      </c>
      <c r="F429" s="15">
        <v>-0.91581144278288351</v>
      </c>
      <c r="G429" s="15">
        <v>2.3789897772324522E-3</v>
      </c>
      <c r="H429" s="15">
        <v>5</v>
      </c>
      <c r="I429" s="15">
        <v>-0.91343696915124395</v>
      </c>
      <c r="J429" s="15">
        <v>-0.9152458407838443</v>
      </c>
      <c r="K429" s="15">
        <v>-0.9132619304500158</v>
      </c>
      <c r="L429" s="15">
        <v>-0.9191775780605691</v>
      </c>
      <c r="M429" s="15">
        <v>-0.91793489546874441</v>
      </c>
      <c r="N429" s="15" t="s">
        <v>595</v>
      </c>
      <c r="O429" s="15" t="s">
        <v>578</v>
      </c>
      <c r="P429" s="15">
        <v>1</v>
      </c>
      <c r="Q429" s="15" t="s">
        <v>579</v>
      </c>
      <c r="R429" s="15">
        <v>1E-3</v>
      </c>
      <c r="S429" s="15" t="s">
        <v>580</v>
      </c>
      <c r="T429" s="15">
        <v>1E-3</v>
      </c>
      <c r="U429" s="15" t="s">
        <v>450</v>
      </c>
      <c r="V429" s="15">
        <v>400</v>
      </c>
      <c r="W429" s="15" t="s">
        <v>577</v>
      </c>
      <c r="X429" s="15">
        <v>5</v>
      </c>
      <c r="Y429" s="15" t="s">
        <v>581</v>
      </c>
      <c r="Z429" s="15">
        <v>0.5</v>
      </c>
      <c r="AA429" s="15" t="s">
        <v>582</v>
      </c>
      <c r="AB429" s="15">
        <v>0.9</v>
      </c>
      <c r="AC429" s="15" t="s">
        <v>583</v>
      </c>
      <c r="AD429" s="15">
        <v>1</v>
      </c>
    </row>
    <row r="430" spans="2:30" x14ac:dyDescent="0.2">
      <c r="B430" s="15">
        <v>74.357670450210577</v>
      </c>
      <c r="C430" s="15">
        <v>2.8668295223353142</v>
      </c>
      <c r="D430" s="15">
        <v>0.88614745140075679</v>
      </c>
      <c r="E430" s="15">
        <v>0.18765314651699971</v>
      </c>
      <c r="F430" s="15">
        <v>-1.367737272795968</v>
      </c>
      <c r="G430" s="15">
        <v>6.0448872711404283E-3</v>
      </c>
      <c r="H430" s="15">
        <v>9</v>
      </c>
      <c r="I430" s="15">
        <v>-1.366624387890921</v>
      </c>
      <c r="J430" s="15">
        <v>-1.3745686495704881</v>
      </c>
      <c r="K430" s="15">
        <v>-1.3691384516889169</v>
      </c>
      <c r="L430" s="15">
        <v>-1.3715084991040321</v>
      </c>
      <c r="M430" s="15">
        <v>-1.3568463757254801</v>
      </c>
      <c r="N430" s="15" t="s">
        <v>595</v>
      </c>
      <c r="O430" s="15" t="s">
        <v>578</v>
      </c>
      <c r="P430" s="15">
        <v>0.7</v>
      </c>
      <c r="Q430" s="15" t="s">
        <v>579</v>
      </c>
      <c r="R430" s="15">
        <v>0.1</v>
      </c>
      <c r="S430" s="15" t="s">
        <v>580</v>
      </c>
      <c r="T430" s="15">
        <v>0</v>
      </c>
      <c r="U430" s="15" t="s">
        <v>450</v>
      </c>
      <c r="V430" s="15">
        <v>400</v>
      </c>
      <c r="W430" s="15" t="s">
        <v>577</v>
      </c>
      <c r="X430" s="15">
        <v>13</v>
      </c>
      <c r="Y430" s="15" t="s">
        <v>581</v>
      </c>
      <c r="Z430" s="15">
        <v>0.8</v>
      </c>
      <c r="AA430" s="15" t="s">
        <v>582</v>
      </c>
      <c r="AB430" s="15">
        <v>0.9</v>
      </c>
      <c r="AC430" s="15" t="s">
        <v>583</v>
      </c>
      <c r="AD430" s="15">
        <v>0.7</v>
      </c>
    </row>
    <row r="431" spans="2:30" x14ac:dyDescent="0.2">
      <c r="B431" s="15">
        <v>25.850413370132451</v>
      </c>
      <c r="C431" s="15">
        <v>2.035614092230146</v>
      </c>
      <c r="D431" s="15">
        <v>0.36462016105651862</v>
      </c>
      <c r="E431" s="15">
        <v>4.9395056425021747E-2</v>
      </c>
      <c r="F431" s="15">
        <v>-0.90387641518827277</v>
      </c>
      <c r="G431" s="15">
        <v>2.6123242089797819E-3</v>
      </c>
      <c r="H431" s="15">
        <v>2</v>
      </c>
      <c r="I431" s="15">
        <v>-0.90495226226515413</v>
      </c>
      <c r="J431" s="15">
        <v>-0.90081470167614996</v>
      </c>
      <c r="K431" s="15">
        <v>-0.90104319530901222</v>
      </c>
      <c r="L431" s="15">
        <v>-0.90769143352556314</v>
      </c>
      <c r="M431" s="15">
        <v>-0.90488048316548386</v>
      </c>
      <c r="N431" s="15" t="s">
        <v>595</v>
      </c>
      <c r="O431" s="15" t="s">
        <v>578</v>
      </c>
      <c r="P431" s="15">
        <v>0.9</v>
      </c>
      <c r="Q431" s="15" t="s">
        <v>579</v>
      </c>
      <c r="R431" s="15">
        <v>1E-3</v>
      </c>
      <c r="S431" s="15" t="s">
        <v>580</v>
      </c>
      <c r="T431" s="15">
        <v>0</v>
      </c>
      <c r="U431" s="15" t="s">
        <v>450</v>
      </c>
      <c r="V431" s="15">
        <v>300</v>
      </c>
      <c r="W431" s="15" t="s">
        <v>577</v>
      </c>
      <c r="X431" s="15">
        <v>3</v>
      </c>
      <c r="Y431" s="15" t="s">
        <v>581</v>
      </c>
      <c r="Z431" s="15">
        <v>0.2</v>
      </c>
      <c r="AA431" s="15" t="s">
        <v>582</v>
      </c>
      <c r="AB431" s="15">
        <v>0.9</v>
      </c>
      <c r="AC431" s="15" t="s">
        <v>583</v>
      </c>
      <c r="AD431" s="15">
        <v>1</v>
      </c>
    </row>
    <row r="432" spans="2:30" x14ac:dyDescent="0.2">
      <c r="B432" s="15">
        <v>1796.193745422363</v>
      </c>
      <c r="C432" s="15">
        <v>651.52377634024685</v>
      </c>
      <c r="D432" s="15">
        <v>10.87323174476623</v>
      </c>
      <c r="E432" s="15">
        <v>5.5916571978565779</v>
      </c>
      <c r="F432" s="15"/>
      <c r="G432" s="15"/>
      <c r="H432" s="15">
        <v>10</v>
      </c>
      <c r="I432" s="15">
        <v>-0.93871834727140202</v>
      </c>
      <c r="J432" s="15">
        <v>-0.93439865600247307</v>
      </c>
      <c r="K432" s="15"/>
      <c r="L432" s="15">
        <v>-0.94053450940359484</v>
      </c>
      <c r="M432" s="15">
        <v>-0.93670587387431126</v>
      </c>
      <c r="N432" s="15" t="s">
        <v>595</v>
      </c>
      <c r="O432" s="15" t="s">
        <v>578</v>
      </c>
      <c r="P432" s="15">
        <v>0.6</v>
      </c>
      <c r="Q432" s="15" t="s">
        <v>579</v>
      </c>
      <c r="R432" s="15">
        <v>0</v>
      </c>
      <c r="S432" s="15" t="s">
        <v>580</v>
      </c>
      <c r="T432" s="15">
        <v>1E-3</v>
      </c>
      <c r="U432" s="15" t="s">
        <v>450</v>
      </c>
      <c r="V432" s="15">
        <v>200</v>
      </c>
      <c r="W432" s="15" t="s">
        <v>577</v>
      </c>
      <c r="X432" s="15">
        <v>21</v>
      </c>
      <c r="Y432" s="15" t="s">
        <v>581</v>
      </c>
      <c r="Z432" s="15">
        <v>0.01</v>
      </c>
      <c r="AA432" s="15" t="s">
        <v>582</v>
      </c>
      <c r="AB432" s="15">
        <v>0.9</v>
      </c>
      <c r="AC432" s="15" t="s">
        <v>583</v>
      </c>
      <c r="AD432" s="15">
        <v>0.6</v>
      </c>
    </row>
    <row r="433" spans="2:30" x14ac:dyDescent="0.2">
      <c r="B433" s="15">
        <v>117.26403737068181</v>
      </c>
      <c r="C433" s="15">
        <v>6.7113943269463059</v>
      </c>
      <c r="D433" s="15">
        <v>2.5750372886657709</v>
      </c>
      <c r="E433" s="15">
        <v>0.93665366770757164</v>
      </c>
      <c r="F433" s="15">
        <v>-0.94295623242383209</v>
      </c>
      <c r="G433" s="15">
        <v>2.3850842570271162E-3</v>
      </c>
      <c r="H433" s="15">
        <v>7</v>
      </c>
      <c r="I433" s="15">
        <v>-0.94458909062269802</v>
      </c>
      <c r="J433" s="15">
        <v>-0.93891606542147521</v>
      </c>
      <c r="K433" s="15">
        <v>-0.94224583349107105</v>
      </c>
      <c r="L433" s="15">
        <v>-0.94594498871048971</v>
      </c>
      <c r="M433" s="15">
        <v>-0.9430851838734261</v>
      </c>
      <c r="N433" s="15" t="s">
        <v>595</v>
      </c>
      <c r="O433" s="15" t="s">
        <v>578</v>
      </c>
      <c r="P433" s="15">
        <v>0.7</v>
      </c>
      <c r="Q433" s="15" t="s">
        <v>579</v>
      </c>
      <c r="R433" s="15">
        <v>0.05</v>
      </c>
      <c r="S433" s="15" t="s">
        <v>580</v>
      </c>
      <c r="T433" s="15">
        <v>1</v>
      </c>
      <c r="U433" s="15" t="s">
        <v>450</v>
      </c>
      <c r="V433" s="15">
        <v>200</v>
      </c>
      <c r="W433" s="15" t="s">
        <v>577</v>
      </c>
      <c r="X433" s="15">
        <v>13</v>
      </c>
      <c r="Y433" s="15" t="s">
        <v>581</v>
      </c>
      <c r="Z433" s="15">
        <v>0.2</v>
      </c>
      <c r="AA433" s="15" t="s">
        <v>582</v>
      </c>
      <c r="AB433" s="15">
        <v>0.9</v>
      </c>
      <c r="AC433" s="15" t="s">
        <v>583</v>
      </c>
      <c r="AD433" s="15">
        <v>1</v>
      </c>
    </row>
    <row r="434" spans="2:30" x14ac:dyDescent="0.2">
      <c r="B434" s="15">
        <v>31.59655752182007</v>
      </c>
      <c r="C434" s="15">
        <v>2.486209991248336</v>
      </c>
      <c r="D434" s="15">
        <v>1.393605899810791</v>
      </c>
      <c r="E434" s="15">
        <v>1.039476026198735</v>
      </c>
      <c r="F434" s="15">
        <v>-0.90147338153970313</v>
      </c>
      <c r="G434" s="15">
        <v>2.8048283903883749E-3</v>
      </c>
      <c r="H434" s="15">
        <v>1</v>
      </c>
      <c r="I434" s="15">
        <v>-0.90242951181442965</v>
      </c>
      <c r="J434" s="15">
        <v>-0.89898322068574954</v>
      </c>
      <c r="K434" s="15">
        <v>-0.8979273619145417</v>
      </c>
      <c r="L434" s="15">
        <v>-0.90584950509993922</v>
      </c>
      <c r="M434" s="15">
        <v>-0.902177308183856</v>
      </c>
      <c r="N434" s="15" t="s">
        <v>595</v>
      </c>
      <c r="O434" s="15" t="s">
        <v>578</v>
      </c>
      <c r="P434" s="15">
        <v>1</v>
      </c>
      <c r="Q434" s="15" t="s">
        <v>579</v>
      </c>
      <c r="R434" s="15">
        <v>0</v>
      </c>
      <c r="S434" s="15" t="s">
        <v>580</v>
      </c>
      <c r="T434" s="15">
        <v>0.01</v>
      </c>
      <c r="U434" s="15" t="s">
        <v>450</v>
      </c>
      <c r="V434" s="15">
        <v>400</v>
      </c>
      <c r="W434" s="15" t="s">
        <v>577</v>
      </c>
      <c r="X434" s="15">
        <v>3</v>
      </c>
      <c r="Y434" s="15" t="s">
        <v>581</v>
      </c>
      <c r="Z434" s="15">
        <v>0.2</v>
      </c>
      <c r="AA434" s="15" t="s">
        <v>582</v>
      </c>
      <c r="AB434" s="15">
        <v>0.9</v>
      </c>
      <c r="AC434" s="15" t="s">
        <v>583</v>
      </c>
      <c r="AD434" s="15">
        <v>0.7</v>
      </c>
    </row>
    <row r="435" spans="2:30" x14ac:dyDescent="0.2">
      <c r="B435" s="15">
        <v>22.998299980163569</v>
      </c>
      <c r="C435" s="15">
        <v>1.1884021194845551</v>
      </c>
      <c r="D435" s="15">
        <v>0.98745608329772949</v>
      </c>
      <c r="E435" s="15">
        <v>0.55984596187442848</v>
      </c>
      <c r="F435" s="15">
        <v>-0.96843209301799893</v>
      </c>
      <c r="G435" s="15">
        <v>2.0501580180311888E-3</v>
      </c>
      <c r="H435" s="15">
        <v>8</v>
      </c>
      <c r="I435" s="15">
        <v>-0.96928448438699455</v>
      </c>
      <c r="J435" s="15">
        <v>-0.96620659326088254</v>
      </c>
      <c r="K435" s="15">
        <v>-0.96590890045787392</v>
      </c>
      <c r="L435" s="15">
        <v>-0.97121067652509441</v>
      </c>
      <c r="M435" s="15">
        <v>-0.96954981045914912</v>
      </c>
      <c r="N435" s="15" t="s">
        <v>595</v>
      </c>
      <c r="O435" s="15" t="s">
        <v>578</v>
      </c>
      <c r="P435" s="15">
        <v>1</v>
      </c>
      <c r="Q435" s="15" t="s">
        <v>579</v>
      </c>
      <c r="R435" s="15">
        <v>1E-3</v>
      </c>
      <c r="S435" s="15" t="s">
        <v>580</v>
      </c>
      <c r="T435" s="15">
        <v>1E-3</v>
      </c>
      <c r="U435" s="15" t="s">
        <v>450</v>
      </c>
      <c r="V435" s="15">
        <v>300</v>
      </c>
      <c r="W435" s="15" t="s">
        <v>577</v>
      </c>
      <c r="X435" s="15">
        <v>3</v>
      </c>
      <c r="Y435" s="15" t="s">
        <v>581</v>
      </c>
      <c r="Z435" s="15">
        <v>0.01</v>
      </c>
      <c r="AA435" s="15" t="s">
        <v>582</v>
      </c>
      <c r="AB435" s="15">
        <v>0.9</v>
      </c>
      <c r="AC435" s="15" t="s">
        <v>583</v>
      </c>
      <c r="AD435" s="15">
        <v>0.7</v>
      </c>
    </row>
    <row r="436" spans="2:30" x14ac:dyDescent="0.2">
      <c r="B436" s="15">
        <v>502.98367004394532</v>
      </c>
      <c r="C436" s="15">
        <v>4.9304236475968448</v>
      </c>
      <c r="D436" s="15">
        <v>9.6012928485870361</v>
      </c>
      <c r="E436" s="15">
        <v>0.33273213250137612</v>
      </c>
      <c r="F436" s="15">
        <v>-0.90388214852898474</v>
      </c>
      <c r="G436" s="15">
        <v>2.7341385917291319E-3</v>
      </c>
      <c r="H436" s="15">
        <v>3</v>
      </c>
      <c r="I436" s="15">
        <v>-0.90527894566772282</v>
      </c>
      <c r="J436" s="15">
        <v>-0.90105597927955827</v>
      </c>
      <c r="K436" s="15">
        <v>-0.90059325122409029</v>
      </c>
      <c r="L436" s="15">
        <v>-0.90789830099461222</v>
      </c>
      <c r="M436" s="15">
        <v>-0.90458426547894</v>
      </c>
      <c r="N436" s="15" t="s">
        <v>595</v>
      </c>
      <c r="O436" s="15" t="s">
        <v>578</v>
      </c>
      <c r="P436" s="15">
        <v>1</v>
      </c>
      <c r="Q436" s="15" t="s">
        <v>579</v>
      </c>
      <c r="R436" s="15">
        <v>0.01</v>
      </c>
      <c r="S436" s="15" t="s">
        <v>580</v>
      </c>
      <c r="T436" s="15">
        <v>0.05</v>
      </c>
      <c r="U436" s="15" t="s">
        <v>450</v>
      </c>
      <c r="V436" s="15">
        <v>400</v>
      </c>
      <c r="W436" s="15" t="s">
        <v>577</v>
      </c>
      <c r="X436" s="15">
        <v>13</v>
      </c>
      <c r="Y436" s="15" t="s">
        <v>581</v>
      </c>
      <c r="Z436" s="15">
        <v>0.01</v>
      </c>
      <c r="AA436" s="15" t="s">
        <v>582</v>
      </c>
      <c r="AB436" s="15">
        <v>0.9</v>
      </c>
      <c r="AC436" s="15" t="s">
        <v>583</v>
      </c>
      <c r="AD436" s="15">
        <v>0.7</v>
      </c>
    </row>
    <row r="437" spans="2:30" x14ac:dyDescent="0.2">
      <c r="B437" s="15">
        <v>6818.3633831977841</v>
      </c>
      <c r="C437" s="15">
        <v>24.411414826798339</v>
      </c>
      <c r="D437" s="15">
        <v>3.051978588104248</v>
      </c>
      <c r="E437" s="15">
        <v>0.37715682759427821</v>
      </c>
      <c r="F437" s="15">
        <v>-0.92657665084490959</v>
      </c>
      <c r="G437" s="15">
        <v>2.4622814288987752E-3</v>
      </c>
      <c r="H437" s="15">
        <v>2</v>
      </c>
      <c r="I437" s="15">
        <v>-0.92679876138266715</v>
      </c>
      <c r="J437" s="15">
        <v>-0.92362972887385486</v>
      </c>
      <c r="K437" s="15">
        <v>-0.92391740085959928</v>
      </c>
      <c r="L437" s="15">
        <v>-0.92935469846240371</v>
      </c>
      <c r="M437" s="15">
        <v>-0.92918266464602295</v>
      </c>
      <c r="N437" s="15" t="s">
        <v>596</v>
      </c>
      <c r="O437" s="15" t="s">
        <v>450</v>
      </c>
      <c r="P437" s="15">
        <v>100</v>
      </c>
      <c r="Q437" s="15" t="s">
        <v>576</v>
      </c>
      <c r="R437" s="15">
        <v>100</v>
      </c>
      <c r="S437" s="15" t="s">
        <v>577</v>
      </c>
      <c r="T437" s="15">
        <v>100</v>
      </c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spans="2:30" x14ac:dyDescent="0.2">
      <c r="B438" s="15">
        <v>901.5202297687531</v>
      </c>
      <c r="C438" s="15">
        <v>31.21132365817887</v>
      </c>
      <c r="D438" s="15">
        <v>0.47456212043762208</v>
      </c>
      <c r="E438" s="15">
        <v>3.7607611289384661E-2</v>
      </c>
      <c r="F438" s="15">
        <v>-0.97023736070076416</v>
      </c>
      <c r="G438" s="15">
        <v>3.1457812504518692E-3</v>
      </c>
      <c r="H438" s="15">
        <v>4</v>
      </c>
      <c r="I438" s="15">
        <v>-0.96994760294920979</v>
      </c>
      <c r="J438" s="15">
        <v>-0.96671953817961254</v>
      </c>
      <c r="K438" s="15">
        <v>-0.96698085162007075</v>
      </c>
      <c r="L438" s="15">
        <v>-0.97462530634852385</v>
      </c>
      <c r="M438" s="15">
        <v>-0.97291350440640356</v>
      </c>
      <c r="N438" s="15" t="s">
        <v>596</v>
      </c>
      <c r="O438" s="15" t="s">
        <v>450</v>
      </c>
      <c r="P438" s="15">
        <v>10</v>
      </c>
      <c r="Q438" s="15" t="s">
        <v>576</v>
      </c>
      <c r="R438" s="15">
        <v>2</v>
      </c>
      <c r="S438" s="15" t="s">
        <v>577</v>
      </c>
      <c r="T438" s="15">
        <v>100</v>
      </c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spans="2:30" x14ac:dyDescent="0.2">
      <c r="B439" s="15">
        <v>8439.8317128658291</v>
      </c>
      <c r="C439" s="15">
        <v>883.06832420589024</v>
      </c>
      <c r="D439" s="15">
        <v>3.5761178970336909</v>
      </c>
      <c r="E439" s="15">
        <v>0.39343982940571809</v>
      </c>
      <c r="F439" s="15">
        <v>-0.92583512545759739</v>
      </c>
      <c r="G439" s="15">
        <v>2.3956144012000102E-3</v>
      </c>
      <c r="H439" s="15">
        <v>1</v>
      </c>
      <c r="I439" s="15">
        <v>-0.92653661092067696</v>
      </c>
      <c r="J439" s="15">
        <v>-0.92253230753970195</v>
      </c>
      <c r="K439" s="15">
        <v>-0.92355324355860346</v>
      </c>
      <c r="L439" s="15">
        <v>-0.92856333124660484</v>
      </c>
      <c r="M439" s="15">
        <v>-0.92799013402239972</v>
      </c>
      <c r="N439" s="15" t="s">
        <v>596</v>
      </c>
      <c r="O439" s="15" t="s">
        <v>450</v>
      </c>
      <c r="P439" s="15">
        <v>100</v>
      </c>
      <c r="Q439" s="15" t="s">
        <v>576</v>
      </c>
      <c r="R439" s="15">
        <v>5</v>
      </c>
      <c r="S439" s="15" t="s">
        <v>577</v>
      </c>
      <c r="T439" s="15">
        <v>100</v>
      </c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spans="2:30" x14ac:dyDescent="0.2">
      <c r="B440" s="15">
        <v>840.83858089447017</v>
      </c>
      <c r="C440" s="15">
        <v>9.6483713509914413</v>
      </c>
      <c r="D440" s="15">
        <v>0.3771512508392334</v>
      </c>
      <c r="E440" s="15">
        <v>6.0824644277040082E-2</v>
      </c>
      <c r="F440" s="15">
        <v>-0.95130415584696881</v>
      </c>
      <c r="G440" s="15">
        <v>2.659494783473828E-3</v>
      </c>
      <c r="H440" s="15">
        <v>3</v>
      </c>
      <c r="I440" s="15">
        <v>-0.95125831447021736</v>
      </c>
      <c r="J440" s="15">
        <v>-0.94854848446190676</v>
      </c>
      <c r="K440" s="15">
        <v>-0.9482641334609081</v>
      </c>
      <c r="L440" s="15">
        <v>-0.9550808538364991</v>
      </c>
      <c r="M440" s="15">
        <v>-0.95336899300531275</v>
      </c>
      <c r="N440" s="15" t="s">
        <v>596</v>
      </c>
      <c r="O440" s="15" t="s">
        <v>450</v>
      </c>
      <c r="P440" s="15">
        <v>10</v>
      </c>
      <c r="Q440" s="15" t="s">
        <v>576</v>
      </c>
      <c r="R440" s="15">
        <v>25</v>
      </c>
      <c r="S440" s="15" t="s">
        <v>577</v>
      </c>
      <c r="T440" s="15">
        <v>100</v>
      </c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spans="2:30" x14ac:dyDescent="0.2">
      <c r="B441" s="15">
        <v>4432.7252961635586</v>
      </c>
      <c r="C441" s="15">
        <v>12.146264530645221</v>
      </c>
      <c r="D441" s="15">
        <v>1.9149221897125239</v>
      </c>
      <c r="E441" s="15">
        <v>0.23340871409578781</v>
      </c>
      <c r="F441" s="15">
        <v>-0.9331834917145333</v>
      </c>
      <c r="G441" s="15">
        <v>2.108447744896191E-3</v>
      </c>
      <c r="H441" s="15">
        <v>2</v>
      </c>
      <c r="I441" s="15">
        <v>-0.93412871938412789</v>
      </c>
      <c r="J441" s="15">
        <v>-0.93036272003411591</v>
      </c>
      <c r="K441" s="15">
        <v>-0.93097456687175073</v>
      </c>
      <c r="L441" s="15">
        <v>-0.9355056898669154</v>
      </c>
      <c r="M441" s="15">
        <v>-0.93494576241575611</v>
      </c>
      <c r="N441" s="15" t="s">
        <v>596</v>
      </c>
      <c r="O441" s="15" t="s">
        <v>450</v>
      </c>
      <c r="P441" s="15">
        <v>100</v>
      </c>
      <c r="Q441" s="15" t="s">
        <v>576</v>
      </c>
      <c r="R441" s="15">
        <v>100</v>
      </c>
      <c r="S441" s="15" t="s">
        <v>577</v>
      </c>
      <c r="T441" s="15">
        <v>13</v>
      </c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spans="2:30" x14ac:dyDescent="0.2">
      <c r="B442" s="15">
        <v>487.18548421859742</v>
      </c>
      <c r="C442" s="15">
        <v>17.470976844419521</v>
      </c>
      <c r="D442" s="15">
        <v>0.26092061996459959</v>
      </c>
      <c r="E442" s="15">
        <v>4.3253025042693162E-2</v>
      </c>
      <c r="F442" s="15">
        <v>-0.94413998887295647</v>
      </c>
      <c r="G442" s="15">
        <v>2.523882698191158E-3</v>
      </c>
      <c r="H442" s="15">
        <v>4</v>
      </c>
      <c r="I442" s="15">
        <v>-0.94471843209844475</v>
      </c>
      <c r="J442" s="15">
        <v>-0.94223959653505218</v>
      </c>
      <c r="K442" s="15">
        <v>-0.9405072010181782</v>
      </c>
      <c r="L442" s="15">
        <v>-0.94772007558057991</v>
      </c>
      <c r="M442" s="15">
        <v>-0.94551463913252731</v>
      </c>
      <c r="N442" s="15" t="s">
        <v>596</v>
      </c>
      <c r="O442" s="15" t="s">
        <v>450</v>
      </c>
      <c r="P442" s="15">
        <v>10</v>
      </c>
      <c r="Q442" s="15" t="s">
        <v>576</v>
      </c>
      <c r="R442" s="15">
        <v>2</v>
      </c>
      <c r="S442" s="15" t="s">
        <v>577</v>
      </c>
      <c r="T442" s="15">
        <v>13</v>
      </c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spans="2:30" x14ac:dyDescent="0.2">
      <c r="B443" s="15">
        <v>4062.884036302567</v>
      </c>
      <c r="C443" s="15">
        <v>661.72736678966623</v>
      </c>
      <c r="D443" s="15">
        <v>1.773708486557007</v>
      </c>
      <c r="E443" s="15">
        <v>0.44667829398828218</v>
      </c>
      <c r="F443" s="15">
        <v>-0.93181999654893644</v>
      </c>
      <c r="G443" s="15">
        <v>2.0834548039999502E-3</v>
      </c>
      <c r="H443" s="15">
        <v>1</v>
      </c>
      <c r="I443" s="15">
        <v>-0.93298974469157514</v>
      </c>
      <c r="J443" s="15">
        <v>-0.9291729058778404</v>
      </c>
      <c r="K443" s="15">
        <v>-0.92942551739066248</v>
      </c>
      <c r="L443" s="15">
        <v>-0.93397894083935662</v>
      </c>
      <c r="M443" s="15">
        <v>-0.9335328739452482</v>
      </c>
      <c r="N443" s="15" t="s">
        <v>596</v>
      </c>
      <c r="O443" s="15" t="s">
        <v>450</v>
      </c>
      <c r="P443" s="15">
        <v>100</v>
      </c>
      <c r="Q443" s="15" t="s">
        <v>576</v>
      </c>
      <c r="R443" s="15">
        <v>5</v>
      </c>
      <c r="S443" s="15" t="s">
        <v>577</v>
      </c>
      <c r="T443" s="15">
        <v>13</v>
      </c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spans="2:30" x14ac:dyDescent="0.2">
      <c r="B444" s="15">
        <v>462.53138394355773</v>
      </c>
      <c r="C444" s="15">
        <v>4.4788933358195653</v>
      </c>
      <c r="D444" s="15">
        <v>0.2035262584686279</v>
      </c>
      <c r="E444" s="15">
        <v>1.028430394935321E-2</v>
      </c>
      <c r="F444" s="15">
        <v>-0.94209839080105762</v>
      </c>
      <c r="G444" s="15">
        <v>2.0935557125046299E-3</v>
      </c>
      <c r="H444" s="15">
        <v>3</v>
      </c>
      <c r="I444" s="15">
        <v>-0.94219913655036991</v>
      </c>
      <c r="J444" s="15">
        <v>-0.9404513910669674</v>
      </c>
      <c r="K444" s="15">
        <v>-0.9393722866942914</v>
      </c>
      <c r="L444" s="15">
        <v>-0.94538216610522974</v>
      </c>
      <c r="M444" s="15">
        <v>-0.94308697358842941</v>
      </c>
      <c r="N444" s="15" t="s">
        <v>596</v>
      </c>
      <c r="O444" s="15" t="s">
        <v>450</v>
      </c>
      <c r="P444" s="15">
        <v>10</v>
      </c>
      <c r="Q444" s="15" t="s">
        <v>576</v>
      </c>
      <c r="R444" s="15">
        <v>25</v>
      </c>
      <c r="S444" s="15" t="s">
        <v>577</v>
      </c>
      <c r="T444" s="15">
        <v>13</v>
      </c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spans="2:30" x14ac:dyDescent="0.2">
      <c r="B445" s="15">
        <v>5412.6352898597715</v>
      </c>
      <c r="C445" s="15">
        <v>40.159213977294549</v>
      </c>
      <c r="D445" s="15">
        <v>2.5128296375274659</v>
      </c>
      <c r="E445" s="15">
        <v>0.2061168225771895</v>
      </c>
      <c r="F445" s="15">
        <v>-0.92697687616622471</v>
      </c>
      <c r="G445" s="15">
        <v>2.0360707684559339E-3</v>
      </c>
      <c r="H445" s="15">
        <v>2</v>
      </c>
      <c r="I445" s="15">
        <v>-0.92759586804910277</v>
      </c>
      <c r="J445" s="15">
        <v>-0.92469381691909325</v>
      </c>
      <c r="K445" s="15">
        <v>-0.9245241566850092</v>
      </c>
      <c r="L445" s="15">
        <v>-0.92960210756174078</v>
      </c>
      <c r="M445" s="15">
        <v>-0.92846843161617787</v>
      </c>
      <c r="N445" s="15" t="s">
        <v>596</v>
      </c>
      <c r="O445" s="15" t="s">
        <v>450</v>
      </c>
      <c r="P445" s="15">
        <v>100</v>
      </c>
      <c r="Q445" s="15" t="s">
        <v>576</v>
      </c>
      <c r="R445" s="15">
        <v>100</v>
      </c>
      <c r="S445" s="15" t="s">
        <v>577</v>
      </c>
      <c r="T445" s="15">
        <v>21</v>
      </c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spans="2:30" x14ac:dyDescent="0.2">
      <c r="B446" s="15">
        <v>657.24174823760984</v>
      </c>
      <c r="C446" s="15">
        <v>14.881489303469611</v>
      </c>
      <c r="D446" s="15">
        <v>0.4023881435394287</v>
      </c>
      <c r="E446" s="15">
        <v>6.8528619337516972E-2</v>
      </c>
      <c r="F446" s="15">
        <v>-0.96228118462720524</v>
      </c>
      <c r="G446" s="15">
        <v>2.4047099989432429E-3</v>
      </c>
      <c r="H446" s="15">
        <v>4</v>
      </c>
      <c r="I446" s="15">
        <v>-0.96322445482016528</v>
      </c>
      <c r="J446" s="15">
        <v>-0.95794749331224516</v>
      </c>
      <c r="K446" s="15">
        <v>-0.9625224906550558</v>
      </c>
      <c r="L446" s="15">
        <v>-0.96530932744656772</v>
      </c>
      <c r="M446" s="15">
        <v>-0.96240215690199238</v>
      </c>
      <c r="N446" s="15" t="s">
        <v>596</v>
      </c>
      <c r="O446" s="15" t="s">
        <v>450</v>
      </c>
      <c r="P446" s="15">
        <v>10</v>
      </c>
      <c r="Q446" s="15" t="s">
        <v>576</v>
      </c>
      <c r="R446" s="15">
        <v>2</v>
      </c>
      <c r="S446" s="15" t="s">
        <v>577</v>
      </c>
      <c r="T446" s="15">
        <v>21</v>
      </c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spans="2:30" x14ac:dyDescent="0.2">
      <c r="B447" s="15">
        <v>6363.1058898448946</v>
      </c>
      <c r="C447" s="15">
        <v>337.73241394593492</v>
      </c>
      <c r="D447" s="15">
        <v>2.536960363388062</v>
      </c>
      <c r="E447" s="15">
        <v>0.61438955969226183</v>
      </c>
      <c r="F447" s="15">
        <v>-0.92515892412078338</v>
      </c>
      <c r="G447" s="15">
        <v>2.0088237509764901E-3</v>
      </c>
      <c r="H447" s="15">
        <v>1</v>
      </c>
      <c r="I447" s="15">
        <v>-0.92621406840635567</v>
      </c>
      <c r="J447" s="15">
        <v>-0.92239180459919257</v>
      </c>
      <c r="K447" s="15">
        <v>-0.92319609021341098</v>
      </c>
      <c r="L447" s="15">
        <v>-0.92762947809593221</v>
      </c>
      <c r="M447" s="15">
        <v>-0.92636317928902512</v>
      </c>
      <c r="N447" s="15" t="s">
        <v>596</v>
      </c>
      <c r="O447" s="15" t="s">
        <v>450</v>
      </c>
      <c r="P447" s="15">
        <v>100</v>
      </c>
      <c r="Q447" s="15" t="s">
        <v>576</v>
      </c>
      <c r="R447" s="15">
        <v>5</v>
      </c>
      <c r="S447" s="15" t="s">
        <v>577</v>
      </c>
      <c r="T447" s="15">
        <v>21</v>
      </c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spans="2:30" x14ac:dyDescent="0.2">
      <c r="B448" s="15">
        <v>644.24044580459599</v>
      </c>
      <c r="C448" s="15">
        <v>7.2591370042206123</v>
      </c>
      <c r="D448" s="15">
        <v>0.3044311046600342</v>
      </c>
      <c r="E448" s="15">
        <v>5.6906419567247839E-2</v>
      </c>
      <c r="F448" s="15">
        <v>-0.94813962009892483</v>
      </c>
      <c r="G448" s="15">
        <v>2.6479535332239639E-3</v>
      </c>
      <c r="H448" s="15">
        <v>3</v>
      </c>
      <c r="I448" s="15">
        <v>-0.9488457192903873</v>
      </c>
      <c r="J448" s="15">
        <v>-0.94358905422807782</v>
      </c>
      <c r="K448" s="15">
        <v>-0.94746674208490911</v>
      </c>
      <c r="L448" s="15">
        <v>-0.95166243195458422</v>
      </c>
      <c r="M448" s="15">
        <v>-0.94913415293666559</v>
      </c>
      <c r="N448" s="15" t="s">
        <v>596</v>
      </c>
      <c r="O448" s="15" t="s">
        <v>450</v>
      </c>
      <c r="P448" s="15">
        <v>10</v>
      </c>
      <c r="Q448" s="15" t="s">
        <v>576</v>
      </c>
      <c r="R448" s="15">
        <v>25</v>
      </c>
      <c r="S448" s="15" t="s">
        <v>577</v>
      </c>
      <c r="T448" s="15">
        <v>21</v>
      </c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spans="2:30" x14ac:dyDescent="0.2">
      <c r="B449" s="15">
        <v>1419.906346750259</v>
      </c>
      <c r="C449" s="15">
        <v>3.8105701103352629</v>
      </c>
      <c r="D449" s="15">
        <v>0.42898316383361818</v>
      </c>
      <c r="E449" s="15">
        <v>4.4308646476203563E-2</v>
      </c>
      <c r="F449" s="15">
        <v>-1.0324440568908111</v>
      </c>
      <c r="G449" s="15">
        <v>1.4759628828097181E-3</v>
      </c>
      <c r="H449" s="15">
        <v>1</v>
      </c>
      <c r="I449" s="15">
        <v>-1.034353065017676</v>
      </c>
      <c r="J449" s="15">
        <v>-1.0309784508394819</v>
      </c>
      <c r="K449" s="15">
        <v>-1.0304781265644889</v>
      </c>
      <c r="L449" s="15">
        <v>-1.03340037337566</v>
      </c>
      <c r="M449" s="15">
        <v>-1.0330102686567479</v>
      </c>
      <c r="N449" s="15" t="s">
        <v>596</v>
      </c>
      <c r="O449" s="15" t="s">
        <v>450</v>
      </c>
      <c r="P449" s="15">
        <v>100</v>
      </c>
      <c r="Q449" s="15" t="s">
        <v>576</v>
      </c>
      <c r="R449" s="15">
        <v>100</v>
      </c>
      <c r="S449" s="15" t="s">
        <v>577</v>
      </c>
      <c r="T449" s="15">
        <v>3</v>
      </c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spans="2:30" x14ac:dyDescent="0.2">
      <c r="B450" s="15">
        <v>152.89363126754759</v>
      </c>
      <c r="C450" s="15">
        <v>2.4848779649388848</v>
      </c>
      <c r="D450" s="15">
        <v>7.9717493057250982E-2</v>
      </c>
      <c r="E450" s="15">
        <v>1.542329772183213E-2</v>
      </c>
      <c r="F450" s="15">
        <v>-1.0325490070500021</v>
      </c>
      <c r="G450" s="15">
        <v>1.270454830944189E-3</v>
      </c>
      <c r="H450" s="15">
        <v>3</v>
      </c>
      <c r="I450" s="15">
        <v>-1.03431255804129</v>
      </c>
      <c r="J450" s="15">
        <v>-1.0311259608594481</v>
      </c>
      <c r="K450" s="15">
        <v>-1.0310519563824969</v>
      </c>
      <c r="L450" s="15">
        <v>-1.033239407045182</v>
      </c>
      <c r="M450" s="15">
        <v>-1.0330151529215941</v>
      </c>
      <c r="N450" s="15" t="s">
        <v>596</v>
      </c>
      <c r="O450" s="15" t="s">
        <v>450</v>
      </c>
      <c r="P450" s="15">
        <v>10</v>
      </c>
      <c r="Q450" s="15" t="s">
        <v>576</v>
      </c>
      <c r="R450" s="15">
        <v>2</v>
      </c>
      <c r="S450" s="15" t="s">
        <v>577</v>
      </c>
      <c r="T450" s="15">
        <v>3</v>
      </c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spans="2:30" x14ac:dyDescent="0.2">
      <c r="B451" s="15">
        <v>1213.302536964417</v>
      </c>
      <c r="C451" s="15">
        <v>216.9157071913244</v>
      </c>
      <c r="D451" s="15">
        <v>0.3757155418395996</v>
      </c>
      <c r="E451" s="15">
        <v>7.460170022794306E-2</v>
      </c>
      <c r="F451" s="15">
        <v>-1.0324440568908111</v>
      </c>
      <c r="G451" s="15">
        <v>1.4759628828097181E-3</v>
      </c>
      <c r="H451" s="15">
        <v>1</v>
      </c>
      <c r="I451" s="15">
        <v>-1.034353065017676</v>
      </c>
      <c r="J451" s="15">
        <v>-1.0309784508394819</v>
      </c>
      <c r="K451" s="15">
        <v>-1.0304781265644889</v>
      </c>
      <c r="L451" s="15">
        <v>-1.03340037337566</v>
      </c>
      <c r="M451" s="15">
        <v>-1.0330102686567479</v>
      </c>
      <c r="N451" s="15" t="s">
        <v>596</v>
      </c>
      <c r="O451" s="15" t="s">
        <v>450</v>
      </c>
      <c r="P451" s="15">
        <v>100</v>
      </c>
      <c r="Q451" s="15" t="s">
        <v>576</v>
      </c>
      <c r="R451" s="15">
        <v>5</v>
      </c>
      <c r="S451" s="15" t="s">
        <v>577</v>
      </c>
      <c r="T451" s="15">
        <v>3</v>
      </c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spans="2:30" x14ac:dyDescent="0.2">
      <c r="B452" s="15">
        <v>128.17738213539121</v>
      </c>
      <c r="C452" s="15">
        <v>0.72856918837834372</v>
      </c>
      <c r="D452" s="15">
        <v>6.5072202682495112E-2</v>
      </c>
      <c r="E452" s="15">
        <v>1.142032637261952E-2</v>
      </c>
      <c r="F452" s="15">
        <v>-1.0325490070500021</v>
      </c>
      <c r="G452" s="15">
        <v>1.270454830944189E-3</v>
      </c>
      <c r="H452" s="15">
        <v>3</v>
      </c>
      <c r="I452" s="15">
        <v>-1.03431255804129</v>
      </c>
      <c r="J452" s="15">
        <v>-1.0311259608594481</v>
      </c>
      <c r="K452" s="15">
        <v>-1.0310519563824969</v>
      </c>
      <c r="L452" s="15">
        <v>-1.033239407045182</v>
      </c>
      <c r="M452" s="15">
        <v>-1.0330151529215941</v>
      </c>
      <c r="N452" s="15" t="s">
        <v>596</v>
      </c>
      <c r="O452" s="15" t="s">
        <v>450</v>
      </c>
      <c r="P452" s="15">
        <v>10</v>
      </c>
      <c r="Q452" s="15" t="s">
        <v>576</v>
      </c>
      <c r="R452" s="15">
        <v>25</v>
      </c>
      <c r="S452" s="15" t="s">
        <v>577</v>
      </c>
      <c r="T452" s="15">
        <v>3</v>
      </c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spans="2:30" x14ac:dyDescent="0.2">
      <c r="B453" s="15">
        <v>6442.8762318134304</v>
      </c>
      <c r="C453" s="15">
        <v>24.016810514132722</v>
      </c>
      <c r="D453" s="15">
        <v>2.751110506057739</v>
      </c>
      <c r="E453" s="15">
        <v>0.14129728850529491</v>
      </c>
      <c r="F453" s="15">
        <v>-0.92696362066418059</v>
      </c>
      <c r="G453" s="15">
        <v>2.41004402120418E-3</v>
      </c>
      <c r="H453" s="15">
        <v>2</v>
      </c>
      <c r="I453" s="15">
        <v>-0.92742937704013362</v>
      </c>
      <c r="J453" s="15">
        <v>-0.92386179210113994</v>
      </c>
      <c r="K453" s="15">
        <v>-0.92448897424618048</v>
      </c>
      <c r="L453" s="15">
        <v>-0.92961821267342915</v>
      </c>
      <c r="M453" s="15">
        <v>-0.92941974726001952</v>
      </c>
      <c r="N453" s="15" t="s">
        <v>596</v>
      </c>
      <c r="O453" s="15" t="s">
        <v>450</v>
      </c>
      <c r="P453" s="15">
        <v>100</v>
      </c>
      <c r="Q453" s="15" t="s">
        <v>576</v>
      </c>
      <c r="R453" s="15">
        <v>100</v>
      </c>
      <c r="S453" s="15" t="s">
        <v>577</v>
      </c>
      <c r="T453" s="15">
        <v>36</v>
      </c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spans="2:30" x14ac:dyDescent="0.2">
      <c r="B454" s="15">
        <v>887.06308512687679</v>
      </c>
      <c r="C454" s="15">
        <v>9.325603644091613</v>
      </c>
      <c r="D454" s="15">
        <v>0.46756725311279301</v>
      </c>
      <c r="E454" s="15">
        <v>5.7368288421320857E-2</v>
      </c>
      <c r="F454" s="15">
        <v>-0.97106549240519424</v>
      </c>
      <c r="G454" s="15">
        <v>2.6266091314829151E-3</v>
      </c>
      <c r="H454" s="15">
        <v>4</v>
      </c>
      <c r="I454" s="15">
        <v>-0.97021795213434914</v>
      </c>
      <c r="J454" s="15">
        <v>-0.9686682194608266</v>
      </c>
      <c r="K454" s="15">
        <v>-0.96854865012782654</v>
      </c>
      <c r="L454" s="15">
        <v>-0.97554276988616273</v>
      </c>
      <c r="M454" s="15">
        <v>-0.97234987041680643</v>
      </c>
      <c r="N454" s="15" t="s">
        <v>596</v>
      </c>
      <c r="O454" s="15" t="s">
        <v>450</v>
      </c>
      <c r="P454" s="15">
        <v>10</v>
      </c>
      <c r="Q454" s="15" t="s">
        <v>576</v>
      </c>
      <c r="R454" s="15">
        <v>2</v>
      </c>
      <c r="S454" s="15" t="s">
        <v>577</v>
      </c>
      <c r="T454" s="15">
        <v>36</v>
      </c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spans="2:30" x14ac:dyDescent="0.2">
      <c r="B455" s="15">
        <v>7594.3706781864166</v>
      </c>
      <c r="C455" s="15">
        <v>942.04784792606722</v>
      </c>
      <c r="D455" s="15">
        <v>3.4414774417877201</v>
      </c>
      <c r="E455" s="15">
        <v>0.51350560313975713</v>
      </c>
      <c r="F455" s="15">
        <v>-0.92614327312421363</v>
      </c>
      <c r="G455" s="15">
        <v>2.526193912681567E-3</v>
      </c>
      <c r="H455" s="15">
        <v>1</v>
      </c>
      <c r="I455" s="15">
        <v>-0.92589871022692638</v>
      </c>
      <c r="J455" s="15">
        <v>-0.92308446709661829</v>
      </c>
      <c r="K455" s="15">
        <v>-0.92371729526234769</v>
      </c>
      <c r="L455" s="15">
        <v>-0.92931947276807736</v>
      </c>
      <c r="M455" s="15">
        <v>-0.92869642026709831</v>
      </c>
      <c r="N455" s="15" t="s">
        <v>596</v>
      </c>
      <c r="O455" s="15" t="s">
        <v>450</v>
      </c>
      <c r="P455" s="15">
        <v>100</v>
      </c>
      <c r="Q455" s="15" t="s">
        <v>576</v>
      </c>
      <c r="R455" s="15">
        <v>5</v>
      </c>
      <c r="S455" s="15" t="s">
        <v>577</v>
      </c>
      <c r="T455" s="15">
        <v>36</v>
      </c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spans="2:30" x14ac:dyDescent="0.2">
      <c r="B456" s="15">
        <v>781.16098880767822</v>
      </c>
      <c r="C456" s="15">
        <v>6.7056382144697109</v>
      </c>
      <c r="D456" s="15">
        <v>0.39500780105590821</v>
      </c>
      <c r="E456" s="15">
        <v>9.4736739870913647E-2</v>
      </c>
      <c r="F456" s="15">
        <v>-0.95148903277803476</v>
      </c>
      <c r="G456" s="15">
        <v>2.8729752738477121E-3</v>
      </c>
      <c r="H456" s="15">
        <v>3</v>
      </c>
      <c r="I456" s="15">
        <v>-0.95104007357783482</v>
      </c>
      <c r="J456" s="15">
        <v>-0.94815129017697297</v>
      </c>
      <c r="K456" s="15">
        <v>-0.94868062653884699</v>
      </c>
      <c r="L456" s="15">
        <v>-0.95516932296678991</v>
      </c>
      <c r="M456" s="15">
        <v>-0.95440385062972954</v>
      </c>
      <c r="N456" s="15" t="s">
        <v>596</v>
      </c>
      <c r="O456" s="15" t="s">
        <v>450</v>
      </c>
      <c r="P456" s="15">
        <v>10</v>
      </c>
      <c r="Q456" s="15" t="s">
        <v>576</v>
      </c>
      <c r="R456" s="15">
        <v>25</v>
      </c>
      <c r="S456" s="15" t="s">
        <v>577</v>
      </c>
      <c r="T456" s="15">
        <v>36</v>
      </c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spans="2:30" x14ac:dyDescent="0.2">
      <c r="B457" s="15">
        <v>1805.170636177063</v>
      </c>
      <c r="C457" s="15">
        <v>14.24257852398576</v>
      </c>
      <c r="D457" s="15">
        <v>0.63230147361755373</v>
      </c>
      <c r="E457" s="15">
        <v>6.5285352976400715E-2</v>
      </c>
      <c r="F457" s="15">
        <v>-1.008316798930496</v>
      </c>
      <c r="G457" s="15">
        <v>1.9160779846955809E-3</v>
      </c>
      <c r="H457" s="15">
        <v>1</v>
      </c>
      <c r="I457" s="15">
        <v>-1.0101096880710709</v>
      </c>
      <c r="J457" s="15">
        <v>-1.0059380780050811</v>
      </c>
      <c r="K457" s="15">
        <v>-1.0064078699610719</v>
      </c>
      <c r="L457" s="15">
        <v>-1.008396257203001</v>
      </c>
      <c r="M457" s="15">
        <v>-1.010732101412257</v>
      </c>
      <c r="N457" s="15" t="s">
        <v>596</v>
      </c>
      <c r="O457" s="15" t="s">
        <v>450</v>
      </c>
      <c r="P457" s="15">
        <v>100</v>
      </c>
      <c r="Q457" s="15" t="s">
        <v>576</v>
      </c>
      <c r="R457" s="15">
        <v>100</v>
      </c>
      <c r="S457" s="15" t="s">
        <v>577</v>
      </c>
      <c r="T457" s="15">
        <v>4</v>
      </c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spans="2:30" x14ac:dyDescent="0.2">
      <c r="B458" s="15">
        <v>184.1938415050507</v>
      </c>
      <c r="C458" s="15">
        <v>1.0487057136446669</v>
      </c>
      <c r="D458" s="15">
        <v>9.5424318313598627E-2</v>
      </c>
      <c r="E458" s="15">
        <v>9.795466082202501E-3</v>
      </c>
      <c r="F458" s="15">
        <v>-1.009151869739505</v>
      </c>
      <c r="G458" s="15">
        <v>1.5180915171666091E-3</v>
      </c>
      <c r="H458" s="15">
        <v>3</v>
      </c>
      <c r="I458" s="15">
        <v>-1.0104191413255219</v>
      </c>
      <c r="J458" s="15">
        <v>-1.0072575095278249</v>
      </c>
      <c r="K458" s="15">
        <v>-1.0079635260922659</v>
      </c>
      <c r="L458" s="15">
        <v>-1.0087812327175021</v>
      </c>
      <c r="M458" s="15">
        <v>-1.011337939034411</v>
      </c>
      <c r="N458" s="15" t="s">
        <v>596</v>
      </c>
      <c r="O458" s="15" t="s">
        <v>450</v>
      </c>
      <c r="P458" s="15">
        <v>10</v>
      </c>
      <c r="Q458" s="15" t="s">
        <v>576</v>
      </c>
      <c r="R458" s="15">
        <v>2</v>
      </c>
      <c r="S458" s="15" t="s">
        <v>577</v>
      </c>
      <c r="T458" s="15">
        <v>4</v>
      </c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spans="2:30" x14ac:dyDescent="0.2">
      <c r="B459" s="15">
        <v>1631.6046413898471</v>
      </c>
      <c r="C459" s="15">
        <v>205.53094948877421</v>
      </c>
      <c r="D459" s="15">
        <v>0.53717675209045412</v>
      </c>
      <c r="E459" s="15">
        <v>0.16046360644018129</v>
      </c>
      <c r="F459" s="15">
        <v>-1.008316798930496</v>
      </c>
      <c r="G459" s="15">
        <v>1.9160779846955809E-3</v>
      </c>
      <c r="H459" s="15">
        <v>1</v>
      </c>
      <c r="I459" s="15">
        <v>-1.0101096880710709</v>
      </c>
      <c r="J459" s="15">
        <v>-1.0059380780050811</v>
      </c>
      <c r="K459" s="15">
        <v>-1.0064078699610719</v>
      </c>
      <c r="L459" s="15">
        <v>-1.008396257203001</v>
      </c>
      <c r="M459" s="15">
        <v>-1.010732101412257</v>
      </c>
      <c r="N459" s="15" t="s">
        <v>596</v>
      </c>
      <c r="O459" s="15" t="s">
        <v>450</v>
      </c>
      <c r="P459" s="15">
        <v>100</v>
      </c>
      <c r="Q459" s="15" t="s">
        <v>576</v>
      </c>
      <c r="R459" s="15">
        <v>5</v>
      </c>
      <c r="S459" s="15" t="s">
        <v>577</v>
      </c>
      <c r="T459" s="15">
        <v>4</v>
      </c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spans="2:30" x14ac:dyDescent="0.2">
      <c r="B460" s="15">
        <v>178.52637677192689</v>
      </c>
      <c r="C460" s="15">
        <v>2.6429632624125059</v>
      </c>
      <c r="D460" s="15">
        <v>7.5170278549194336E-2</v>
      </c>
      <c r="E460" s="15">
        <v>4.666470027126334E-3</v>
      </c>
      <c r="F460" s="15">
        <v>-1.009151869739505</v>
      </c>
      <c r="G460" s="15">
        <v>1.5180915171666091E-3</v>
      </c>
      <c r="H460" s="15">
        <v>3</v>
      </c>
      <c r="I460" s="15">
        <v>-1.0104191413255219</v>
      </c>
      <c r="J460" s="15">
        <v>-1.0072575095278249</v>
      </c>
      <c r="K460" s="15">
        <v>-1.0079635260922659</v>
      </c>
      <c r="L460" s="15">
        <v>-1.0087812327175021</v>
      </c>
      <c r="M460" s="15">
        <v>-1.011337939034411</v>
      </c>
      <c r="N460" s="15" t="s">
        <v>596</v>
      </c>
      <c r="O460" s="15" t="s">
        <v>450</v>
      </c>
      <c r="P460" s="15">
        <v>10</v>
      </c>
      <c r="Q460" s="15" t="s">
        <v>576</v>
      </c>
      <c r="R460" s="15">
        <v>25</v>
      </c>
      <c r="S460" s="15" t="s">
        <v>577</v>
      </c>
      <c r="T460" s="15">
        <v>4</v>
      </c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spans="2:30" x14ac:dyDescent="0.2">
      <c r="B461" s="15">
        <v>2198.9053562641138</v>
      </c>
      <c r="C461" s="15">
        <v>28.412741662633572</v>
      </c>
      <c r="D461" s="15">
        <v>0.74838814735412595</v>
      </c>
      <c r="E461" s="15">
        <v>0.1184072519068602</v>
      </c>
      <c r="F461" s="15">
        <v>-0.99078675700604601</v>
      </c>
      <c r="G461" s="15">
        <v>1.962234921240947E-3</v>
      </c>
      <c r="H461" s="15">
        <v>1</v>
      </c>
      <c r="I461" s="15">
        <v>-0.9923131892689393</v>
      </c>
      <c r="J461" s="15">
        <v>-0.9880133381683972</v>
      </c>
      <c r="K461" s="15">
        <v>-0.98929458732567765</v>
      </c>
      <c r="L461" s="15">
        <v>-0.99088120316426931</v>
      </c>
      <c r="M461" s="15">
        <v>-0.99343146710294639</v>
      </c>
      <c r="N461" s="15" t="s">
        <v>596</v>
      </c>
      <c r="O461" s="15" t="s">
        <v>450</v>
      </c>
      <c r="P461" s="15">
        <v>100</v>
      </c>
      <c r="Q461" s="15" t="s">
        <v>576</v>
      </c>
      <c r="R461" s="15">
        <v>100</v>
      </c>
      <c r="S461" s="15" t="s">
        <v>577</v>
      </c>
      <c r="T461" s="15">
        <v>5</v>
      </c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spans="2:30" x14ac:dyDescent="0.2">
      <c r="B462" s="15">
        <v>222.19715023040769</v>
      </c>
      <c r="C462" s="15">
        <v>1.209007370090335</v>
      </c>
      <c r="D462" s="15">
        <v>0.1248062610626221</v>
      </c>
      <c r="E462" s="15">
        <v>5.1106663597837852E-2</v>
      </c>
      <c r="F462" s="15">
        <v>-0.99156523373014616</v>
      </c>
      <c r="G462" s="15">
        <v>1.867503263331678E-3</v>
      </c>
      <c r="H462" s="15">
        <v>3</v>
      </c>
      <c r="I462" s="15">
        <v>-0.99259211385146284</v>
      </c>
      <c r="J462" s="15">
        <v>-0.98881009790648133</v>
      </c>
      <c r="K462" s="15">
        <v>-0.99062326711303084</v>
      </c>
      <c r="L462" s="15">
        <v>-0.99142721195681693</v>
      </c>
      <c r="M462" s="15">
        <v>-0.9943734778229385</v>
      </c>
      <c r="N462" s="15" t="s">
        <v>596</v>
      </c>
      <c r="O462" s="15" t="s">
        <v>450</v>
      </c>
      <c r="P462" s="15">
        <v>10</v>
      </c>
      <c r="Q462" s="15" t="s">
        <v>576</v>
      </c>
      <c r="R462" s="15">
        <v>2</v>
      </c>
      <c r="S462" s="15" t="s">
        <v>577</v>
      </c>
      <c r="T462" s="15">
        <v>5</v>
      </c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spans="2:30" x14ac:dyDescent="0.2">
      <c r="B463" s="15">
        <v>1996.47170996666</v>
      </c>
      <c r="C463" s="15">
        <v>235.21743024527811</v>
      </c>
      <c r="D463" s="15">
        <v>0.60984702110290523</v>
      </c>
      <c r="E463" s="15">
        <v>5.5313576200060922E-2</v>
      </c>
      <c r="F463" s="15">
        <v>-0.99078675700604601</v>
      </c>
      <c r="G463" s="15">
        <v>1.962234921240947E-3</v>
      </c>
      <c r="H463" s="15">
        <v>1</v>
      </c>
      <c r="I463" s="15">
        <v>-0.9923131892689393</v>
      </c>
      <c r="J463" s="15">
        <v>-0.9880133381683972</v>
      </c>
      <c r="K463" s="15">
        <v>-0.98929458732567765</v>
      </c>
      <c r="L463" s="15">
        <v>-0.99088120316426931</v>
      </c>
      <c r="M463" s="15">
        <v>-0.99343146710294639</v>
      </c>
      <c r="N463" s="15" t="s">
        <v>596</v>
      </c>
      <c r="O463" s="15" t="s">
        <v>450</v>
      </c>
      <c r="P463" s="15">
        <v>100</v>
      </c>
      <c r="Q463" s="15" t="s">
        <v>576</v>
      </c>
      <c r="R463" s="15">
        <v>5</v>
      </c>
      <c r="S463" s="15" t="s">
        <v>577</v>
      </c>
      <c r="T463" s="15">
        <v>5</v>
      </c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spans="2:30" x14ac:dyDescent="0.2">
      <c r="B464" s="15">
        <v>216.6984612464905</v>
      </c>
      <c r="C464" s="15">
        <v>4.5183898544545533</v>
      </c>
      <c r="D464" s="15">
        <v>8.6806440353393549E-2</v>
      </c>
      <c r="E464" s="15">
        <v>1.7645903813710111E-2</v>
      </c>
      <c r="F464" s="15">
        <v>-0.99156523373014616</v>
      </c>
      <c r="G464" s="15">
        <v>1.867503263331678E-3</v>
      </c>
      <c r="H464" s="15">
        <v>3</v>
      </c>
      <c r="I464" s="15">
        <v>-0.99259211385146284</v>
      </c>
      <c r="J464" s="15">
        <v>-0.98881009790648133</v>
      </c>
      <c r="K464" s="15">
        <v>-0.99062326711303084</v>
      </c>
      <c r="L464" s="15">
        <v>-0.99142721195681693</v>
      </c>
      <c r="M464" s="15">
        <v>-0.9943734778229385</v>
      </c>
      <c r="N464" s="15" t="s">
        <v>596</v>
      </c>
      <c r="O464" s="15" t="s">
        <v>450</v>
      </c>
      <c r="P464" s="15">
        <v>10</v>
      </c>
      <c r="Q464" s="15" t="s">
        <v>576</v>
      </c>
      <c r="R464" s="15">
        <v>25</v>
      </c>
      <c r="S464" s="15" t="s">
        <v>577</v>
      </c>
      <c r="T464" s="15">
        <v>5</v>
      </c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spans="2:30" x14ac:dyDescent="0.2">
      <c r="B465" s="15">
        <v>6867.2504185199741</v>
      </c>
      <c r="C465" s="15">
        <v>55.44390660932973</v>
      </c>
      <c r="D465" s="15">
        <v>2.9098607063293458</v>
      </c>
      <c r="E465" s="15">
        <v>0.13329920099983131</v>
      </c>
      <c r="F465" s="15">
        <v>-0.92666776951060181</v>
      </c>
      <c r="G465" s="15">
        <v>2.40928320422401E-3</v>
      </c>
      <c r="H465" s="15">
        <v>2</v>
      </c>
      <c r="I465" s="15">
        <v>-0.92755024047048851</v>
      </c>
      <c r="J465" s="15">
        <v>-0.92365481200777466</v>
      </c>
      <c r="K465" s="15">
        <v>-0.92396923330163994</v>
      </c>
      <c r="L465" s="15">
        <v>-0.92941749115013272</v>
      </c>
      <c r="M465" s="15">
        <v>-0.92874707062297368</v>
      </c>
      <c r="N465" s="15" t="s">
        <v>596</v>
      </c>
      <c r="O465" s="15" t="s">
        <v>450</v>
      </c>
      <c r="P465" s="15">
        <v>100</v>
      </c>
      <c r="Q465" s="15" t="s">
        <v>576</v>
      </c>
      <c r="R465" s="15">
        <v>100</v>
      </c>
      <c r="S465" s="15" t="s">
        <v>577</v>
      </c>
      <c r="T465" s="15">
        <v>57</v>
      </c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spans="2:30" x14ac:dyDescent="0.2">
      <c r="B466" s="15">
        <v>943.96573028564455</v>
      </c>
      <c r="C466" s="15">
        <v>12.80169840255491</v>
      </c>
      <c r="D466" s="15">
        <v>0.55176434516906736</v>
      </c>
      <c r="E466" s="15">
        <v>6.5153931169683793E-2</v>
      </c>
      <c r="F466" s="15">
        <v>-0.97172110700856185</v>
      </c>
      <c r="G466" s="15">
        <v>1.4613054369525919E-3</v>
      </c>
      <c r="H466" s="15">
        <v>4</v>
      </c>
      <c r="I466" s="15">
        <v>-0.9723095472909955</v>
      </c>
      <c r="J466" s="15">
        <v>-0.96913085673420118</v>
      </c>
      <c r="K466" s="15">
        <v>-0.97115753791870152</v>
      </c>
      <c r="L466" s="15">
        <v>-0.97292251181891731</v>
      </c>
      <c r="M466" s="15">
        <v>-0.97308508127999394</v>
      </c>
      <c r="N466" s="15" t="s">
        <v>596</v>
      </c>
      <c r="O466" s="15" t="s">
        <v>450</v>
      </c>
      <c r="P466" s="15">
        <v>10</v>
      </c>
      <c r="Q466" s="15" t="s">
        <v>576</v>
      </c>
      <c r="R466" s="15">
        <v>2</v>
      </c>
      <c r="S466" s="15" t="s">
        <v>577</v>
      </c>
      <c r="T466" s="15">
        <v>57</v>
      </c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spans="2:30" x14ac:dyDescent="0.2">
      <c r="B467" s="15">
        <v>8187.9775023460388</v>
      </c>
      <c r="C467" s="15">
        <v>855.65790300519063</v>
      </c>
      <c r="D467" s="15">
        <v>3.4047584533691411</v>
      </c>
      <c r="E467" s="15">
        <v>0.49865789693535689</v>
      </c>
      <c r="F467" s="15">
        <v>-0.92601065594434506</v>
      </c>
      <c r="G467" s="15">
        <v>2.650480920538217E-3</v>
      </c>
      <c r="H467" s="15">
        <v>1</v>
      </c>
      <c r="I467" s="15">
        <v>-0.92694799532863836</v>
      </c>
      <c r="J467" s="15">
        <v>-0.92261208117124938</v>
      </c>
      <c r="K467" s="15">
        <v>-0.92313431615277652</v>
      </c>
      <c r="L467" s="15">
        <v>-0.92897789364878613</v>
      </c>
      <c r="M467" s="15">
        <v>-0.92838099342027514</v>
      </c>
      <c r="N467" s="15" t="s">
        <v>596</v>
      </c>
      <c r="O467" s="15" t="s">
        <v>450</v>
      </c>
      <c r="P467" s="15">
        <v>100</v>
      </c>
      <c r="Q467" s="15" t="s">
        <v>576</v>
      </c>
      <c r="R467" s="15">
        <v>5</v>
      </c>
      <c r="S467" s="15" t="s">
        <v>577</v>
      </c>
      <c r="T467" s="15">
        <v>57</v>
      </c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spans="2:30" x14ac:dyDescent="0.2">
      <c r="B468" s="15">
        <v>824.70510201454158</v>
      </c>
      <c r="C468" s="15">
        <v>5.8996674207336568</v>
      </c>
      <c r="D468" s="15">
        <v>0.36114368438720701</v>
      </c>
      <c r="E468" s="15">
        <v>1.0049930870497759E-2</v>
      </c>
      <c r="F468" s="15">
        <v>-0.9511103362939114</v>
      </c>
      <c r="G468" s="15">
        <v>2.1750885924448878E-3</v>
      </c>
      <c r="H468" s="15">
        <v>3</v>
      </c>
      <c r="I468" s="15">
        <v>-0.9513476565217297</v>
      </c>
      <c r="J468" s="15">
        <v>-0.94817488723049803</v>
      </c>
      <c r="K468" s="15">
        <v>-0.94912497352502467</v>
      </c>
      <c r="L468" s="15">
        <v>-0.95326148080839579</v>
      </c>
      <c r="M468" s="15">
        <v>-0.95364268338390823</v>
      </c>
      <c r="N468" s="15" t="s">
        <v>596</v>
      </c>
      <c r="O468" s="15" t="s">
        <v>450</v>
      </c>
      <c r="P468" s="15">
        <v>10</v>
      </c>
      <c r="Q468" s="15" t="s">
        <v>576</v>
      </c>
      <c r="R468" s="15">
        <v>25</v>
      </c>
      <c r="S468" s="15" t="s">
        <v>577</v>
      </c>
      <c r="T468" s="15">
        <v>57</v>
      </c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spans="2:30" x14ac:dyDescent="0.2">
      <c r="B469" s="15">
        <v>3166.7331623077389</v>
      </c>
      <c r="C469" s="15">
        <v>23.558531049108531</v>
      </c>
      <c r="D469" s="15">
        <v>1.2374676227569581</v>
      </c>
      <c r="E469" s="15">
        <v>4.2670345706095597E-2</v>
      </c>
      <c r="F469" s="15">
        <v>-0.95853615135679604</v>
      </c>
      <c r="G469" s="15">
        <v>1.6978078673108819E-3</v>
      </c>
      <c r="H469" s="15">
        <v>2</v>
      </c>
      <c r="I469" s="15">
        <v>-0.95919520271631986</v>
      </c>
      <c r="J469" s="15">
        <v>-0.95602192620785709</v>
      </c>
      <c r="K469" s="15">
        <v>-0.95714442731467908</v>
      </c>
      <c r="L469" s="15">
        <v>-0.95968577941830568</v>
      </c>
      <c r="M469" s="15">
        <v>-0.96063342112681838</v>
      </c>
      <c r="N469" s="15" t="s">
        <v>596</v>
      </c>
      <c r="O469" s="15" t="s">
        <v>450</v>
      </c>
      <c r="P469" s="15">
        <v>100</v>
      </c>
      <c r="Q469" s="15" t="s">
        <v>576</v>
      </c>
      <c r="R469" s="15">
        <v>100</v>
      </c>
      <c r="S469" s="15" t="s">
        <v>577</v>
      </c>
      <c r="T469" s="15">
        <v>8</v>
      </c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spans="2:30" x14ac:dyDescent="0.2">
      <c r="B470" s="15">
        <v>305.71939573287972</v>
      </c>
      <c r="C470" s="15">
        <v>2.2007746929168759</v>
      </c>
      <c r="D470" s="15">
        <v>0.1210535526275635</v>
      </c>
      <c r="E470" s="15">
        <v>8.891933858404406E-3</v>
      </c>
      <c r="F470" s="15">
        <v>-0.96083394826623481</v>
      </c>
      <c r="G470" s="15">
        <v>1.5421016390521169E-3</v>
      </c>
      <c r="H470" s="15">
        <v>4</v>
      </c>
      <c r="I470" s="15">
        <v>-0.9617446374764157</v>
      </c>
      <c r="J470" s="15">
        <v>-0.95824085887880783</v>
      </c>
      <c r="K470" s="15">
        <v>-0.9599373748873955</v>
      </c>
      <c r="L470" s="15">
        <v>-0.96180131411048631</v>
      </c>
      <c r="M470" s="15">
        <v>-0.96244555597806858</v>
      </c>
      <c r="N470" s="15" t="s">
        <v>596</v>
      </c>
      <c r="O470" s="15" t="s">
        <v>450</v>
      </c>
      <c r="P470" s="15">
        <v>10</v>
      </c>
      <c r="Q470" s="15" t="s">
        <v>576</v>
      </c>
      <c r="R470" s="15">
        <v>2</v>
      </c>
      <c r="S470" s="15" t="s">
        <v>577</v>
      </c>
      <c r="T470" s="15">
        <v>8</v>
      </c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spans="2:30" x14ac:dyDescent="0.2">
      <c r="B471" s="15">
        <v>3046.3255520820621</v>
      </c>
      <c r="C471" s="15">
        <v>191.65174451873551</v>
      </c>
      <c r="D471" s="15">
        <v>1.0886450767517091</v>
      </c>
      <c r="E471" s="15">
        <v>9.2226397855780642E-2</v>
      </c>
      <c r="F471" s="15">
        <v>-0.95848103384553573</v>
      </c>
      <c r="G471" s="15">
        <v>1.695360763923383E-3</v>
      </c>
      <c r="H471" s="15">
        <v>1</v>
      </c>
      <c r="I471" s="15">
        <v>-0.95915133906597039</v>
      </c>
      <c r="J471" s="15">
        <v>-0.95598135566758058</v>
      </c>
      <c r="K471" s="15">
        <v>-0.95708178532985</v>
      </c>
      <c r="L471" s="15">
        <v>-0.95959352499299566</v>
      </c>
      <c r="M471" s="15">
        <v>-0.96059716417128171</v>
      </c>
      <c r="N471" s="15" t="s">
        <v>596</v>
      </c>
      <c r="O471" s="15" t="s">
        <v>450</v>
      </c>
      <c r="P471" s="15">
        <v>100</v>
      </c>
      <c r="Q471" s="15" t="s">
        <v>576</v>
      </c>
      <c r="R471" s="15">
        <v>5</v>
      </c>
      <c r="S471" s="15" t="s">
        <v>577</v>
      </c>
      <c r="T471" s="15">
        <v>8</v>
      </c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spans="2:30" x14ac:dyDescent="0.2">
      <c r="B472" s="15">
        <v>327.82541513442987</v>
      </c>
      <c r="C472" s="15">
        <v>11.673181493517401</v>
      </c>
      <c r="D472" s="15">
        <v>0.14551358222961419</v>
      </c>
      <c r="E472" s="15">
        <v>8.7629416927481087E-3</v>
      </c>
      <c r="F472" s="15">
        <v>-0.96079648714654498</v>
      </c>
      <c r="G472" s="15">
        <v>1.5546621190636099E-3</v>
      </c>
      <c r="H472" s="15">
        <v>3</v>
      </c>
      <c r="I472" s="15">
        <v>-0.96166645464903222</v>
      </c>
      <c r="J472" s="15">
        <v>-0.95818666791173035</v>
      </c>
      <c r="K472" s="15">
        <v>-0.95989927891972471</v>
      </c>
      <c r="L472" s="15">
        <v>-0.96177234642988096</v>
      </c>
      <c r="M472" s="15">
        <v>-0.96245768782235674</v>
      </c>
      <c r="N472" s="15" t="s">
        <v>596</v>
      </c>
      <c r="O472" s="15" t="s">
        <v>450</v>
      </c>
      <c r="P472" s="15">
        <v>10</v>
      </c>
      <c r="Q472" s="15" t="s">
        <v>576</v>
      </c>
      <c r="R472" s="15">
        <v>25</v>
      </c>
      <c r="S472" s="15" t="s">
        <v>577</v>
      </c>
      <c r="T472" s="15">
        <v>8</v>
      </c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spans="2:30" x14ac:dyDescent="0.2">
      <c r="B473" s="15">
        <v>10609.749872636799</v>
      </c>
      <c r="C473" s="15">
        <v>59.760279550820712</v>
      </c>
      <c r="D473" s="15">
        <v>3.3477402210235589</v>
      </c>
      <c r="E473" s="15">
        <v>0.14451997427800289</v>
      </c>
      <c r="F473" s="15">
        <v>-0.96883719369600474</v>
      </c>
      <c r="G473" s="15">
        <v>1.3607441602786121E-3</v>
      </c>
      <c r="H473" s="15">
        <v>2</v>
      </c>
      <c r="I473" s="15">
        <v>-0.96854896700933379</v>
      </c>
      <c r="J473" s="15">
        <v>-0.96832402212879598</v>
      </c>
      <c r="K473" s="15">
        <v>-0.96671126102374327</v>
      </c>
      <c r="L473" s="15">
        <v>-0.97006903943838607</v>
      </c>
      <c r="M473" s="15">
        <v>-0.97053267887976458</v>
      </c>
      <c r="N473" s="15" t="s">
        <v>597</v>
      </c>
      <c r="O473" s="15" t="s">
        <v>450</v>
      </c>
      <c r="P473" s="15">
        <v>100</v>
      </c>
      <c r="Q473" s="15" t="s">
        <v>576</v>
      </c>
      <c r="R473" s="15">
        <v>100</v>
      </c>
      <c r="S473" s="15" t="s">
        <v>577</v>
      </c>
      <c r="T473" s="15">
        <v>100</v>
      </c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spans="2:30" x14ac:dyDescent="0.2">
      <c r="B474" s="15">
        <v>1409.374409484863</v>
      </c>
      <c r="C474" s="15">
        <v>29.390778267948811</v>
      </c>
      <c r="D474" s="15">
        <v>0.52327046394348142</v>
      </c>
      <c r="E474" s="15">
        <v>4.9563091514553681E-2</v>
      </c>
      <c r="F474" s="15">
        <v>-1.0130244956138501</v>
      </c>
      <c r="G474" s="15">
        <v>1.043600712512774E-3</v>
      </c>
      <c r="H474" s="15">
        <v>4</v>
      </c>
      <c r="I474" s="15">
        <v>-1.0126871112774529</v>
      </c>
      <c r="J474" s="15">
        <v>-1.0149908706208619</v>
      </c>
      <c r="K474" s="15">
        <v>-1.0120390891877611</v>
      </c>
      <c r="L474" s="15">
        <v>-1.0130814693907</v>
      </c>
      <c r="M474" s="15">
        <v>-1.0123239375924751</v>
      </c>
      <c r="N474" s="15" t="s">
        <v>597</v>
      </c>
      <c r="O474" s="15" t="s">
        <v>450</v>
      </c>
      <c r="P474" s="15">
        <v>10</v>
      </c>
      <c r="Q474" s="15" t="s">
        <v>576</v>
      </c>
      <c r="R474" s="15">
        <v>2</v>
      </c>
      <c r="S474" s="15" t="s">
        <v>577</v>
      </c>
      <c r="T474" s="15">
        <v>100</v>
      </c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spans="2:30" x14ac:dyDescent="0.2">
      <c r="B475" s="15">
        <v>12792.113084602361</v>
      </c>
      <c r="C475" s="15">
        <v>1278.9181073898289</v>
      </c>
      <c r="D475" s="15">
        <v>4.1763354301452633</v>
      </c>
      <c r="E475" s="15">
        <v>0.47770618746085508</v>
      </c>
      <c r="F475" s="15">
        <v>-0.96486438157472865</v>
      </c>
      <c r="G475" s="15">
        <v>1.2452171708170849E-3</v>
      </c>
      <c r="H475" s="15">
        <v>1</v>
      </c>
      <c r="I475" s="15">
        <v>-0.96478389127312236</v>
      </c>
      <c r="J475" s="15">
        <v>-0.96467559431361538</v>
      </c>
      <c r="K475" s="15">
        <v>-0.96269362592643981</v>
      </c>
      <c r="L475" s="15">
        <v>-0.96598035834678719</v>
      </c>
      <c r="M475" s="15">
        <v>-0.96618843801367871</v>
      </c>
      <c r="N475" s="15" t="s">
        <v>597</v>
      </c>
      <c r="O475" s="15" t="s">
        <v>450</v>
      </c>
      <c r="P475" s="15">
        <v>100</v>
      </c>
      <c r="Q475" s="15" t="s">
        <v>576</v>
      </c>
      <c r="R475" s="15">
        <v>5</v>
      </c>
      <c r="S475" s="15" t="s">
        <v>577</v>
      </c>
      <c r="T475" s="15">
        <v>100</v>
      </c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spans="2:30" x14ac:dyDescent="0.2">
      <c r="B476" s="15">
        <v>1319.779957914353</v>
      </c>
      <c r="C476" s="15">
        <v>2.5556966242186832</v>
      </c>
      <c r="D476" s="15">
        <v>0.43378305435180659</v>
      </c>
      <c r="E476" s="15">
        <v>1.4641227608689441E-2</v>
      </c>
      <c r="F476" s="15">
        <v>-0.99468641071086483</v>
      </c>
      <c r="G476" s="15">
        <v>1.3885653757602821E-3</v>
      </c>
      <c r="H476" s="15">
        <v>3</v>
      </c>
      <c r="I476" s="15">
        <v>-0.99504546908888181</v>
      </c>
      <c r="J476" s="15">
        <v>-0.99615280159550679</v>
      </c>
      <c r="K476" s="15">
        <v>-0.99208524258163922</v>
      </c>
      <c r="L476" s="15">
        <v>-0.99469060469617165</v>
      </c>
      <c r="M476" s="15">
        <v>-0.99545793559212559</v>
      </c>
      <c r="N476" s="15" t="s">
        <v>597</v>
      </c>
      <c r="O476" s="15" t="s">
        <v>450</v>
      </c>
      <c r="P476" s="15">
        <v>10</v>
      </c>
      <c r="Q476" s="15" t="s">
        <v>576</v>
      </c>
      <c r="R476" s="15">
        <v>25</v>
      </c>
      <c r="S476" s="15" t="s">
        <v>577</v>
      </c>
      <c r="T476" s="15">
        <v>100</v>
      </c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spans="2:30" x14ac:dyDescent="0.2">
      <c r="B477" s="15">
        <v>8274.1457789897922</v>
      </c>
      <c r="C477" s="15">
        <v>66.306276816710508</v>
      </c>
      <c r="D477" s="15">
        <v>2.350665426254273</v>
      </c>
      <c r="E477" s="15">
        <v>5.4258425723305859E-2</v>
      </c>
      <c r="F477" s="15">
        <v>-0.97313495230048341</v>
      </c>
      <c r="G477" s="15">
        <v>1.3247567516176549E-3</v>
      </c>
      <c r="H477" s="15">
        <v>2</v>
      </c>
      <c r="I477" s="15">
        <v>-0.97189960732440517</v>
      </c>
      <c r="J477" s="15">
        <v>-0.97284431263887561</v>
      </c>
      <c r="K477" s="15">
        <v>-0.97158527837871611</v>
      </c>
      <c r="L477" s="15">
        <v>-0.9748012856287589</v>
      </c>
      <c r="M477" s="15">
        <v>-0.97454427753166117</v>
      </c>
      <c r="N477" s="15" t="s">
        <v>597</v>
      </c>
      <c r="O477" s="15" t="s">
        <v>450</v>
      </c>
      <c r="P477" s="15">
        <v>100</v>
      </c>
      <c r="Q477" s="15" t="s">
        <v>576</v>
      </c>
      <c r="R477" s="15">
        <v>100</v>
      </c>
      <c r="S477" s="15" t="s">
        <v>577</v>
      </c>
      <c r="T477" s="15">
        <v>13</v>
      </c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spans="2:30" x14ac:dyDescent="0.2">
      <c r="B478" s="15">
        <v>861.68636050224302</v>
      </c>
      <c r="C478" s="15">
        <v>5.7325542964653113</v>
      </c>
      <c r="D478" s="15">
        <v>0.29727783203125002</v>
      </c>
      <c r="E478" s="15">
        <v>3.2598247126138812E-2</v>
      </c>
      <c r="F478" s="15">
        <v>-0.98499652903728097</v>
      </c>
      <c r="G478" s="15">
        <v>9.2367612677689477E-4</v>
      </c>
      <c r="H478" s="15">
        <v>4</v>
      </c>
      <c r="I478" s="15">
        <v>-0.9840276580152908</v>
      </c>
      <c r="J478" s="15">
        <v>-0.98474277231267859</v>
      </c>
      <c r="K478" s="15">
        <v>-0.98410972005727793</v>
      </c>
      <c r="L478" s="15">
        <v>-0.98569664016391678</v>
      </c>
      <c r="M478" s="15">
        <v>-0.98640585463724051</v>
      </c>
      <c r="N478" s="15" t="s">
        <v>597</v>
      </c>
      <c r="O478" s="15" t="s">
        <v>450</v>
      </c>
      <c r="P478" s="15">
        <v>10</v>
      </c>
      <c r="Q478" s="15" t="s">
        <v>576</v>
      </c>
      <c r="R478" s="15">
        <v>2</v>
      </c>
      <c r="S478" s="15" t="s">
        <v>577</v>
      </c>
      <c r="T478" s="15">
        <v>13</v>
      </c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spans="2:30" x14ac:dyDescent="0.2">
      <c r="B479" s="15">
        <v>7726.0712589263912</v>
      </c>
      <c r="C479" s="15">
        <v>1012.261137865003</v>
      </c>
      <c r="D479" s="15">
        <v>2.0502906799316412</v>
      </c>
      <c r="E479" s="15">
        <v>0.30374095898978248</v>
      </c>
      <c r="F479" s="15">
        <v>-0.97054189908362276</v>
      </c>
      <c r="G479" s="15">
        <v>1.331714891985975E-3</v>
      </c>
      <c r="H479" s="15">
        <v>1</v>
      </c>
      <c r="I479" s="15">
        <v>-0.96936222551444029</v>
      </c>
      <c r="J479" s="15">
        <v>-0.9704427889185715</v>
      </c>
      <c r="K479" s="15">
        <v>-0.96882558490243587</v>
      </c>
      <c r="L479" s="15">
        <v>-0.97217141410329511</v>
      </c>
      <c r="M479" s="15">
        <v>-0.97190748197937127</v>
      </c>
      <c r="N479" s="15" t="s">
        <v>597</v>
      </c>
      <c r="O479" s="15" t="s">
        <v>450</v>
      </c>
      <c r="P479" s="15">
        <v>100</v>
      </c>
      <c r="Q479" s="15" t="s">
        <v>576</v>
      </c>
      <c r="R479" s="15">
        <v>5</v>
      </c>
      <c r="S479" s="15" t="s">
        <v>577</v>
      </c>
      <c r="T479" s="15">
        <v>13</v>
      </c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spans="2:30" x14ac:dyDescent="0.2">
      <c r="B480" s="15">
        <v>841.22680644989009</v>
      </c>
      <c r="C480" s="15">
        <v>16.722122708759851</v>
      </c>
      <c r="D480" s="15">
        <v>0.25699610710144039</v>
      </c>
      <c r="E480" s="15">
        <v>2.6976675392964559E-2</v>
      </c>
      <c r="F480" s="15">
        <v>-0.98293264307877326</v>
      </c>
      <c r="G480" s="15">
        <v>1.167839181050394E-3</v>
      </c>
      <c r="H480" s="15">
        <v>3</v>
      </c>
      <c r="I480" s="15">
        <v>-0.98169385600221204</v>
      </c>
      <c r="J480" s="15">
        <v>-0.98246266475818722</v>
      </c>
      <c r="K480" s="15">
        <v>-0.98185335105191796</v>
      </c>
      <c r="L480" s="15">
        <v>-0.98424836041834274</v>
      </c>
      <c r="M480" s="15">
        <v>-0.98440498316320657</v>
      </c>
      <c r="N480" s="15" t="s">
        <v>597</v>
      </c>
      <c r="O480" s="15" t="s">
        <v>450</v>
      </c>
      <c r="P480" s="15">
        <v>10</v>
      </c>
      <c r="Q480" s="15" t="s">
        <v>576</v>
      </c>
      <c r="R480" s="15">
        <v>25</v>
      </c>
      <c r="S480" s="15" t="s">
        <v>577</v>
      </c>
      <c r="T480" s="15">
        <v>13</v>
      </c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spans="2:30" x14ac:dyDescent="0.2">
      <c r="B481" s="15">
        <v>9830.8138607978817</v>
      </c>
      <c r="C481" s="15">
        <v>79.582895328049275</v>
      </c>
      <c r="D481" s="15">
        <v>3.1005578517913821</v>
      </c>
      <c r="E481" s="15">
        <v>0.45577010520545558</v>
      </c>
      <c r="F481" s="15">
        <v>-0.96730993223830664</v>
      </c>
      <c r="G481" s="15">
        <v>1.38361552423567E-3</v>
      </c>
      <c r="H481" s="15">
        <v>2</v>
      </c>
      <c r="I481" s="15">
        <v>-0.96680939827433177</v>
      </c>
      <c r="J481" s="15">
        <v>-0.96663073857752613</v>
      </c>
      <c r="K481" s="15">
        <v>-0.96534211204053166</v>
      </c>
      <c r="L481" s="15">
        <v>-0.96901461897985275</v>
      </c>
      <c r="M481" s="15">
        <v>-0.96875279331929076</v>
      </c>
      <c r="N481" s="15" t="s">
        <v>597</v>
      </c>
      <c r="O481" s="15" t="s">
        <v>450</v>
      </c>
      <c r="P481" s="15">
        <v>100</v>
      </c>
      <c r="Q481" s="15" t="s">
        <v>576</v>
      </c>
      <c r="R481" s="15">
        <v>100</v>
      </c>
      <c r="S481" s="15" t="s">
        <v>577</v>
      </c>
      <c r="T481" s="15">
        <v>21</v>
      </c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spans="2:30" x14ac:dyDescent="0.2">
      <c r="B482" s="15">
        <v>1171.8349987030031</v>
      </c>
      <c r="C482" s="15">
        <v>11.86148112709415</v>
      </c>
      <c r="D482" s="15">
        <v>0.53581037521362307</v>
      </c>
      <c r="E482" s="15">
        <v>0.1578326706450163</v>
      </c>
      <c r="F482" s="15">
        <v>-1.0049777799943991</v>
      </c>
      <c r="G482" s="15">
        <v>1.414138335383076E-3</v>
      </c>
      <c r="H482" s="15">
        <v>4</v>
      </c>
      <c r="I482" s="15">
        <v>-1.005465055088665</v>
      </c>
      <c r="J482" s="15">
        <v>-1.004605439646588</v>
      </c>
      <c r="K482" s="15">
        <v>-1.0024389707071359</v>
      </c>
      <c r="L482" s="15">
        <v>-1.0058435053975741</v>
      </c>
      <c r="M482" s="15">
        <v>-1.0065359291320319</v>
      </c>
      <c r="N482" s="15" t="s">
        <v>597</v>
      </c>
      <c r="O482" s="15" t="s">
        <v>450</v>
      </c>
      <c r="P482" s="15">
        <v>10</v>
      </c>
      <c r="Q482" s="15" t="s">
        <v>576</v>
      </c>
      <c r="R482" s="15">
        <v>2</v>
      </c>
      <c r="S482" s="15" t="s">
        <v>577</v>
      </c>
      <c r="T482" s="15">
        <v>21</v>
      </c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spans="2:30" x14ac:dyDescent="0.2">
      <c r="B483" s="15">
        <v>11218.08011341095</v>
      </c>
      <c r="C483" s="15">
        <v>1072.790230232154</v>
      </c>
      <c r="D483" s="15">
        <v>3.5620475292205809</v>
      </c>
      <c r="E483" s="15">
        <v>0.6039384472708359</v>
      </c>
      <c r="F483" s="15">
        <v>-0.96334513309705816</v>
      </c>
      <c r="G483" s="15">
        <v>1.3108728210817031E-3</v>
      </c>
      <c r="H483" s="15">
        <v>1</v>
      </c>
      <c r="I483" s="15">
        <v>-0.96288575456008429</v>
      </c>
      <c r="J483" s="15">
        <v>-0.96223037406554168</v>
      </c>
      <c r="K483" s="15">
        <v>-0.96181870848374174</v>
      </c>
      <c r="L483" s="15">
        <v>-0.96492285872211392</v>
      </c>
      <c r="M483" s="15">
        <v>-0.96486796965380939</v>
      </c>
      <c r="N483" s="15" t="s">
        <v>597</v>
      </c>
      <c r="O483" s="15" t="s">
        <v>450</v>
      </c>
      <c r="P483" s="15">
        <v>100</v>
      </c>
      <c r="Q483" s="15" t="s">
        <v>576</v>
      </c>
      <c r="R483" s="15">
        <v>5</v>
      </c>
      <c r="S483" s="15" t="s">
        <v>577</v>
      </c>
      <c r="T483" s="15">
        <v>21</v>
      </c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spans="2:30" x14ac:dyDescent="0.2">
      <c r="B484" s="15">
        <v>1179.3221950054169</v>
      </c>
      <c r="C484" s="15">
        <v>14.178569280262019</v>
      </c>
      <c r="D484" s="15">
        <v>0.42863197326660157</v>
      </c>
      <c r="E484" s="15">
        <v>4.7579858680168313E-2</v>
      </c>
      <c r="F484" s="15">
        <v>-0.9898364301403928</v>
      </c>
      <c r="G484" s="15">
        <v>2.0537623750446891E-3</v>
      </c>
      <c r="H484" s="15">
        <v>3</v>
      </c>
      <c r="I484" s="15">
        <v>-0.9889160642719641</v>
      </c>
      <c r="J484" s="15">
        <v>-0.99041522200548637</v>
      </c>
      <c r="K484" s="15">
        <v>-0.98633460420607921</v>
      </c>
      <c r="L484" s="15">
        <v>-0.99139828313042844</v>
      </c>
      <c r="M484" s="15">
        <v>-0.99211797708800631</v>
      </c>
      <c r="N484" s="15" t="s">
        <v>597</v>
      </c>
      <c r="O484" s="15" t="s">
        <v>450</v>
      </c>
      <c r="P484" s="15">
        <v>10</v>
      </c>
      <c r="Q484" s="15" t="s">
        <v>576</v>
      </c>
      <c r="R484" s="15">
        <v>25</v>
      </c>
      <c r="S484" s="15" t="s">
        <v>577</v>
      </c>
      <c r="T484" s="15">
        <v>21</v>
      </c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spans="2:30" x14ac:dyDescent="0.2">
      <c r="B485" s="15">
        <v>1964.9005002498629</v>
      </c>
      <c r="C485" s="15">
        <v>10.684559187220829</v>
      </c>
      <c r="D485" s="15">
        <v>0.46145925521850578</v>
      </c>
      <c r="E485" s="15">
        <v>3.6790662486051118E-2</v>
      </c>
      <c r="F485" s="15">
        <v>-1.0871953054192121</v>
      </c>
      <c r="G485" s="15">
        <v>1.906585762256234E-3</v>
      </c>
      <c r="H485" s="15">
        <v>1</v>
      </c>
      <c r="I485" s="15">
        <v>-1.0892999994348249</v>
      </c>
      <c r="J485" s="15">
        <v>-1.0853011807286259</v>
      </c>
      <c r="K485" s="15">
        <v>-1.084566385911145</v>
      </c>
      <c r="L485" s="15">
        <v>-1.088806024105839</v>
      </c>
      <c r="M485" s="15">
        <v>-1.088002936915625</v>
      </c>
      <c r="N485" s="15" t="s">
        <v>597</v>
      </c>
      <c r="O485" s="15" t="s">
        <v>450</v>
      </c>
      <c r="P485" s="15">
        <v>100</v>
      </c>
      <c r="Q485" s="15" t="s">
        <v>576</v>
      </c>
      <c r="R485" s="15">
        <v>100</v>
      </c>
      <c r="S485" s="15" t="s">
        <v>577</v>
      </c>
      <c r="T485" s="15">
        <v>3</v>
      </c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spans="2:30" x14ac:dyDescent="0.2">
      <c r="B486" s="15">
        <v>163.67190513610839</v>
      </c>
      <c r="C486" s="15">
        <v>3.09332054424842</v>
      </c>
      <c r="D486" s="15">
        <v>5.7544374465942377E-2</v>
      </c>
      <c r="E486" s="15">
        <v>6.3232150032503237E-3</v>
      </c>
      <c r="F486" s="15">
        <v>-1.0875405289111011</v>
      </c>
      <c r="G486" s="15">
        <v>1.851696021366698E-3</v>
      </c>
      <c r="H486" s="15">
        <v>3</v>
      </c>
      <c r="I486" s="15">
        <v>-1.0907414874510359</v>
      </c>
      <c r="J486" s="15">
        <v>-1.085322915364221</v>
      </c>
      <c r="K486" s="15">
        <v>-1.0866151103842601</v>
      </c>
      <c r="L486" s="15">
        <v>-1.086762610348059</v>
      </c>
      <c r="M486" s="15">
        <v>-1.088260521007927</v>
      </c>
      <c r="N486" s="15" t="s">
        <v>597</v>
      </c>
      <c r="O486" s="15" t="s">
        <v>450</v>
      </c>
      <c r="P486" s="15">
        <v>10</v>
      </c>
      <c r="Q486" s="15" t="s">
        <v>576</v>
      </c>
      <c r="R486" s="15">
        <v>2</v>
      </c>
      <c r="S486" s="15" t="s">
        <v>577</v>
      </c>
      <c r="T486" s="15">
        <v>3</v>
      </c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spans="2:30" x14ac:dyDescent="0.2">
      <c r="B487" s="15">
        <v>1847.95209684372</v>
      </c>
      <c r="C487" s="15">
        <v>232.6884977324091</v>
      </c>
      <c r="D487" s="15">
        <v>0.37173442840576171</v>
      </c>
      <c r="E487" s="15">
        <v>9.2379468735970152E-2</v>
      </c>
      <c r="F487" s="15">
        <v>-1.0871953054192121</v>
      </c>
      <c r="G487" s="15">
        <v>1.906585762256234E-3</v>
      </c>
      <c r="H487" s="15">
        <v>1</v>
      </c>
      <c r="I487" s="15">
        <v>-1.0892999994348249</v>
      </c>
      <c r="J487" s="15">
        <v>-1.0853011807286259</v>
      </c>
      <c r="K487" s="15">
        <v>-1.084566385911145</v>
      </c>
      <c r="L487" s="15">
        <v>-1.088806024105839</v>
      </c>
      <c r="M487" s="15">
        <v>-1.088002936915625</v>
      </c>
      <c r="N487" s="15" t="s">
        <v>597</v>
      </c>
      <c r="O487" s="15" t="s">
        <v>450</v>
      </c>
      <c r="P487" s="15">
        <v>100</v>
      </c>
      <c r="Q487" s="15" t="s">
        <v>576</v>
      </c>
      <c r="R487" s="15">
        <v>5</v>
      </c>
      <c r="S487" s="15" t="s">
        <v>577</v>
      </c>
      <c r="T487" s="15">
        <v>3</v>
      </c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spans="2:30" x14ac:dyDescent="0.2">
      <c r="B488" s="15">
        <v>204.4437589645386</v>
      </c>
      <c r="C488" s="15">
        <v>4.3178998245992926</v>
      </c>
      <c r="D488" s="15">
        <v>7.5472259521484369E-2</v>
      </c>
      <c r="E488" s="15">
        <v>1.6347446777364771E-2</v>
      </c>
      <c r="F488" s="15">
        <v>-1.0875405289111011</v>
      </c>
      <c r="G488" s="15">
        <v>1.851696021366698E-3</v>
      </c>
      <c r="H488" s="15">
        <v>3</v>
      </c>
      <c r="I488" s="15">
        <v>-1.0907414874510359</v>
      </c>
      <c r="J488" s="15">
        <v>-1.085322915364221</v>
      </c>
      <c r="K488" s="15">
        <v>-1.0866151103842601</v>
      </c>
      <c r="L488" s="15">
        <v>-1.086762610348059</v>
      </c>
      <c r="M488" s="15">
        <v>-1.088260521007927</v>
      </c>
      <c r="N488" s="15" t="s">
        <v>597</v>
      </c>
      <c r="O488" s="15" t="s">
        <v>450</v>
      </c>
      <c r="P488" s="15">
        <v>10</v>
      </c>
      <c r="Q488" s="15" t="s">
        <v>576</v>
      </c>
      <c r="R488" s="15">
        <v>25</v>
      </c>
      <c r="S488" s="15" t="s">
        <v>577</v>
      </c>
      <c r="T488" s="15">
        <v>3</v>
      </c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spans="2:30" x14ac:dyDescent="0.2">
      <c r="B489" s="15">
        <v>10726.243943309781</v>
      </c>
      <c r="C489" s="15">
        <v>97.34768128590342</v>
      </c>
      <c r="D489" s="15">
        <v>2.7199696540832519</v>
      </c>
      <c r="E489" s="15">
        <v>0.2733275919732116</v>
      </c>
      <c r="F489" s="15">
        <v>-0.9669003739243921</v>
      </c>
      <c r="G489" s="15">
        <v>1.411756087394021E-3</v>
      </c>
      <c r="H489" s="15">
        <v>2</v>
      </c>
      <c r="I489" s="15">
        <v>-0.96652825094588546</v>
      </c>
      <c r="J489" s="15">
        <v>-0.96640441293150248</v>
      </c>
      <c r="K489" s="15">
        <v>-0.96469805420787014</v>
      </c>
      <c r="L489" s="15">
        <v>-0.96852755918178934</v>
      </c>
      <c r="M489" s="15">
        <v>-0.96834359235491374</v>
      </c>
      <c r="N489" s="15" t="s">
        <v>597</v>
      </c>
      <c r="O489" s="15" t="s">
        <v>450</v>
      </c>
      <c r="P489" s="15">
        <v>100</v>
      </c>
      <c r="Q489" s="15" t="s">
        <v>576</v>
      </c>
      <c r="R489" s="15">
        <v>100</v>
      </c>
      <c r="S489" s="15" t="s">
        <v>577</v>
      </c>
      <c r="T489" s="15">
        <v>36</v>
      </c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spans="2:30" x14ac:dyDescent="0.2">
      <c r="B490" s="15">
        <v>1444.762804079056</v>
      </c>
      <c r="C490" s="15">
        <v>19.371570363802011</v>
      </c>
      <c r="D490" s="15">
        <v>0.51273198127746578</v>
      </c>
      <c r="E490" s="15">
        <v>3.085945943562269E-2</v>
      </c>
      <c r="F490" s="15">
        <v>-1.0120833066694299</v>
      </c>
      <c r="G490" s="15">
        <v>1.4311196434399871E-3</v>
      </c>
      <c r="H490" s="15">
        <v>4</v>
      </c>
      <c r="I490" s="15">
        <v>-1.0116926527142021</v>
      </c>
      <c r="J490" s="15">
        <v>-1.01220746097192</v>
      </c>
      <c r="K490" s="15">
        <v>-1.010523571550932</v>
      </c>
      <c r="L490" s="15">
        <v>-1.0112683974340271</v>
      </c>
      <c r="M490" s="15">
        <v>-1.0147244506760711</v>
      </c>
      <c r="N490" s="15" t="s">
        <v>597</v>
      </c>
      <c r="O490" s="15" t="s">
        <v>450</v>
      </c>
      <c r="P490" s="15">
        <v>10</v>
      </c>
      <c r="Q490" s="15" t="s">
        <v>576</v>
      </c>
      <c r="R490" s="15">
        <v>2</v>
      </c>
      <c r="S490" s="15" t="s">
        <v>577</v>
      </c>
      <c r="T490" s="15">
        <v>36</v>
      </c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spans="2:30" x14ac:dyDescent="0.2">
      <c r="B491" s="15">
        <v>12262.824985075</v>
      </c>
      <c r="C491" s="15">
        <v>1582.235088102924</v>
      </c>
      <c r="D491" s="15">
        <v>3.5145528793334959</v>
      </c>
      <c r="E491" s="15">
        <v>0.54063022499565283</v>
      </c>
      <c r="F491" s="15">
        <v>-0.96354173140381827</v>
      </c>
      <c r="G491" s="15">
        <v>1.434421059243487E-3</v>
      </c>
      <c r="H491" s="15">
        <v>1</v>
      </c>
      <c r="I491" s="15">
        <v>-0.9634692268583136</v>
      </c>
      <c r="J491" s="15">
        <v>-0.9631851782220604</v>
      </c>
      <c r="K491" s="15">
        <v>-0.96109681925518708</v>
      </c>
      <c r="L491" s="15">
        <v>-0.96513361139844689</v>
      </c>
      <c r="M491" s="15">
        <v>-0.96482382128508337</v>
      </c>
      <c r="N491" s="15" t="s">
        <v>597</v>
      </c>
      <c r="O491" s="15" t="s">
        <v>450</v>
      </c>
      <c r="P491" s="15">
        <v>100</v>
      </c>
      <c r="Q491" s="15" t="s">
        <v>576</v>
      </c>
      <c r="R491" s="15">
        <v>5</v>
      </c>
      <c r="S491" s="15" t="s">
        <v>577</v>
      </c>
      <c r="T491" s="15">
        <v>36</v>
      </c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spans="2:30" x14ac:dyDescent="0.2">
      <c r="B492" s="15">
        <v>1166.177364349365</v>
      </c>
      <c r="C492" s="15">
        <v>24.435264456317199</v>
      </c>
      <c r="D492" s="15">
        <v>0.36629586219787602</v>
      </c>
      <c r="E492" s="15">
        <v>1.6406298621202881E-2</v>
      </c>
      <c r="F492" s="15">
        <v>-0.99318789049798961</v>
      </c>
      <c r="G492" s="15">
        <v>1.22050885752E-3</v>
      </c>
      <c r="H492" s="15">
        <v>3</v>
      </c>
      <c r="I492" s="15">
        <v>-0.99229541629680085</v>
      </c>
      <c r="J492" s="15">
        <v>-0.99448954740823858</v>
      </c>
      <c r="K492" s="15">
        <v>-0.99130129552886381</v>
      </c>
      <c r="L492" s="15">
        <v>-0.99353494986497526</v>
      </c>
      <c r="M492" s="15">
        <v>-0.99431824339106956</v>
      </c>
      <c r="N492" s="15" t="s">
        <v>597</v>
      </c>
      <c r="O492" s="15" t="s">
        <v>450</v>
      </c>
      <c r="P492" s="15">
        <v>10</v>
      </c>
      <c r="Q492" s="15" t="s">
        <v>576</v>
      </c>
      <c r="R492" s="15">
        <v>25</v>
      </c>
      <c r="S492" s="15" t="s">
        <v>577</v>
      </c>
      <c r="T492" s="15">
        <v>36</v>
      </c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spans="2:30" x14ac:dyDescent="0.2">
      <c r="B493" s="15">
        <v>2834.7527268409731</v>
      </c>
      <c r="C493" s="15">
        <v>7.1589600274886109</v>
      </c>
      <c r="D493" s="15">
        <v>0.66959071159362793</v>
      </c>
      <c r="E493" s="15">
        <v>8.6203487502856432E-2</v>
      </c>
      <c r="F493" s="15">
        <v>-1.0616716027037261</v>
      </c>
      <c r="G493" s="15">
        <v>9.4877440130518287E-4</v>
      </c>
      <c r="H493" s="15">
        <v>1</v>
      </c>
      <c r="I493" s="15">
        <v>-1.061910855205727</v>
      </c>
      <c r="J493" s="15">
        <v>-1.060720609109947</v>
      </c>
      <c r="K493" s="15">
        <v>-1.061026519794225</v>
      </c>
      <c r="L493" s="15">
        <v>-1.0633994469562009</v>
      </c>
      <c r="M493" s="15">
        <v>-1.061300582452531</v>
      </c>
      <c r="N493" s="15" t="s">
        <v>597</v>
      </c>
      <c r="O493" s="15" t="s">
        <v>450</v>
      </c>
      <c r="P493" s="15">
        <v>100</v>
      </c>
      <c r="Q493" s="15" t="s">
        <v>576</v>
      </c>
      <c r="R493" s="15">
        <v>100</v>
      </c>
      <c r="S493" s="15" t="s">
        <v>577</v>
      </c>
      <c r="T493" s="15">
        <v>4</v>
      </c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spans="2:30" x14ac:dyDescent="0.2">
      <c r="B494" s="15">
        <v>258.88575677871711</v>
      </c>
      <c r="C494" s="15">
        <v>16.154239854574719</v>
      </c>
      <c r="D494" s="15">
        <v>9.2547702789306643E-2</v>
      </c>
      <c r="E494" s="15">
        <v>1.228119877141313E-2</v>
      </c>
      <c r="F494" s="15">
        <v>-1.061784015471499</v>
      </c>
      <c r="G494" s="15">
        <v>7.9829959562417719E-4</v>
      </c>
      <c r="H494" s="15">
        <v>3</v>
      </c>
      <c r="I494" s="15">
        <v>-1.0630342778159061</v>
      </c>
      <c r="J494" s="15">
        <v>-1.061637392040214</v>
      </c>
      <c r="K494" s="15">
        <v>-1.0618920072142151</v>
      </c>
      <c r="L494" s="15">
        <v>-1.061832444066686</v>
      </c>
      <c r="M494" s="15">
        <v>-1.060523956220472</v>
      </c>
      <c r="N494" s="15" t="s">
        <v>597</v>
      </c>
      <c r="O494" s="15" t="s">
        <v>450</v>
      </c>
      <c r="P494" s="15">
        <v>10</v>
      </c>
      <c r="Q494" s="15" t="s">
        <v>576</v>
      </c>
      <c r="R494" s="15">
        <v>2</v>
      </c>
      <c r="S494" s="15" t="s">
        <v>577</v>
      </c>
      <c r="T494" s="15">
        <v>4</v>
      </c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spans="2:30" x14ac:dyDescent="0.2">
      <c r="B495" s="15">
        <v>2620.213777160644</v>
      </c>
      <c r="C495" s="15">
        <v>303.61832932365922</v>
      </c>
      <c r="D495" s="15">
        <v>0.51575026512145994</v>
      </c>
      <c r="E495" s="15">
        <v>7.0515328386949266E-2</v>
      </c>
      <c r="F495" s="15">
        <v>-1.0616716027037261</v>
      </c>
      <c r="G495" s="15">
        <v>9.4877440130518287E-4</v>
      </c>
      <c r="H495" s="15">
        <v>1</v>
      </c>
      <c r="I495" s="15">
        <v>-1.061910855205727</v>
      </c>
      <c r="J495" s="15">
        <v>-1.060720609109947</v>
      </c>
      <c r="K495" s="15">
        <v>-1.061026519794225</v>
      </c>
      <c r="L495" s="15">
        <v>-1.0633994469562009</v>
      </c>
      <c r="M495" s="15">
        <v>-1.061300582452531</v>
      </c>
      <c r="N495" s="15" t="s">
        <v>597</v>
      </c>
      <c r="O495" s="15" t="s">
        <v>450</v>
      </c>
      <c r="P495" s="15">
        <v>100</v>
      </c>
      <c r="Q495" s="15" t="s">
        <v>576</v>
      </c>
      <c r="R495" s="15">
        <v>5</v>
      </c>
      <c r="S495" s="15" t="s">
        <v>577</v>
      </c>
      <c r="T495" s="15">
        <v>4</v>
      </c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spans="2:30" x14ac:dyDescent="0.2">
      <c r="B496" s="15">
        <v>284.30019021034241</v>
      </c>
      <c r="C496" s="15">
        <v>5.5282983242227424</v>
      </c>
      <c r="D496" s="15">
        <v>9.3665409088134768E-2</v>
      </c>
      <c r="E496" s="15">
        <v>1.4991989085007731E-2</v>
      </c>
      <c r="F496" s="15">
        <v>-1.061784015471499</v>
      </c>
      <c r="G496" s="15">
        <v>7.9829959562417719E-4</v>
      </c>
      <c r="H496" s="15">
        <v>3</v>
      </c>
      <c r="I496" s="15">
        <v>-1.0630342778159061</v>
      </c>
      <c r="J496" s="15">
        <v>-1.061637392040214</v>
      </c>
      <c r="K496" s="15">
        <v>-1.0618920072142151</v>
      </c>
      <c r="L496" s="15">
        <v>-1.061832444066686</v>
      </c>
      <c r="M496" s="15">
        <v>-1.060523956220472</v>
      </c>
      <c r="N496" s="15" t="s">
        <v>597</v>
      </c>
      <c r="O496" s="15" t="s">
        <v>450</v>
      </c>
      <c r="P496" s="15">
        <v>10</v>
      </c>
      <c r="Q496" s="15" t="s">
        <v>576</v>
      </c>
      <c r="R496" s="15">
        <v>25</v>
      </c>
      <c r="S496" s="15" t="s">
        <v>577</v>
      </c>
      <c r="T496" s="15">
        <v>4</v>
      </c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spans="2:30" x14ac:dyDescent="0.2">
      <c r="B497" s="15">
        <v>3362.8191057682038</v>
      </c>
      <c r="C497" s="15">
        <v>31.14511862612509</v>
      </c>
      <c r="D497" s="15">
        <v>0.68211193084716792</v>
      </c>
      <c r="E497" s="15">
        <v>4.2950572964579568E-2</v>
      </c>
      <c r="F497" s="15">
        <v>-1.0414363803321329</v>
      </c>
      <c r="G497" s="15">
        <v>8.2801107935490874E-4</v>
      </c>
      <c r="H497" s="15">
        <v>1</v>
      </c>
      <c r="I497" s="15">
        <v>-1.0406490011627589</v>
      </c>
      <c r="J497" s="15">
        <v>-1.040851420012042</v>
      </c>
      <c r="K497" s="15">
        <v>-1.0409914243963641</v>
      </c>
      <c r="L497" s="15">
        <v>-1.042900275777372</v>
      </c>
      <c r="M497" s="15">
        <v>-1.0417897803121281</v>
      </c>
      <c r="N497" s="15" t="s">
        <v>597</v>
      </c>
      <c r="O497" s="15" t="s">
        <v>450</v>
      </c>
      <c r="P497" s="15">
        <v>100</v>
      </c>
      <c r="Q497" s="15" t="s">
        <v>576</v>
      </c>
      <c r="R497" s="15">
        <v>100</v>
      </c>
      <c r="S497" s="15" t="s">
        <v>577</v>
      </c>
      <c r="T497" s="15">
        <v>5</v>
      </c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spans="2:30" x14ac:dyDescent="0.2">
      <c r="B498" s="15">
        <v>332.10058727264402</v>
      </c>
      <c r="C498" s="15">
        <v>2.8274481723360698</v>
      </c>
      <c r="D498" s="15">
        <v>0.10408959388732909</v>
      </c>
      <c r="E498" s="15">
        <v>1.6111825531715689E-2</v>
      </c>
      <c r="F498" s="15">
        <v>-1.0427006753638439</v>
      </c>
      <c r="G498" s="15">
        <v>8.1005844938489941E-4</v>
      </c>
      <c r="H498" s="15">
        <v>3</v>
      </c>
      <c r="I498" s="15">
        <v>-1.042830144257298</v>
      </c>
      <c r="J498" s="15">
        <v>-1.0418125681729169</v>
      </c>
      <c r="K498" s="15">
        <v>-1.0429580518756221</v>
      </c>
      <c r="L498" s="15">
        <v>-1.0418827552465759</v>
      </c>
      <c r="M498" s="15">
        <v>-1.0440198572668069</v>
      </c>
      <c r="N498" s="15" t="s">
        <v>597</v>
      </c>
      <c r="O498" s="15" t="s">
        <v>450</v>
      </c>
      <c r="P498" s="15">
        <v>10</v>
      </c>
      <c r="Q498" s="15" t="s">
        <v>576</v>
      </c>
      <c r="R498" s="15">
        <v>2</v>
      </c>
      <c r="S498" s="15" t="s">
        <v>577</v>
      </c>
      <c r="T498" s="15">
        <v>5</v>
      </c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spans="2:30" x14ac:dyDescent="0.2">
      <c r="B499" s="15">
        <v>3110.4800570487978</v>
      </c>
      <c r="C499" s="15">
        <v>383.52879330509921</v>
      </c>
      <c r="D499" s="15">
        <v>0.58917226791381838</v>
      </c>
      <c r="E499" s="15">
        <v>9.5389014437406841E-2</v>
      </c>
      <c r="F499" s="15">
        <v>-1.0414363803321329</v>
      </c>
      <c r="G499" s="15">
        <v>8.2801107935490874E-4</v>
      </c>
      <c r="H499" s="15">
        <v>1</v>
      </c>
      <c r="I499" s="15">
        <v>-1.0406490011627589</v>
      </c>
      <c r="J499" s="15">
        <v>-1.040851420012042</v>
      </c>
      <c r="K499" s="15">
        <v>-1.0409914243963641</v>
      </c>
      <c r="L499" s="15">
        <v>-1.042900275777372</v>
      </c>
      <c r="M499" s="15">
        <v>-1.0417897803121281</v>
      </c>
      <c r="N499" s="15" t="s">
        <v>597</v>
      </c>
      <c r="O499" s="15" t="s">
        <v>450</v>
      </c>
      <c r="P499" s="15">
        <v>100</v>
      </c>
      <c r="Q499" s="15" t="s">
        <v>576</v>
      </c>
      <c r="R499" s="15">
        <v>5</v>
      </c>
      <c r="S499" s="15" t="s">
        <v>577</v>
      </c>
      <c r="T499" s="15">
        <v>5</v>
      </c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spans="2:30" x14ac:dyDescent="0.2">
      <c r="B500" s="15">
        <v>347.96971144676212</v>
      </c>
      <c r="C500" s="15">
        <v>15.02786165796649</v>
      </c>
      <c r="D500" s="15">
        <v>9.8678684234619146E-2</v>
      </c>
      <c r="E500" s="15">
        <v>1.4951842545625999E-2</v>
      </c>
      <c r="F500" s="15">
        <v>-1.0427006753638439</v>
      </c>
      <c r="G500" s="15">
        <v>8.1005844938489941E-4</v>
      </c>
      <c r="H500" s="15">
        <v>3</v>
      </c>
      <c r="I500" s="15">
        <v>-1.042830144257298</v>
      </c>
      <c r="J500" s="15">
        <v>-1.0418125681729169</v>
      </c>
      <c r="K500" s="15">
        <v>-1.0429580518756221</v>
      </c>
      <c r="L500" s="15">
        <v>-1.0418827552465759</v>
      </c>
      <c r="M500" s="15">
        <v>-1.0440198572668069</v>
      </c>
      <c r="N500" s="15" t="s">
        <v>597</v>
      </c>
      <c r="O500" s="15" t="s">
        <v>450</v>
      </c>
      <c r="P500" s="15">
        <v>10</v>
      </c>
      <c r="Q500" s="15" t="s">
        <v>576</v>
      </c>
      <c r="R500" s="15">
        <v>25</v>
      </c>
      <c r="S500" s="15" t="s">
        <v>577</v>
      </c>
      <c r="T500" s="15">
        <v>5</v>
      </c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spans="2:30" x14ac:dyDescent="0.2">
      <c r="B501" s="15">
        <v>9698.7859254360192</v>
      </c>
      <c r="C501" s="15">
        <v>98.599442339743604</v>
      </c>
      <c r="D501" s="15">
        <v>3.1389160633087161</v>
      </c>
      <c r="E501" s="15">
        <v>0.2992874451315079</v>
      </c>
      <c r="F501" s="15">
        <v>-0.96677540800935569</v>
      </c>
      <c r="G501" s="15">
        <v>1.682011660978704E-3</v>
      </c>
      <c r="H501" s="15">
        <v>2</v>
      </c>
      <c r="I501" s="15">
        <v>-0.96614450281452002</v>
      </c>
      <c r="J501" s="15">
        <v>-0.96614431622005059</v>
      </c>
      <c r="K501" s="15">
        <v>-0.96427331807625927</v>
      </c>
      <c r="L501" s="15">
        <v>-0.96870679076965494</v>
      </c>
      <c r="M501" s="15">
        <v>-0.96860811216629406</v>
      </c>
      <c r="N501" s="15" t="s">
        <v>597</v>
      </c>
      <c r="O501" s="15" t="s">
        <v>450</v>
      </c>
      <c r="P501" s="15">
        <v>100</v>
      </c>
      <c r="Q501" s="15" t="s">
        <v>576</v>
      </c>
      <c r="R501" s="15">
        <v>100</v>
      </c>
      <c r="S501" s="15" t="s">
        <v>577</v>
      </c>
      <c r="T501" s="15">
        <v>57</v>
      </c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spans="2:30" x14ac:dyDescent="0.2">
      <c r="B502" s="15">
        <v>1273.587368774414</v>
      </c>
      <c r="C502" s="15">
        <v>7.5122527920899476</v>
      </c>
      <c r="D502" s="15">
        <v>0.52103233337402344</v>
      </c>
      <c r="E502" s="15">
        <v>8.4281022513856024E-2</v>
      </c>
      <c r="F502" s="15">
        <v>-1.0116365618587939</v>
      </c>
      <c r="G502" s="15">
        <v>2.3687459335676809E-3</v>
      </c>
      <c r="H502" s="15">
        <v>4</v>
      </c>
      <c r="I502" s="15">
        <v>-1.0097490775159439</v>
      </c>
      <c r="J502" s="15">
        <v>-1.012366701222577</v>
      </c>
      <c r="K502" s="15">
        <v>-1.008111610570614</v>
      </c>
      <c r="L502" s="15">
        <v>-1.014512431930781</v>
      </c>
      <c r="M502" s="15">
        <v>-1.0134429880540541</v>
      </c>
      <c r="N502" s="15" t="s">
        <v>597</v>
      </c>
      <c r="O502" s="15" t="s">
        <v>450</v>
      </c>
      <c r="P502" s="15">
        <v>10</v>
      </c>
      <c r="Q502" s="15" t="s">
        <v>576</v>
      </c>
      <c r="R502" s="15">
        <v>2</v>
      </c>
      <c r="S502" s="15" t="s">
        <v>577</v>
      </c>
      <c r="T502" s="15">
        <v>57</v>
      </c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spans="2:30" x14ac:dyDescent="0.2">
      <c r="B503" s="15">
        <v>10893.16750826836</v>
      </c>
      <c r="C503" s="15">
        <v>1607.8072211503541</v>
      </c>
      <c r="D503" s="15">
        <v>3.1944240093231202</v>
      </c>
      <c r="E503" s="15">
        <v>0.75495559266746937</v>
      </c>
      <c r="F503" s="15">
        <v>-0.96352111904523619</v>
      </c>
      <c r="G503" s="15">
        <v>1.4988543414209241E-3</v>
      </c>
      <c r="H503" s="15">
        <v>1</v>
      </c>
      <c r="I503" s="15">
        <v>-0.96304533143687931</v>
      </c>
      <c r="J503" s="15">
        <v>-0.96249649244934632</v>
      </c>
      <c r="K503" s="15">
        <v>-0.96154874656873979</v>
      </c>
      <c r="L503" s="15">
        <v>-0.96539206966652935</v>
      </c>
      <c r="M503" s="15">
        <v>-0.96512295510468582</v>
      </c>
      <c r="N503" s="15" t="s">
        <v>597</v>
      </c>
      <c r="O503" s="15" t="s">
        <v>450</v>
      </c>
      <c r="P503" s="15">
        <v>100</v>
      </c>
      <c r="Q503" s="15" t="s">
        <v>576</v>
      </c>
      <c r="R503" s="15">
        <v>5</v>
      </c>
      <c r="S503" s="15" t="s">
        <v>577</v>
      </c>
      <c r="T503" s="15">
        <v>57</v>
      </c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spans="2:30" x14ac:dyDescent="0.2">
      <c r="B504" s="15">
        <v>1179.25191745758</v>
      </c>
      <c r="C504" s="15">
        <v>30.13237343971678</v>
      </c>
      <c r="D504" s="15">
        <v>0.37472591400146482</v>
      </c>
      <c r="E504" s="15">
        <v>2.846485339252109E-2</v>
      </c>
      <c r="F504" s="15">
        <v>-0.99293079450798705</v>
      </c>
      <c r="G504" s="15">
        <v>2.264861619593233E-3</v>
      </c>
      <c r="H504" s="15">
        <v>3</v>
      </c>
      <c r="I504" s="15">
        <v>-0.9926507892516957</v>
      </c>
      <c r="J504" s="15">
        <v>-0.99279439546959314</v>
      </c>
      <c r="K504" s="15">
        <v>-0.98897641546236303</v>
      </c>
      <c r="L504" s="15">
        <v>-0.99469074758217491</v>
      </c>
      <c r="M504" s="15">
        <v>-0.99554162477410801</v>
      </c>
      <c r="N504" s="15" t="s">
        <v>597</v>
      </c>
      <c r="O504" s="15" t="s">
        <v>450</v>
      </c>
      <c r="P504" s="15">
        <v>10</v>
      </c>
      <c r="Q504" s="15" t="s">
        <v>576</v>
      </c>
      <c r="R504" s="15">
        <v>25</v>
      </c>
      <c r="S504" s="15" t="s">
        <v>577</v>
      </c>
      <c r="T504" s="15">
        <v>57</v>
      </c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spans="2:30" x14ac:dyDescent="0.2">
      <c r="B505" s="15">
        <v>5112.1209803104402</v>
      </c>
      <c r="C505" s="15">
        <v>33.819258692636623</v>
      </c>
      <c r="D505" s="15">
        <v>1.3817626476287841</v>
      </c>
      <c r="E505" s="15">
        <v>0.15610406547287409</v>
      </c>
      <c r="F505" s="15">
        <v>-1.0017000106755889</v>
      </c>
      <c r="G505" s="15">
        <v>1.197438058022568E-3</v>
      </c>
      <c r="H505" s="15">
        <v>2</v>
      </c>
      <c r="I505" s="15">
        <v>-1.000391581647939</v>
      </c>
      <c r="J505" s="15">
        <v>-1.000626294763292</v>
      </c>
      <c r="K505" s="15">
        <v>-1.001235119198665</v>
      </c>
      <c r="L505" s="15">
        <v>-1.003256767145184</v>
      </c>
      <c r="M505" s="15">
        <v>-1.002990290622866</v>
      </c>
      <c r="N505" s="15" t="s">
        <v>597</v>
      </c>
      <c r="O505" s="15" t="s">
        <v>450</v>
      </c>
      <c r="P505" s="15">
        <v>100</v>
      </c>
      <c r="Q505" s="15" t="s">
        <v>576</v>
      </c>
      <c r="R505" s="15">
        <v>100</v>
      </c>
      <c r="S505" s="15" t="s">
        <v>577</v>
      </c>
      <c r="T505" s="15">
        <v>8</v>
      </c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spans="2:30" x14ac:dyDescent="0.2">
      <c r="B506" s="15">
        <v>435.61632933616642</v>
      </c>
      <c r="C506" s="15">
        <v>8.3674744469358391</v>
      </c>
      <c r="D506" s="15">
        <v>0.1410463333129883</v>
      </c>
      <c r="E506" s="15">
        <v>2.4962112292903179E-2</v>
      </c>
      <c r="F506" s="15">
        <v>-1.003899508885691</v>
      </c>
      <c r="G506" s="15">
        <v>1.19769340064907E-3</v>
      </c>
      <c r="H506" s="15">
        <v>4</v>
      </c>
      <c r="I506" s="15">
        <v>-1.002162635315978</v>
      </c>
      <c r="J506" s="15">
        <v>-1.003153749371982</v>
      </c>
      <c r="K506" s="15">
        <v>-1.0039704913670939</v>
      </c>
      <c r="L506" s="15">
        <v>-1.004519504631898</v>
      </c>
      <c r="M506" s="15">
        <v>-1.005691163741504</v>
      </c>
      <c r="N506" s="15" t="s">
        <v>597</v>
      </c>
      <c r="O506" s="15" t="s">
        <v>450</v>
      </c>
      <c r="P506" s="15">
        <v>10</v>
      </c>
      <c r="Q506" s="15" t="s">
        <v>576</v>
      </c>
      <c r="R506" s="15">
        <v>2</v>
      </c>
      <c r="S506" s="15" t="s">
        <v>577</v>
      </c>
      <c r="T506" s="15">
        <v>8</v>
      </c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spans="2:30" x14ac:dyDescent="0.2">
      <c r="B507" s="15">
        <v>4838.0810111522678</v>
      </c>
      <c r="C507" s="15">
        <v>614.47217951934977</v>
      </c>
      <c r="D507" s="15">
        <v>1.147504568099976</v>
      </c>
      <c r="E507" s="15">
        <v>0.2245286823727653</v>
      </c>
      <c r="F507" s="15">
        <v>-1.001569805712021</v>
      </c>
      <c r="G507" s="15">
        <v>1.2089693429015789E-3</v>
      </c>
      <c r="H507" s="15">
        <v>1</v>
      </c>
      <c r="I507" s="15">
        <v>-1.000235512234255</v>
      </c>
      <c r="J507" s="15">
        <v>-1.000495919768243</v>
      </c>
      <c r="K507" s="15">
        <v>-1.0011077810667479</v>
      </c>
      <c r="L507" s="15">
        <v>-1.003149755579211</v>
      </c>
      <c r="M507" s="15">
        <v>-1.0028600599116479</v>
      </c>
      <c r="N507" s="15" t="s">
        <v>597</v>
      </c>
      <c r="O507" s="15" t="s">
        <v>450</v>
      </c>
      <c r="P507" s="15">
        <v>100</v>
      </c>
      <c r="Q507" s="15" t="s">
        <v>576</v>
      </c>
      <c r="R507" s="15">
        <v>5</v>
      </c>
      <c r="S507" s="15" t="s">
        <v>577</v>
      </c>
      <c r="T507" s="15">
        <v>8</v>
      </c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spans="2:30" x14ac:dyDescent="0.2">
      <c r="B508" s="15">
        <v>544.79367260932918</v>
      </c>
      <c r="C508" s="15">
        <v>11.070014713775951</v>
      </c>
      <c r="D508" s="15">
        <v>0.1573955535888672</v>
      </c>
      <c r="E508" s="15">
        <v>3.1866154743463347E-2</v>
      </c>
      <c r="F508" s="15">
        <v>-1.003874722213824</v>
      </c>
      <c r="G508" s="15">
        <v>1.188391037492673E-3</v>
      </c>
      <c r="H508" s="15">
        <v>3</v>
      </c>
      <c r="I508" s="15">
        <v>-1.0021338511668201</v>
      </c>
      <c r="J508" s="15">
        <v>-1.003162464770881</v>
      </c>
      <c r="K508" s="15">
        <v>-1.0039695039212859</v>
      </c>
      <c r="L508" s="15">
        <v>-1.004448280101079</v>
      </c>
      <c r="M508" s="15">
        <v>-1.005659511109054</v>
      </c>
      <c r="N508" s="15" t="s">
        <v>597</v>
      </c>
      <c r="O508" s="15" t="s">
        <v>450</v>
      </c>
      <c r="P508" s="15">
        <v>10</v>
      </c>
      <c r="Q508" s="15" t="s">
        <v>576</v>
      </c>
      <c r="R508" s="15">
        <v>25</v>
      </c>
      <c r="S508" s="15" t="s">
        <v>577</v>
      </c>
      <c r="T508" s="15">
        <v>8</v>
      </c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</sheetData>
  <autoFilter ref="B6:AD6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0.499984740745262"/>
  </sheetPr>
  <dimension ref="A1:BN307"/>
  <sheetViews>
    <sheetView showGridLines="0" topLeftCell="A2" workbookViewId="0">
      <selection activeCell="B13" sqref="B13"/>
    </sheetView>
  </sheetViews>
  <sheetFormatPr baseColWidth="10" defaultColWidth="8.83203125" defaultRowHeight="15" x14ac:dyDescent="0.2"/>
  <cols>
    <col min="1" max="1" width="3.5" customWidth="1"/>
    <col min="2" max="2" width="15.5" bestFit="1" customWidth="1"/>
    <col min="3" max="3" width="3.5" customWidth="1"/>
    <col min="4" max="4" width="23.83203125" bestFit="1" customWidth="1"/>
    <col min="5" max="5" width="3.5" customWidth="1"/>
    <col min="6" max="6" width="19.83203125" bestFit="1" customWidth="1"/>
    <col min="7" max="7" width="24.33203125" bestFit="1" customWidth="1"/>
    <col min="8" max="8" width="24.33203125" customWidth="1"/>
    <col min="9" max="9" width="3.5" customWidth="1"/>
    <col min="10" max="10" width="19.83203125" bestFit="1" customWidth="1"/>
    <col min="11" max="11" width="24.33203125" bestFit="1" customWidth="1"/>
    <col min="12" max="12" width="24.33203125" customWidth="1"/>
    <col min="13" max="13" width="3.5" customWidth="1"/>
    <col min="14" max="14" width="4.5" bestFit="1" customWidth="1"/>
    <col min="15" max="15" width="14.5" bestFit="1" customWidth="1"/>
    <col min="16" max="16" width="5.6640625" bestFit="1" customWidth="1"/>
    <col min="17" max="17" width="3.5" customWidth="1"/>
    <col min="18" max="18" width="4.5" bestFit="1" customWidth="1"/>
    <col min="19" max="19" width="14.5" bestFit="1" customWidth="1"/>
    <col min="20" max="20" width="5.6640625" bestFit="1" customWidth="1"/>
    <col min="21" max="21" width="3.5" customWidth="1"/>
    <col min="22" max="22" width="14.83203125" bestFit="1" customWidth="1"/>
    <col min="24" max="24" width="22.83203125" bestFit="1" customWidth="1"/>
  </cols>
  <sheetData>
    <row r="1" spans="1:66" x14ac:dyDescent="0.2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</row>
    <row r="2" spans="1:66" s="17" customFormat="1" ht="22" customHeight="1" x14ac:dyDescent="0.3">
      <c r="B2" s="17" t="s">
        <v>598</v>
      </c>
    </row>
    <row r="3" spans="1:66" s="16" customFormat="1" x14ac:dyDescent="0.2"/>
    <row r="5" spans="1:66" ht="3" customHeight="1" x14ac:dyDescent="0.2"/>
    <row r="6" spans="1:66" x14ac:dyDescent="0.2">
      <c r="F6" s="23" t="s">
        <v>599</v>
      </c>
      <c r="G6" s="23"/>
      <c r="H6" s="23"/>
      <c r="J6" s="23" t="s">
        <v>600</v>
      </c>
      <c r="K6" s="23"/>
      <c r="L6" s="23"/>
      <c r="N6" s="23" t="s">
        <v>601</v>
      </c>
      <c r="O6" s="23"/>
      <c r="P6" s="23"/>
      <c r="R6" s="23" t="s">
        <v>602</v>
      </c>
      <c r="S6" s="23"/>
      <c r="T6" s="23"/>
    </row>
    <row r="7" spans="1:66" ht="3" customHeight="1" x14ac:dyDescent="0.2"/>
    <row r="8" spans="1:66" x14ac:dyDescent="0.2">
      <c r="B8" s="16" t="s">
        <v>441</v>
      </c>
      <c r="D8" s="16" t="s">
        <v>603</v>
      </c>
      <c r="F8" s="22" t="str">
        <f>D9</f>
        <v>Real_20240512_070043</v>
      </c>
      <c r="G8" s="16" t="str">
        <f>D10</f>
        <v>Predicted_20240512_070043</v>
      </c>
      <c r="H8" s="16" t="s">
        <v>604</v>
      </c>
      <c r="J8" s="22" t="str">
        <f>F8</f>
        <v>Real_20240512_070043</v>
      </c>
      <c r="K8" s="16" t="str">
        <f>G8</f>
        <v>Predicted_20240512_070043</v>
      </c>
      <c r="L8" s="16" t="s">
        <v>604</v>
      </c>
      <c r="N8" s="16" t="s">
        <v>605</v>
      </c>
      <c r="O8" s="16" t="s">
        <v>606</v>
      </c>
      <c r="P8" s="16" t="s">
        <v>607</v>
      </c>
      <c r="R8" s="16" t="str">
        <f>N8</f>
        <v>Real</v>
      </c>
      <c r="S8" s="16" t="str">
        <f>O8</f>
        <v>Predicted bucket</v>
      </c>
      <c r="T8" s="16" t="str">
        <f>P8</f>
        <v>Count</v>
      </c>
      <c r="V8" s="16" t="s">
        <v>608</v>
      </c>
      <c r="X8" s="16" t="str">
        <f>Dashboard!C65&amp;" - " &amp;Dashboard!C7</f>
        <v>n_estimators - 20240512_070043</v>
      </c>
      <c r="Y8" s="16" t="s">
        <v>541</v>
      </c>
    </row>
    <row r="9" spans="1:66" x14ac:dyDescent="0.2">
      <c r="B9" s="4" t="str">
        <f t="array" ref="B9:B26">_xlfn.UNIQUE('General inputs'!B6:B305)</f>
        <v>20260427_181736</v>
      </c>
      <c r="D9" s="4" t="str">
        <f>"Real_"&amp;Dashboard!$C$7</f>
        <v>Real_20240512_070043</v>
      </c>
      <c r="F9" s="4">
        <f t="array" ref="F9:F307">INDEX('Train prediction inputs'!$B$6:$ZZ$304, , MATCH(F$8, 'Train prediction inputs'!$B$5:$ZZ$5, 0))</f>
        <v>3</v>
      </c>
      <c r="G9" s="4">
        <f t="array" ref="G9:G307">INDEX('Train prediction inputs'!$B$6:$ZZ$304, , MATCH(G$8, 'Train prediction inputs'!$B$5:$ZZ$5, 0))</f>
        <v>3.3647306000000001</v>
      </c>
      <c r="H9" s="4">
        <f t="shared" ref="H9:H72" si="0">IF(G9&lt;0.5, 0, IF(G9&lt;1.5, 1, IF(G9&lt;2.5, 2, IF(G9&lt;3.5, 3, IF(G9&lt;4.5, 4, 5)))))</f>
        <v>3</v>
      </c>
      <c r="J9" s="4">
        <f t="array" ref="J9:J307">INDEX('Test prediction inputs'!$B$6:$ZZ$304, , MATCH(F$8, 'Test prediction inputs'!$B$5:$ZZ$5, 0))</f>
        <v>4</v>
      </c>
      <c r="K9" s="4">
        <f t="array" ref="K9:K307">INDEX('Test prediction inputs'!$B$6:$ZZ$304, , MATCH(G$8, 'Test prediction inputs'!$B$5:$ZZ$5, 0))</f>
        <v>3.891651</v>
      </c>
      <c r="L9" s="4">
        <f t="shared" ref="L9:L72" si="1">IF(K9&lt;0.5, 0, IF(K9&lt;1.5, 1, IF(K9&lt;2.5, 2, IF(K9&lt;3.5, 3, IF(K9&lt;4.5, 4, 5)))))</f>
        <v>4</v>
      </c>
      <c r="N9" s="4">
        <v>1</v>
      </c>
      <c r="O9" s="4">
        <v>1</v>
      </c>
      <c r="P9" s="4">
        <f t="shared" ref="P9:P33" si="2">COUNTIFS(_xlfn.ANCHORARRAY($F$9), N9, $H$9:$H$307, O9)</f>
        <v>3</v>
      </c>
      <c r="R9" s="4">
        <f t="shared" ref="R9:R33" si="3">N9</f>
        <v>1</v>
      </c>
      <c r="S9" s="4">
        <f t="shared" ref="S9:S33" si="4">O9</f>
        <v>1</v>
      </c>
      <c r="T9" s="4">
        <f t="shared" ref="T9:T33" si="5">COUNTIFS(_xlfn.ANCHORARRAY($J$9), R9, $L$9:$L$307, S9)</f>
        <v>2</v>
      </c>
      <c r="V9" s="4" t="str">
        <f>INDEX('Execution deepdive inputs'!$O$7:$O$1048576, MATCH(Dashboard!$C$7, 'Execution deepdive inputs'!$N$7:$N$1048576, 0))</f>
        <v>subsample</v>
      </c>
      <c r="X9" s="4">
        <f t="array" ref="X9:X108">_xlfn._xlws.FILTER(INDEX('Execution deepdive inputs'!$B$7:$AA$25000, , MATCH(Dashboard!$C$65, 'Execution deepdive inputs'!B5:AA5, 0)+1), 'Execution deepdive inputs'!$N$7:$N$25000=Dashboard!$C$7)</f>
        <v>300</v>
      </c>
      <c r="Y9" s="4">
        <f t="array" ref="Y9:Y108">_xlfn._xlws.FILTER('Execution deepdive inputs'!$F$7:$F$25000, 'Execution deepdive inputs'!$N$7:$N$25000=Dashboard!$C$7)</f>
        <v>-1.0313966960677929</v>
      </c>
      <c r="AD9" s="36" t="s">
        <v>609</v>
      </c>
    </row>
    <row r="10" spans="1:66" x14ac:dyDescent="0.2">
      <c r="B10" s="4" t="str">
        <v>20260427_181817</v>
      </c>
      <c r="D10" s="4" t="str">
        <f>"Predicted_"&amp;Dashboard!$C$7</f>
        <v>Predicted_20240512_070043</v>
      </c>
      <c r="F10" s="4">
        <v>5</v>
      </c>
      <c r="G10" s="4">
        <v>4.3741764999999999</v>
      </c>
      <c r="H10" s="4">
        <f t="shared" si="0"/>
        <v>4</v>
      </c>
      <c r="J10" s="4">
        <v>3</v>
      </c>
      <c r="K10" s="4">
        <v>3.5741133999999999</v>
      </c>
      <c r="L10" s="4">
        <f t="shared" si="1"/>
        <v>4</v>
      </c>
      <c r="N10" s="4">
        <v>1</v>
      </c>
      <c r="O10" s="4">
        <v>2</v>
      </c>
      <c r="P10" s="4">
        <f t="shared" si="2"/>
        <v>9</v>
      </c>
      <c r="R10" s="4">
        <f t="shared" si="3"/>
        <v>1</v>
      </c>
      <c r="S10" s="4">
        <f t="shared" si="4"/>
        <v>2</v>
      </c>
      <c r="T10" s="4">
        <f t="shared" si="5"/>
        <v>11</v>
      </c>
      <c r="V10" s="4" t="str">
        <f>INDEX('Execution deepdive inputs'!$Q$7:$Q$1048576, MATCH(Dashboard!$C$7, 'Execution deepdive inputs'!$N$7:$N$1048576, 0))</f>
        <v>reg_lambda</v>
      </c>
      <c r="X10" s="4">
        <v>100</v>
      </c>
      <c r="Y10" s="4">
        <v>-1.2586168055477389</v>
      </c>
    </row>
    <row r="11" spans="1:66" x14ac:dyDescent="0.2">
      <c r="B11" s="4" t="str">
        <v>20260427_181844</v>
      </c>
      <c r="F11" s="4">
        <v>3</v>
      </c>
      <c r="G11" s="4">
        <v>2.8082880000000001</v>
      </c>
      <c r="H11" s="4">
        <f t="shared" si="0"/>
        <v>3</v>
      </c>
      <c r="J11" s="4">
        <v>3</v>
      </c>
      <c r="K11" s="4">
        <v>3.0231737999999999</v>
      </c>
      <c r="L11" s="4">
        <f t="shared" si="1"/>
        <v>3</v>
      </c>
      <c r="N11" s="4">
        <v>1</v>
      </c>
      <c r="O11" s="4">
        <v>3</v>
      </c>
      <c r="P11" s="4">
        <f t="shared" si="2"/>
        <v>6</v>
      </c>
      <c r="R11" s="4">
        <f t="shared" si="3"/>
        <v>1</v>
      </c>
      <c r="S11" s="4">
        <f t="shared" si="4"/>
        <v>3</v>
      </c>
      <c r="T11" s="4">
        <f t="shared" si="5"/>
        <v>6</v>
      </c>
      <c r="V11" s="4" t="str">
        <f>INDEX('Execution deepdive inputs'!$S$7:$S$1048576, MATCH(Dashboard!$C$7, 'Execution deepdive inputs'!$N$7:$N$1048576, 0))</f>
        <v>reg_alpha</v>
      </c>
      <c r="X11" s="4">
        <v>400</v>
      </c>
      <c r="Y11" s="4">
        <v>-0.99976481589948707</v>
      </c>
    </row>
    <row r="12" spans="1:66" x14ac:dyDescent="0.2">
      <c r="B12" s="4" t="str">
        <v>20260427_181932</v>
      </c>
      <c r="F12" s="4">
        <v>3</v>
      </c>
      <c r="G12" s="4">
        <v>4.2254452999999996</v>
      </c>
      <c r="H12" s="4">
        <f t="shared" si="0"/>
        <v>4</v>
      </c>
      <c r="J12" s="4">
        <v>2</v>
      </c>
      <c r="K12" s="4">
        <v>2.3481337999999998</v>
      </c>
      <c r="L12" s="4">
        <f t="shared" si="1"/>
        <v>2</v>
      </c>
      <c r="N12" s="4">
        <v>1</v>
      </c>
      <c r="O12" s="4">
        <v>4</v>
      </c>
      <c r="P12" s="4">
        <f t="shared" si="2"/>
        <v>6</v>
      </c>
      <c r="R12" s="4">
        <f t="shared" si="3"/>
        <v>1</v>
      </c>
      <c r="S12" s="4">
        <f t="shared" si="4"/>
        <v>4</v>
      </c>
      <c r="T12" s="4">
        <f t="shared" si="5"/>
        <v>10</v>
      </c>
      <c r="V12" s="4" t="str">
        <f>INDEX('Execution deepdive inputs'!$U$7:$U$1048576, MATCH(Dashboard!$C$7, 'Execution deepdive inputs'!$N$7:$N$1048576, 0))</f>
        <v>n_estimators</v>
      </c>
      <c r="X12" s="4">
        <v>400</v>
      </c>
      <c r="Y12" s="4">
        <v>-1.065861653909232</v>
      </c>
    </row>
    <row r="13" spans="1:66" x14ac:dyDescent="0.2">
      <c r="B13" s="4" t="str">
        <v>20260427_182011</v>
      </c>
      <c r="F13" s="4">
        <v>4</v>
      </c>
      <c r="G13" s="4">
        <v>4.0832623999999997</v>
      </c>
      <c r="H13" s="4">
        <f t="shared" si="0"/>
        <v>4</v>
      </c>
      <c r="J13" s="4">
        <v>3</v>
      </c>
      <c r="K13" s="4">
        <v>3.8366832999999998</v>
      </c>
      <c r="L13" s="4">
        <f t="shared" si="1"/>
        <v>4</v>
      </c>
      <c r="N13" s="4">
        <v>1</v>
      </c>
      <c r="O13" s="4">
        <v>5</v>
      </c>
      <c r="P13" s="4">
        <f t="shared" si="2"/>
        <v>0</v>
      </c>
      <c r="R13" s="4">
        <f t="shared" si="3"/>
        <v>1</v>
      </c>
      <c r="S13" s="4">
        <f t="shared" si="4"/>
        <v>5</v>
      </c>
      <c r="T13" s="4">
        <f t="shared" si="5"/>
        <v>0</v>
      </c>
      <c r="V13" s="4" t="str">
        <f>INDEX('Execution deepdive inputs'!$W$7:$W$1048576, MATCH(Dashboard!$C$7, 'Execution deepdive inputs'!$N$7:$N$1048576, 0))</f>
        <v>max_depth</v>
      </c>
      <c r="X13" s="4">
        <v>400</v>
      </c>
      <c r="Y13" s="4">
        <v>-1.0057899381631601</v>
      </c>
    </row>
    <row r="14" spans="1:66" x14ac:dyDescent="0.2">
      <c r="B14" s="4" t="str">
        <v>20260427_182729</v>
      </c>
      <c r="F14" s="4">
        <v>3</v>
      </c>
      <c r="G14" s="4">
        <v>4.1902245999999996</v>
      </c>
      <c r="H14" s="4">
        <f t="shared" si="0"/>
        <v>4</v>
      </c>
      <c r="J14" s="4">
        <v>2</v>
      </c>
      <c r="K14" s="4">
        <v>3.0082260000000001</v>
      </c>
      <c r="L14" s="4">
        <f t="shared" si="1"/>
        <v>3</v>
      </c>
      <c r="N14" s="4">
        <f t="shared" ref="N14:N33" si="6">N9+1</f>
        <v>2</v>
      </c>
      <c r="O14" s="4">
        <f t="shared" ref="O14:O33" si="7">O9</f>
        <v>1</v>
      </c>
      <c r="P14" s="4">
        <f t="shared" si="2"/>
        <v>0</v>
      </c>
      <c r="R14" s="4">
        <f t="shared" si="3"/>
        <v>2</v>
      </c>
      <c r="S14" s="4">
        <f t="shared" si="4"/>
        <v>1</v>
      </c>
      <c r="T14" s="4">
        <f t="shared" si="5"/>
        <v>1</v>
      </c>
      <c r="V14" s="4" t="str">
        <f>INDEX('Execution deepdive inputs'!$Y$7:$Y$1048576, MATCH(Dashboard!$C$7, 'Execution deepdive inputs'!$N$7:$N$1048576, 0))</f>
        <v>learning_rate</v>
      </c>
      <c r="X14" s="4">
        <v>300</v>
      </c>
      <c r="Y14" s="4">
        <v>-1.017450442162354</v>
      </c>
    </row>
    <row r="15" spans="1:66" x14ac:dyDescent="0.2">
      <c r="B15" s="4" t="str">
        <v>20260427_182755</v>
      </c>
      <c r="F15" s="4">
        <v>2</v>
      </c>
      <c r="G15" s="4">
        <v>2.1649487000000001</v>
      </c>
      <c r="H15" s="4">
        <f t="shared" si="0"/>
        <v>2</v>
      </c>
      <c r="J15" s="4">
        <v>5</v>
      </c>
      <c r="K15" s="4">
        <v>3.31209</v>
      </c>
      <c r="L15" s="4">
        <f t="shared" si="1"/>
        <v>3</v>
      </c>
      <c r="N15" s="4">
        <f t="shared" si="6"/>
        <v>2</v>
      </c>
      <c r="O15" s="4">
        <f t="shared" si="7"/>
        <v>2</v>
      </c>
      <c r="P15" s="4">
        <f t="shared" si="2"/>
        <v>9</v>
      </c>
      <c r="R15" s="4">
        <f t="shared" si="3"/>
        <v>2</v>
      </c>
      <c r="S15" s="4">
        <f t="shared" si="4"/>
        <v>2</v>
      </c>
      <c r="T15" s="4">
        <f t="shared" si="5"/>
        <v>7</v>
      </c>
      <c r="V15" s="4" t="str">
        <f>INDEX('Execution deepdive inputs'!$AA$7:$AA$1048576, MATCH(Dashboard!$C$7, 'Execution deepdive inputs'!$N$7:$N$1048576, 0))</f>
        <v>gamma</v>
      </c>
      <c r="X15" s="4">
        <v>200</v>
      </c>
      <c r="Y15" s="4">
        <v>-1.002150725371687</v>
      </c>
    </row>
    <row r="16" spans="1:66" x14ac:dyDescent="0.2">
      <c r="B16" s="4" t="str">
        <v>20260427_182824</v>
      </c>
      <c r="F16" s="4">
        <v>5</v>
      </c>
      <c r="G16" s="4">
        <v>4.3592829999999996</v>
      </c>
      <c r="H16" s="4">
        <f t="shared" si="0"/>
        <v>4</v>
      </c>
      <c r="J16" s="4">
        <v>4</v>
      </c>
      <c r="K16" s="4">
        <v>3.6984987</v>
      </c>
      <c r="L16" s="4">
        <f t="shared" si="1"/>
        <v>4</v>
      </c>
      <c r="N16" s="4">
        <f t="shared" si="6"/>
        <v>2</v>
      </c>
      <c r="O16" s="4">
        <f t="shared" si="7"/>
        <v>3</v>
      </c>
      <c r="P16" s="4">
        <f t="shared" si="2"/>
        <v>6</v>
      </c>
      <c r="R16" s="4">
        <f t="shared" si="3"/>
        <v>2</v>
      </c>
      <c r="S16" s="4">
        <f t="shared" si="4"/>
        <v>3</v>
      </c>
      <c r="T16" s="4">
        <f t="shared" si="5"/>
        <v>10</v>
      </c>
      <c r="X16" s="4">
        <v>300</v>
      </c>
      <c r="Y16" s="4">
        <v>-1.0414175747622181</v>
      </c>
    </row>
    <row r="17" spans="2:25" x14ac:dyDescent="0.2">
      <c r="B17" t="str">
        <v>20260427_182853</v>
      </c>
      <c r="F17" s="4">
        <v>4</v>
      </c>
      <c r="G17" s="4">
        <v>4.7625630000000001</v>
      </c>
      <c r="H17" s="4">
        <f t="shared" si="0"/>
        <v>5</v>
      </c>
      <c r="J17" s="4">
        <v>1</v>
      </c>
      <c r="K17" s="4">
        <v>4.3758983999999996</v>
      </c>
      <c r="L17" s="4">
        <f t="shared" si="1"/>
        <v>4</v>
      </c>
      <c r="N17" s="4">
        <f t="shared" si="6"/>
        <v>2</v>
      </c>
      <c r="O17" s="4">
        <f t="shared" si="7"/>
        <v>4</v>
      </c>
      <c r="P17" s="4">
        <f t="shared" si="2"/>
        <v>9</v>
      </c>
      <c r="R17" s="4">
        <f t="shared" si="3"/>
        <v>2</v>
      </c>
      <c r="S17" s="4">
        <f t="shared" si="4"/>
        <v>4</v>
      </c>
      <c r="T17" s="4">
        <f t="shared" si="5"/>
        <v>13</v>
      </c>
      <c r="X17" s="4">
        <v>200</v>
      </c>
      <c r="Y17" s="4">
        <v>-1.0153908424132301</v>
      </c>
    </row>
    <row r="18" spans="2:25" x14ac:dyDescent="0.2">
      <c r="B18" t="str">
        <v>20260427_183709</v>
      </c>
      <c r="F18" s="4">
        <v>4</v>
      </c>
      <c r="G18" s="4">
        <v>4.4991890000000003</v>
      </c>
      <c r="H18" s="4">
        <f t="shared" si="0"/>
        <v>4</v>
      </c>
      <c r="J18" s="4">
        <v>4</v>
      </c>
      <c r="K18" s="4">
        <v>2.8832323999999998</v>
      </c>
      <c r="L18" s="4">
        <f t="shared" si="1"/>
        <v>3</v>
      </c>
      <c r="N18" s="4">
        <f t="shared" si="6"/>
        <v>2</v>
      </c>
      <c r="O18" s="4">
        <f t="shared" si="7"/>
        <v>5</v>
      </c>
      <c r="P18" s="4">
        <f t="shared" si="2"/>
        <v>0</v>
      </c>
      <c r="R18" s="4">
        <f t="shared" si="3"/>
        <v>2</v>
      </c>
      <c r="S18" s="4">
        <f t="shared" si="4"/>
        <v>5</v>
      </c>
      <c r="T18" s="4">
        <f t="shared" si="5"/>
        <v>0</v>
      </c>
      <c r="X18" s="4">
        <v>400</v>
      </c>
      <c r="Y18" s="4">
        <v>-1.1813165141114641</v>
      </c>
    </row>
    <row r="19" spans="2:25" x14ac:dyDescent="0.2">
      <c r="B19" t="str">
        <v>20260427_183734</v>
      </c>
      <c r="F19" s="4">
        <v>2</v>
      </c>
      <c r="G19" s="4">
        <v>3.6603520000000001</v>
      </c>
      <c r="H19" s="4">
        <f t="shared" si="0"/>
        <v>4</v>
      </c>
      <c r="J19" s="4">
        <v>2</v>
      </c>
      <c r="K19" s="4">
        <v>2.8674903</v>
      </c>
      <c r="L19" s="4">
        <f t="shared" si="1"/>
        <v>3</v>
      </c>
      <c r="N19" s="4">
        <f t="shared" si="6"/>
        <v>3</v>
      </c>
      <c r="O19" s="4">
        <f t="shared" si="7"/>
        <v>1</v>
      </c>
      <c r="P19" s="4">
        <f t="shared" si="2"/>
        <v>0</v>
      </c>
      <c r="R19" s="4">
        <f t="shared" si="3"/>
        <v>3</v>
      </c>
      <c r="S19" s="4">
        <f t="shared" si="4"/>
        <v>1</v>
      </c>
      <c r="T19" s="4">
        <f t="shared" si="5"/>
        <v>1</v>
      </c>
      <c r="X19" s="4">
        <v>400</v>
      </c>
      <c r="Y19" s="4">
        <v>-1.0077114745781659</v>
      </c>
    </row>
    <row r="20" spans="2:25" x14ac:dyDescent="0.2">
      <c r="B20" t="str">
        <v>20260427_183801</v>
      </c>
      <c r="F20" s="4">
        <v>3</v>
      </c>
      <c r="G20" s="4">
        <v>2.7960148</v>
      </c>
      <c r="H20" s="4">
        <f t="shared" si="0"/>
        <v>3</v>
      </c>
      <c r="J20" s="4">
        <v>5</v>
      </c>
      <c r="K20" s="4">
        <v>3.2492070000000002</v>
      </c>
      <c r="L20" s="4">
        <f t="shared" si="1"/>
        <v>3</v>
      </c>
      <c r="N20" s="4">
        <f t="shared" si="6"/>
        <v>3</v>
      </c>
      <c r="O20" s="4">
        <f t="shared" si="7"/>
        <v>2</v>
      </c>
      <c r="P20" s="4">
        <f t="shared" si="2"/>
        <v>5</v>
      </c>
      <c r="R20" s="4">
        <f t="shared" si="3"/>
        <v>3</v>
      </c>
      <c r="S20" s="4">
        <f t="shared" si="4"/>
        <v>2</v>
      </c>
      <c r="T20" s="4">
        <f t="shared" si="5"/>
        <v>1</v>
      </c>
      <c r="X20" s="4">
        <v>200</v>
      </c>
      <c r="Y20" s="4">
        <v>-1.0398339960902501</v>
      </c>
    </row>
    <row r="21" spans="2:25" x14ac:dyDescent="0.2">
      <c r="B21" t="str">
        <v>20260427_183830</v>
      </c>
      <c r="F21" s="4">
        <v>1</v>
      </c>
      <c r="G21" s="4">
        <v>1.3468715</v>
      </c>
      <c r="H21" s="4">
        <f t="shared" si="0"/>
        <v>1</v>
      </c>
      <c r="J21" s="4">
        <v>3</v>
      </c>
      <c r="K21" s="4">
        <v>3.7178311000000002</v>
      </c>
      <c r="L21" s="4">
        <f t="shared" si="1"/>
        <v>4</v>
      </c>
      <c r="N21" s="4">
        <f t="shared" si="6"/>
        <v>3</v>
      </c>
      <c r="O21" s="4">
        <f t="shared" si="7"/>
        <v>3</v>
      </c>
      <c r="P21" s="4">
        <f t="shared" si="2"/>
        <v>21</v>
      </c>
      <c r="R21" s="4">
        <f t="shared" si="3"/>
        <v>3</v>
      </c>
      <c r="S21" s="4">
        <f t="shared" si="4"/>
        <v>3</v>
      </c>
      <c r="T21" s="4">
        <f t="shared" si="5"/>
        <v>23</v>
      </c>
      <c r="X21" s="4">
        <v>300</v>
      </c>
      <c r="Y21" s="4">
        <v>-1.0533165353712319</v>
      </c>
    </row>
    <row r="22" spans="2:25" x14ac:dyDescent="0.2">
      <c r="B22" t="str">
        <v>20260427_215558</v>
      </c>
      <c r="F22" s="4">
        <v>3</v>
      </c>
      <c r="G22" s="4">
        <v>3.4593731999999999</v>
      </c>
      <c r="H22" s="4">
        <f t="shared" si="0"/>
        <v>3</v>
      </c>
      <c r="J22" s="4">
        <v>4</v>
      </c>
      <c r="K22" s="4">
        <v>3.9525185</v>
      </c>
      <c r="L22" s="4">
        <f t="shared" si="1"/>
        <v>4</v>
      </c>
      <c r="N22" s="4">
        <f t="shared" si="6"/>
        <v>3</v>
      </c>
      <c r="O22" s="4">
        <f t="shared" si="7"/>
        <v>4</v>
      </c>
      <c r="P22" s="4">
        <f t="shared" si="2"/>
        <v>29</v>
      </c>
      <c r="R22" s="4">
        <f t="shared" si="3"/>
        <v>3</v>
      </c>
      <c r="S22" s="4">
        <f t="shared" si="4"/>
        <v>4</v>
      </c>
      <c r="T22" s="4">
        <f t="shared" si="5"/>
        <v>36</v>
      </c>
      <c r="X22" s="4">
        <v>300</v>
      </c>
      <c r="Y22" s="4">
        <v>-1.0123428569012469</v>
      </c>
    </row>
    <row r="23" spans="2:25" x14ac:dyDescent="0.2">
      <c r="B23" t="str">
        <v>20260427_222714</v>
      </c>
      <c r="F23" s="4">
        <v>5</v>
      </c>
      <c r="G23" s="4">
        <v>3.4699285</v>
      </c>
      <c r="H23" s="4">
        <f t="shared" si="0"/>
        <v>3</v>
      </c>
      <c r="J23" s="4">
        <v>3</v>
      </c>
      <c r="K23" s="4">
        <v>2.6497820000000001</v>
      </c>
      <c r="L23" s="4">
        <f t="shared" si="1"/>
        <v>3</v>
      </c>
      <c r="N23" s="4">
        <f t="shared" si="6"/>
        <v>3</v>
      </c>
      <c r="O23" s="4">
        <f t="shared" si="7"/>
        <v>5</v>
      </c>
      <c r="P23" s="4">
        <f t="shared" si="2"/>
        <v>1</v>
      </c>
      <c r="R23" s="4">
        <f t="shared" si="3"/>
        <v>3</v>
      </c>
      <c r="S23" s="4">
        <f t="shared" si="4"/>
        <v>5</v>
      </c>
      <c r="T23" s="4">
        <f t="shared" si="5"/>
        <v>2</v>
      </c>
      <c r="X23" s="4">
        <v>100</v>
      </c>
      <c r="Y23" s="4">
        <v>-1.0318353523951991</v>
      </c>
    </row>
    <row r="24" spans="2:25" x14ac:dyDescent="0.2">
      <c r="B24" t="str">
        <v>20260427_224837</v>
      </c>
      <c r="F24" s="4">
        <v>5</v>
      </c>
      <c r="G24" s="4">
        <v>4.1329092999999997</v>
      </c>
      <c r="H24" s="4">
        <f t="shared" si="0"/>
        <v>4</v>
      </c>
      <c r="J24" s="4">
        <v>5</v>
      </c>
      <c r="K24" s="4">
        <v>4.0109262000000001</v>
      </c>
      <c r="L24" s="4">
        <f t="shared" si="1"/>
        <v>4</v>
      </c>
      <c r="N24" s="4">
        <f t="shared" si="6"/>
        <v>4</v>
      </c>
      <c r="O24" s="4">
        <f t="shared" si="7"/>
        <v>1</v>
      </c>
      <c r="P24" s="4">
        <f t="shared" si="2"/>
        <v>0</v>
      </c>
      <c r="R24" s="4">
        <f t="shared" si="3"/>
        <v>4</v>
      </c>
      <c r="S24" s="4">
        <f t="shared" si="4"/>
        <v>1</v>
      </c>
      <c r="T24" s="4">
        <f t="shared" si="5"/>
        <v>0</v>
      </c>
      <c r="X24" s="4">
        <v>200</v>
      </c>
      <c r="Y24" s="4">
        <v>-1.0010504080211211</v>
      </c>
    </row>
    <row r="25" spans="2:25" x14ac:dyDescent="0.2">
      <c r="B25" t="str">
        <v>20260427_233525</v>
      </c>
      <c r="F25" s="4">
        <v>5</v>
      </c>
      <c r="G25" s="4">
        <v>4.5013866</v>
      </c>
      <c r="H25" s="4">
        <f t="shared" si="0"/>
        <v>5</v>
      </c>
      <c r="J25" s="4">
        <v>5</v>
      </c>
      <c r="K25" s="4">
        <v>4.3523639999999997</v>
      </c>
      <c r="L25" s="4">
        <f t="shared" si="1"/>
        <v>4</v>
      </c>
      <c r="N25" s="4">
        <f t="shared" si="6"/>
        <v>4</v>
      </c>
      <c r="O25" s="4">
        <f t="shared" si="7"/>
        <v>2</v>
      </c>
      <c r="P25" s="4">
        <f t="shared" si="2"/>
        <v>1</v>
      </c>
      <c r="R25" s="4">
        <f t="shared" si="3"/>
        <v>4</v>
      </c>
      <c r="S25" s="4">
        <f t="shared" si="4"/>
        <v>2</v>
      </c>
      <c r="T25" s="4">
        <f t="shared" si="5"/>
        <v>3</v>
      </c>
      <c r="X25" s="4">
        <v>400</v>
      </c>
      <c r="Y25" s="4">
        <v>-1.2130898443146101</v>
      </c>
    </row>
    <row r="26" spans="2:25" x14ac:dyDescent="0.2">
      <c r="B26" t="str">
        <v>20260428_000146</v>
      </c>
      <c r="F26" s="4">
        <v>5</v>
      </c>
      <c r="G26" s="4">
        <v>4.0105466999999999</v>
      </c>
      <c r="H26" s="4">
        <f t="shared" si="0"/>
        <v>4</v>
      </c>
      <c r="J26" s="4">
        <v>5</v>
      </c>
      <c r="K26" s="4">
        <v>3.6180512999999999</v>
      </c>
      <c r="L26" s="4">
        <f t="shared" si="1"/>
        <v>4</v>
      </c>
      <c r="N26" s="4">
        <f t="shared" si="6"/>
        <v>4</v>
      </c>
      <c r="O26" s="4">
        <f t="shared" si="7"/>
        <v>3</v>
      </c>
      <c r="P26" s="4">
        <f t="shared" si="2"/>
        <v>22</v>
      </c>
      <c r="R26" s="4">
        <f t="shared" si="3"/>
        <v>4</v>
      </c>
      <c r="S26" s="4">
        <f t="shared" si="4"/>
        <v>3</v>
      </c>
      <c r="T26" s="4">
        <f t="shared" si="5"/>
        <v>20</v>
      </c>
      <c r="X26" s="4">
        <v>300</v>
      </c>
      <c r="Y26" s="4">
        <v>-1.013876246928662</v>
      </c>
    </row>
    <row r="27" spans="2:25" x14ac:dyDescent="0.2">
      <c r="F27" s="4">
        <v>5</v>
      </c>
      <c r="G27" s="4">
        <v>3.7893829999999999</v>
      </c>
      <c r="H27" s="4">
        <f t="shared" si="0"/>
        <v>4</v>
      </c>
      <c r="J27" s="4">
        <v>5</v>
      </c>
      <c r="K27" s="4">
        <v>4.6309132999999996</v>
      </c>
      <c r="L27" s="4">
        <f t="shared" si="1"/>
        <v>5</v>
      </c>
      <c r="N27" s="4">
        <f t="shared" si="6"/>
        <v>4</v>
      </c>
      <c r="O27" s="4">
        <f t="shared" si="7"/>
        <v>4</v>
      </c>
      <c r="P27" s="4">
        <f t="shared" si="2"/>
        <v>70</v>
      </c>
      <c r="R27" s="4">
        <f t="shared" si="3"/>
        <v>4</v>
      </c>
      <c r="S27" s="4">
        <f t="shared" si="4"/>
        <v>4</v>
      </c>
      <c r="T27" s="4">
        <f t="shared" si="5"/>
        <v>61</v>
      </c>
      <c r="X27" s="4">
        <v>200</v>
      </c>
      <c r="Y27" s="4">
        <v>-1.000674555963966</v>
      </c>
    </row>
    <row r="28" spans="2:25" x14ac:dyDescent="0.2">
      <c r="F28" s="4">
        <v>2</v>
      </c>
      <c r="G28" s="4">
        <v>2.9605904000000001</v>
      </c>
      <c r="H28" s="4">
        <f t="shared" si="0"/>
        <v>3</v>
      </c>
      <c r="J28" s="4">
        <v>2</v>
      </c>
      <c r="K28" s="4">
        <v>4.2330240000000003</v>
      </c>
      <c r="L28" s="4">
        <f t="shared" si="1"/>
        <v>4</v>
      </c>
      <c r="N28" s="4">
        <f t="shared" si="6"/>
        <v>4</v>
      </c>
      <c r="O28" s="4">
        <f t="shared" si="7"/>
        <v>5</v>
      </c>
      <c r="P28" s="4">
        <f t="shared" si="2"/>
        <v>10</v>
      </c>
      <c r="R28" s="4">
        <f t="shared" si="3"/>
        <v>4</v>
      </c>
      <c r="S28" s="4">
        <f t="shared" si="4"/>
        <v>5</v>
      </c>
      <c r="T28" s="4">
        <f t="shared" si="5"/>
        <v>9</v>
      </c>
      <c r="X28" s="4">
        <v>100</v>
      </c>
      <c r="Y28" s="4">
        <v>-1.0146462514325489</v>
      </c>
    </row>
    <row r="29" spans="2:25" x14ac:dyDescent="0.2">
      <c r="F29" s="4">
        <v>5</v>
      </c>
      <c r="G29" s="4">
        <v>4.3689203000000001</v>
      </c>
      <c r="H29" s="4">
        <f t="shared" si="0"/>
        <v>4</v>
      </c>
      <c r="J29" s="4">
        <v>3</v>
      </c>
      <c r="K29" s="4">
        <v>4.2827859999999998</v>
      </c>
      <c r="L29" s="4">
        <f t="shared" si="1"/>
        <v>4</v>
      </c>
      <c r="N29" s="4">
        <f t="shared" si="6"/>
        <v>5</v>
      </c>
      <c r="O29" s="4">
        <f t="shared" si="7"/>
        <v>1</v>
      </c>
      <c r="P29" s="4">
        <f t="shared" si="2"/>
        <v>0</v>
      </c>
      <c r="R29" s="4">
        <f t="shared" si="3"/>
        <v>5</v>
      </c>
      <c r="S29" s="4">
        <f t="shared" si="4"/>
        <v>1</v>
      </c>
      <c r="T29" s="4">
        <f t="shared" si="5"/>
        <v>0</v>
      </c>
      <c r="X29">
        <v>300</v>
      </c>
      <c r="Y29">
        <v>-1.266023781711519</v>
      </c>
    </row>
    <row r="30" spans="2:25" x14ac:dyDescent="0.2">
      <c r="F30" s="4">
        <v>1</v>
      </c>
      <c r="G30" s="4">
        <v>3.0835533000000002</v>
      </c>
      <c r="H30" s="4">
        <f t="shared" si="0"/>
        <v>3</v>
      </c>
      <c r="J30" s="4">
        <v>5</v>
      </c>
      <c r="K30" s="4">
        <v>4.8448099999999998</v>
      </c>
      <c r="L30" s="4">
        <f t="shared" si="1"/>
        <v>5</v>
      </c>
      <c r="N30" s="4">
        <f t="shared" si="6"/>
        <v>5</v>
      </c>
      <c r="O30" s="4">
        <f t="shared" si="7"/>
        <v>2</v>
      </c>
      <c r="P30" s="4">
        <f t="shared" si="2"/>
        <v>0</v>
      </c>
      <c r="R30" s="4">
        <f t="shared" si="3"/>
        <v>5</v>
      </c>
      <c r="S30" s="4">
        <f t="shared" si="4"/>
        <v>2</v>
      </c>
      <c r="T30" s="4">
        <f t="shared" si="5"/>
        <v>1</v>
      </c>
      <c r="X30">
        <v>300</v>
      </c>
      <c r="Y30">
        <v>-1.061386797327557</v>
      </c>
    </row>
    <row r="31" spans="2:25" x14ac:dyDescent="0.2">
      <c r="F31" s="4">
        <v>4</v>
      </c>
      <c r="G31" s="4">
        <v>4.3013386999999996</v>
      </c>
      <c r="H31" s="4">
        <f t="shared" si="0"/>
        <v>4</v>
      </c>
      <c r="J31" s="4">
        <v>5</v>
      </c>
      <c r="K31" s="4">
        <v>3.4814607999999998</v>
      </c>
      <c r="L31" s="4">
        <f t="shared" si="1"/>
        <v>3</v>
      </c>
      <c r="N31" s="4">
        <f t="shared" si="6"/>
        <v>5</v>
      </c>
      <c r="O31" s="4">
        <f t="shared" si="7"/>
        <v>3</v>
      </c>
      <c r="P31" s="4">
        <f t="shared" si="2"/>
        <v>15</v>
      </c>
      <c r="R31" s="4">
        <f t="shared" si="3"/>
        <v>5</v>
      </c>
      <c r="S31" s="4">
        <f t="shared" si="4"/>
        <v>3</v>
      </c>
      <c r="T31" s="4">
        <f t="shared" si="5"/>
        <v>10</v>
      </c>
      <c r="X31">
        <v>200</v>
      </c>
      <c r="Y31">
        <v>-1.3046750532913709</v>
      </c>
    </row>
    <row r="32" spans="2:25" x14ac:dyDescent="0.2">
      <c r="F32" s="4">
        <v>4</v>
      </c>
      <c r="G32" s="4">
        <v>2.3461927999999999</v>
      </c>
      <c r="H32" s="4">
        <f t="shared" si="0"/>
        <v>2</v>
      </c>
      <c r="J32" s="4">
        <v>3</v>
      </c>
      <c r="K32" s="4">
        <v>3.6113076</v>
      </c>
      <c r="L32" s="4">
        <f t="shared" si="1"/>
        <v>4</v>
      </c>
      <c r="N32" s="4">
        <f t="shared" si="6"/>
        <v>5</v>
      </c>
      <c r="O32" s="4">
        <f t="shared" si="7"/>
        <v>4</v>
      </c>
      <c r="P32" s="4">
        <f t="shared" si="2"/>
        <v>65</v>
      </c>
      <c r="R32" s="4">
        <f t="shared" si="3"/>
        <v>5</v>
      </c>
      <c r="S32" s="4">
        <f t="shared" si="4"/>
        <v>4</v>
      </c>
      <c r="T32" s="4">
        <f t="shared" si="5"/>
        <v>52</v>
      </c>
      <c r="X32">
        <v>100</v>
      </c>
      <c r="Y32">
        <v>-1.0952619058654061</v>
      </c>
    </row>
    <row r="33" spans="6:25" x14ac:dyDescent="0.2">
      <c r="F33" s="4">
        <v>4</v>
      </c>
      <c r="G33" s="4">
        <v>3.9366976999999999</v>
      </c>
      <c r="H33" s="4">
        <f t="shared" si="0"/>
        <v>4</v>
      </c>
      <c r="J33" s="4">
        <v>5</v>
      </c>
      <c r="K33" s="4">
        <v>3.199948</v>
      </c>
      <c r="L33" s="4">
        <f t="shared" si="1"/>
        <v>3</v>
      </c>
      <c r="N33" s="4">
        <f t="shared" si="6"/>
        <v>5</v>
      </c>
      <c r="O33" s="4">
        <f t="shared" si="7"/>
        <v>5</v>
      </c>
      <c r="P33" s="4">
        <f t="shared" si="2"/>
        <v>12</v>
      </c>
      <c r="R33" s="4">
        <f t="shared" si="3"/>
        <v>5</v>
      </c>
      <c r="S33" s="4">
        <f t="shared" si="4"/>
        <v>5</v>
      </c>
      <c r="T33" s="4">
        <f t="shared" si="5"/>
        <v>20</v>
      </c>
      <c r="X33">
        <v>200</v>
      </c>
      <c r="Y33">
        <v>-1.030795061779856</v>
      </c>
    </row>
    <row r="34" spans="6:25" x14ac:dyDescent="0.2">
      <c r="F34" s="4">
        <v>5</v>
      </c>
      <c r="G34" s="4">
        <v>4.2503310000000001</v>
      </c>
      <c r="H34" s="4">
        <f t="shared" si="0"/>
        <v>4</v>
      </c>
      <c r="J34" s="4">
        <v>5</v>
      </c>
      <c r="K34" s="4">
        <v>4.2574854000000002</v>
      </c>
      <c r="L34" s="4">
        <f t="shared" si="1"/>
        <v>4</v>
      </c>
      <c r="X34">
        <v>100</v>
      </c>
      <c r="Y34">
        <v>-1.001343314072102</v>
      </c>
    </row>
    <row r="35" spans="6:25" x14ac:dyDescent="0.2">
      <c r="F35" s="4">
        <v>4</v>
      </c>
      <c r="G35" s="4">
        <v>4.0923020000000001</v>
      </c>
      <c r="H35" s="4">
        <f t="shared" si="0"/>
        <v>4</v>
      </c>
      <c r="J35" s="4">
        <v>4</v>
      </c>
      <c r="K35" s="4">
        <v>3.39893</v>
      </c>
      <c r="L35" s="4">
        <f t="shared" si="1"/>
        <v>3</v>
      </c>
      <c r="X35">
        <v>400</v>
      </c>
      <c r="Y35">
        <v>-1.00913264541256</v>
      </c>
    </row>
    <row r="36" spans="6:25" x14ac:dyDescent="0.2">
      <c r="F36" s="4">
        <v>5</v>
      </c>
      <c r="G36" s="4">
        <v>3.9137602</v>
      </c>
      <c r="H36" s="4">
        <f t="shared" si="0"/>
        <v>4</v>
      </c>
      <c r="J36" s="4">
        <v>4</v>
      </c>
      <c r="K36" s="4">
        <v>4.6705759999999996</v>
      </c>
      <c r="L36" s="4">
        <f t="shared" si="1"/>
        <v>5</v>
      </c>
      <c r="X36">
        <v>400</v>
      </c>
      <c r="Y36">
        <v>-1.001146882643499</v>
      </c>
    </row>
    <row r="37" spans="6:25" x14ac:dyDescent="0.2">
      <c r="F37" s="4">
        <v>5</v>
      </c>
      <c r="G37" s="4">
        <v>3.9616525</v>
      </c>
      <c r="H37" s="4">
        <f t="shared" si="0"/>
        <v>4</v>
      </c>
      <c r="J37" s="4">
        <v>3</v>
      </c>
      <c r="K37" s="4">
        <v>3.6410792000000001</v>
      </c>
      <c r="L37" s="4">
        <f t="shared" si="1"/>
        <v>4</v>
      </c>
      <c r="X37">
        <v>100</v>
      </c>
      <c r="Y37">
        <v>-1.0329197810026181</v>
      </c>
    </row>
    <row r="38" spans="6:25" x14ac:dyDescent="0.2">
      <c r="F38" s="4">
        <v>4</v>
      </c>
      <c r="G38" s="4">
        <v>3.6707825999999999</v>
      </c>
      <c r="H38" s="4">
        <f t="shared" si="0"/>
        <v>4</v>
      </c>
      <c r="J38" s="4">
        <v>5</v>
      </c>
      <c r="K38" s="4">
        <v>4.1586239999999997</v>
      </c>
      <c r="L38" s="4">
        <f t="shared" si="1"/>
        <v>4</v>
      </c>
      <c r="X38">
        <v>100</v>
      </c>
      <c r="Y38">
        <v>-1.090053412237346</v>
      </c>
    </row>
    <row r="39" spans="6:25" x14ac:dyDescent="0.2">
      <c r="F39" s="4">
        <v>1</v>
      </c>
      <c r="G39" s="4">
        <v>2.0759623</v>
      </c>
      <c r="H39" s="4">
        <f t="shared" si="0"/>
        <v>2</v>
      </c>
      <c r="J39" s="4">
        <v>2</v>
      </c>
      <c r="K39" s="4">
        <v>2.5881603000000002</v>
      </c>
      <c r="L39" s="4">
        <f t="shared" si="1"/>
        <v>3</v>
      </c>
      <c r="X39">
        <v>200</v>
      </c>
      <c r="Y39">
        <v>-1.018421684770445</v>
      </c>
    </row>
    <row r="40" spans="6:25" x14ac:dyDescent="0.2">
      <c r="F40" s="4">
        <v>5</v>
      </c>
      <c r="G40" s="4">
        <v>4.198779</v>
      </c>
      <c r="H40" s="4">
        <f t="shared" si="0"/>
        <v>4</v>
      </c>
      <c r="J40" s="4">
        <v>4</v>
      </c>
      <c r="K40" s="4">
        <v>3.7982762000000001</v>
      </c>
      <c r="L40" s="4">
        <f t="shared" si="1"/>
        <v>4</v>
      </c>
      <c r="X40">
        <v>300</v>
      </c>
      <c r="Y40">
        <v>-1.0061356206351859</v>
      </c>
    </row>
    <row r="41" spans="6:25" x14ac:dyDescent="0.2">
      <c r="F41" s="4">
        <v>3</v>
      </c>
      <c r="G41" s="4">
        <v>2.6105744999999998</v>
      </c>
      <c r="H41" s="4">
        <f t="shared" si="0"/>
        <v>3</v>
      </c>
      <c r="J41" s="4">
        <v>4</v>
      </c>
      <c r="K41" s="4">
        <v>4.0406360000000001</v>
      </c>
      <c r="L41" s="4">
        <f t="shared" si="1"/>
        <v>4</v>
      </c>
      <c r="X41">
        <v>300</v>
      </c>
      <c r="Y41">
        <v>-1.0013160442201769</v>
      </c>
    </row>
    <row r="42" spans="6:25" x14ac:dyDescent="0.2">
      <c r="F42" s="4">
        <v>5</v>
      </c>
      <c r="G42" s="4">
        <v>4.4788103000000001</v>
      </c>
      <c r="H42" s="4">
        <f t="shared" si="0"/>
        <v>4</v>
      </c>
      <c r="J42" s="4">
        <v>2</v>
      </c>
      <c r="K42" s="4">
        <v>1.6375170999999999</v>
      </c>
      <c r="L42" s="4">
        <f t="shared" si="1"/>
        <v>2</v>
      </c>
      <c r="X42">
        <v>100</v>
      </c>
      <c r="Y42">
        <v>-1.0113714727310661</v>
      </c>
    </row>
    <row r="43" spans="6:25" x14ac:dyDescent="0.2">
      <c r="F43" s="4">
        <v>2</v>
      </c>
      <c r="G43" s="4">
        <v>3.9551332000000001</v>
      </c>
      <c r="H43" s="4">
        <f t="shared" si="0"/>
        <v>4</v>
      </c>
      <c r="J43" s="4">
        <v>4</v>
      </c>
      <c r="K43" s="4">
        <v>3.7378811999999999</v>
      </c>
      <c r="L43" s="4">
        <f t="shared" si="1"/>
        <v>4</v>
      </c>
      <c r="X43">
        <v>200</v>
      </c>
      <c r="Y43">
        <v>-1.020225014556372</v>
      </c>
    </row>
    <row r="44" spans="6:25" x14ac:dyDescent="0.2">
      <c r="F44" s="4">
        <v>5</v>
      </c>
      <c r="G44" s="4">
        <v>4.2761263999999999</v>
      </c>
      <c r="H44" s="4">
        <f t="shared" si="0"/>
        <v>4</v>
      </c>
      <c r="J44" s="4">
        <v>5</v>
      </c>
      <c r="K44" s="4">
        <v>3.8854966000000002</v>
      </c>
      <c r="L44" s="4">
        <f t="shared" si="1"/>
        <v>4</v>
      </c>
      <c r="X44">
        <v>300</v>
      </c>
      <c r="Y44">
        <v>-1.0015428123169181</v>
      </c>
    </row>
    <row r="45" spans="6:25" x14ac:dyDescent="0.2">
      <c r="F45" s="4">
        <v>5</v>
      </c>
      <c r="G45" s="4">
        <v>3.5613039999999998</v>
      </c>
      <c r="H45" s="4">
        <f t="shared" si="0"/>
        <v>4</v>
      </c>
      <c r="J45" s="4">
        <v>3</v>
      </c>
      <c r="K45" s="4">
        <v>2.8467896000000001</v>
      </c>
      <c r="L45" s="4">
        <f t="shared" si="1"/>
        <v>3</v>
      </c>
      <c r="X45">
        <v>300</v>
      </c>
      <c r="Y45">
        <v>-1.003861695892452</v>
      </c>
    </row>
    <row r="46" spans="6:25" x14ac:dyDescent="0.2">
      <c r="F46" s="4">
        <v>5</v>
      </c>
      <c r="G46" s="4">
        <v>4.3495407000000004</v>
      </c>
      <c r="H46" s="4">
        <f t="shared" si="0"/>
        <v>4</v>
      </c>
      <c r="J46" s="4">
        <v>4</v>
      </c>
      <c r="K46" s="4">
        <v>4.2981299999999996</v>
      </c>
      <c r="L46" s="4">
        <f t="shared" si="1"/>
        <v>4</v>
      </c>
      <c r="X46">
        <v>200</v>
      </c>
      <c r="Y46">
        <v>-1.0292992205847431</v>
      </c>
    </row>
    <row r="47" spans="6:25" x14ac:dyDescent="0.2">
      <c r="F47" s="4">
        <v>3</v>
      </c>
      <c r="G47" s="4">
        <v>3.4374060000000002</v>
      </c>
      <c r="H47" s="4">
        <f t="shared" si="0"/>
        <v>3</v>
      </c>
      <c r="J47" s="4">
        <v>5</v>
      </c>
      <c r="K47" s="4">
        <v>4.7886579999999999</v>
      </c>
      <c r="L47" s="4">
        <f t="shared" si="1"/>
        <v>5</v>
      </c>
      <c r="X47">
        <v>400</v>
      </c>
      <c r="Y47">
        <v>-1.0010458893902221</v>
      </c>
    </row>
    <row r="48" spans="6:25" x14ac:dyDescent="0.2">
      <c r="F48" s="4">
        <v>4</v>
      </c>
      <c r="G48" s="4">
        <v>3.3067739999999999</v>
      </c>
      <c r="H48" s="4">
        <f t="shared" si="0"/>
        <v>3</v>
      </c>
      <c r="J48" s="4">
        <v>3</v>
      </c>
      <c r="K48" s="4">
        <v>3.4427303999999999</v>
      </c>
      <c r="L48" s="4">
        <f t="shared" si="1"/>
        <v>3</v>
      </c>
      <c r="X48">
        <v>300</v>
      </c>
      <c r="Y48">
        <v>-1.001045344741782</v>
      </c>
    </row>
    <row r="49" spans="6:25" x14ac:dyDescent="0.2">
      <c r="F49" s="4">
        <v>4</v>
      </c>
      <c r="G49" s="4">
        <v>3.3005694999999999</v>
      </c>
      <c r="H49" s="4">
        <f t="shared" si="0"/>
        <v>3</v>
      </c>
      <c r="J49" s="4">
        <v>2</v>
      </c>
      <c r="K49" s="4">
        <v>2.3377992999999999</v>
      </c>
      <c r="L49" s="4">
        <f t="shared" si="1"/>
        <v>2</v>
      </c>
      <c r="X49">
        <v>400</v>
      </c>
      <c r="Y49">
        <v>-0.99925332641012798</v>
      </c>
    </row>
    <row r="50" spans="6:25" x14ac:dyDescent="0.2">
      <c r="F50" s="4">
        <v>4</v>
      </c>
      <c r="G50" s="4">
        <v>4.3593286999999998</v>
      </c>
      <c r="H50" s="4">
        <f t="shared" si="0"/>
        <v>4</v>
      </c>
      <c r="J50" s="4">
        <v>1</v>
      </c>
      <c r="K50" s="4">
        <v>3.7195770000000001</v>
      </c>
      <c r="L50" s="4">
        <f t="shared" si="1"/>
        <v>4</v>
      </c>
      <c r="X50">
        <v>200</v>
      </c>
      <c r="Y50">
        <v>-1.0129020950309711</v>
      </c>
    </row>
    <row r="51" spans="6:25" x14ac:dyDescent="0.2">
      <c r="F51" s="4">
        <v>1</v>
      </c>
      <c r="G51" s="4">
        <v>3.8607108999999999</v>
      </c>
      <c r="H51" s="4">
        <f t="shared" si="0"/>
        <v>4</v>
      </c>
      <c r="J51" s="4">
        <v>4</v>
      </c>
      <c r="K51" s="4">
        <v>4.3725233000000001</v>
      </c>
      <c r="L51" s="4">
        <f t="shared" si="1"/>
        <v>4</v>
      </c>
      <c r="X51">
        <v>300</v>
      </c>
      <c r="Y51">
        <v>-1.029472113589365</v>
      </c>
    </row>
    <row r="52" spans="6:25" x14ac:dyDescent="0.2">
      <c r="F52" s="4">
        <v>5</v>
      </c>
      <c r="G52" s="4">
        <v>4.4140506000000004</v>
      </c>
      <c r="H52" s="4">
        <f t="shared" si="0"/>
        <v>4</v>
      </c>
      <c r="J52" s="4">
        <v>3</v>
      </c>
      <c r="K52" s="4">
        <v>3.5673870000000001</v>
      </c>
      <c r="L52" s="4">
        <f t="shared" si="1"/>
        <v>4</v>
      </c>
      <c r="X52">
        <v>100</v>
      </c>
      <c r="Y52">
        <v>-1.079755143216937</v>
      </c>
    </row>
    <row r="53" spans="6:25" x14ac:dyDescent="0.2">
      <c r="F53" s="4">
        <v>1</v>
      </c>
      <c r="G53" s="4">
        <v>3.6680666999999998</v>
      </c>
      <c r="H53" s="4">
        <f t="shared" si="0"/>
        <v>4</v>
      </c>
      <c r="J53" s="4">
        <v>4</v>
      </c>
      <c r="K53" s="4">
        <v>3.2467012</v>
      </c>
      <c r="L53" s="4">
        <f t="shared" si="1"/>
        <v>3</v>
      </c>
      <c r="X53">
        <v>400</v>
      </c>
      <c r="Y53">
        <v>-1.0265870374173851</v>
      </c>
    </row>
    <row r="54" spans="6:25" x14ac:dyDescent="0.2">
      <c r="F54" s="4">
        <v>5</v>
      </c>
      <c r="G54" s="4">
        <v>3.360744</v>
      </c>
      <c r="H54" s="4">
        <f t="shared" si="0"/>
        <v>3</v>
      </c>
      <c r="J54" s="4">
        <v>4</v>
      </c>
      <c r="K54" s="4">
        <v>3.8728821</v>
      </c>
      <c r="L54" s="4">
        <f t="shared" si="1"/>
        <v>4</v>
      </c>
      <c r="X54">
        <v>100</v>
      </c>
      <c r="Y54">
        <v>-1.005210461127036</v>
      </c>
    </row>
    <row r="55" spans="6:25" x14ac:dyDescent="0.2">
      <c r="F55" s="4">
        <v>5</v>
      </c>
      <c r="G55" s="4">
        <v>3.8373789999999999</v>
      </c>
      <c r="H55" s="4">
        <f t="shared" si="0"/>
        <v>4</v>
      </c>
      <c r="J55" s="4">
        <v>4</v>
      </c>
      <c r="K55" s="4">
        <v>4.3730900000000004</v>
      </c>
      <c r="L55" s="4">
        <f t="shared" si="1"/>
        <v>4</v>
      </c>
      <c r="X55">
        <v>100</v>
      </c>
      <c r="Y55">
        <v>-1.11822619097636</v>
      </c>
    </row>
    <row r="56" spans="6:25" x14ac:dyDescent="0.2">
      <c r="F56" s="4">
        <v>5</v>
      </c>
      <c r="G56" s="4">
        <v>4.1116624000000002</v>
      </c>
      <c r="H56" s="4">
        <f t="shared" si="0"/>
        <v>4</v>
      </c>
      <c r="J56" s="4">
        <v>3</v>
      </c>
      <c r="K56" s="4">
        <v>4.5514964999999998</v>
      </c>
      <c r="L56" s="4">
        <f t="shared" si="1"/>
        <v>5</v>
      </c>
      <c r="X56">
        <v>100</v>
      </c>
      <c r="Y56">
        <v>-1.2784085666246541</v>
      </c>
    </row>
    <row r="57" spans="6:25" x14ac:dyDescent="0.2">
      <c r="F57" s="4">
        <v>4</v>
      </c>
      <c r="G57" s="4">
        <v>3.1299060000000001</v>
      </c>
      <c r="H57" s="4">
        <f t="shared" si="0"/>
        <v>3</v>
      </c>
      <c r="J57" s="4">
        <v>2</v>
      </c>
      <c r="K57" s="4">
        <v>2.6994848</v>
      </c>
      <c r="L57" s="4">
        <f t="shared" si="1"/>
        <v>3</v>
      </c>
      <c r="X57">
        <v>300</v>
      </c>
      <c r="Y57">
        <v>-1.199902473623333</v>
      </c>
    </row>
    <row r="58" spans="6:25" x14ac:dyDescent="0.2">
      <c r="F58" s="4">
        <v>4</v>
      </c>
      <c r="G58" s="4">
        <v>3.7154036000000001</v>
      </c>
      <c r="H58" s="4">
        <f t="shared" si="0"/>
        <v>4</v>
      </c>
      <c r="J58" s="4">
        <v>3</v>
      </c>
      <c r="K58" s="4">
        <v>3.4135027</v>
      </c>
      <c r="L58" s="4">
        <f t="shared" si="1"/>
        <v>3</v>
      </c>
      <c r="X58">
        <v>100</v>
      </c>
      <c r="Y58">
        <v>-1.048960476841996</v>
      </c>
    </row>
    <row r="59" spans="6:25" x14ac:dyDescent="0.2">
      <c r="F59" s="4">
        <v>1</v>
      </c>
      <c r="G59" s="4">
        <v>1.8955230999999999</v>
      </c>
      <c r="H59" s="4">
        <f t="shared" si="0"/>
        <v>2</v>
      </c>
      <c r="J59" s="4">
        <v>4</v>
      </c>
      <c r="K59" s="4">
        <v>3.9842233999999999</v>
      </c>
      <c r="L59" s="4">
        <f t="shared" si="1"/>
        <v>4</v>
      </c>
      <c r="X59">
        <v>300</v>
      </c>
      <c r="Y59">
        <v>-1.0294476562987609</v>
      </c>
    </row>
    <row r="60" spans="6:25" x14ac:dyDescent="0.2">
      <c r="F60" s="4">
        <v>5</v>
      </c>
      <c r="G60" s="4">
        <v>3.7571778</v>
      </c>
      <c r="H60" s="4">
        <f t="shared" si="0"/>
        <v>4</v>
      </c>
      <c r="J60" s="4">
        <v>3</v>
      </c>
      <c r="K60" s="4">
        <v>2.6987505000000001</v>
      </c>
      <c r="L60" s="4">
        <f t="shared" si="1"/>
        <v>3</v>
      </c>
      <c r="X60">
        <v>200</v>
      </c>
      <c r="Y60">
        <v>-0.99983728935095739</v>
      </c>
    </row>
    <row r="61" spans="6:25" x14ac:dyDescent="0.2">
      <c r="F61" s="4">
        <v>1</v>
      </c>
      <c r="G61" s="4">
        <v>2.8875039</v>
      </c>
      <c r="H61" s="4">
        <f t="shared" si="0"/>
        <v>3</v>
      </c>
      <c r="J61" s="4">
        <v>4</v>
      </c>
      <c r="K61" s="4">
        <v>4.1591433999999996</v>
      </c>
      <c r="L61" s="4">
        <f t="shared" si="1"/>
        <v>4</v>
      </c>
      <c r="X61">
        <v>200</v>
      </c>
      <c r="Y61">
        <v>-1.024790491476202</v>
      </c>
    </row>
    <row r="62" spans="6:25" x14ac:dyDescent="0.2">
      <c r="F62" s="4">
        <v>5</v>
      </c>
      <c r="G62" s="4">
        <v>3.4940736000000001</v>
      </c>
      <c r="H62" s="4">
        <f t="shared" si="0"/>
        <v>3</v>
      </c>
      <c r="J62" s="4">
        <v>2</v>
      </c>
      <c r="K62" s="4">
        <v>3.9228784999999999</v>
      </c>
      <c r="L62" s="4">
        <f t="shared" si="1"/>
        <v>4</v>
      </c>
      <c r="X62">
        <v>200</v>
      </c>
      <c r="Y62">
        <v>-1.568632877481098</v>
      </c>
    </row>
    <row r="63" spans="6:25" x14ac:dyDescent="0.2">
      <c r="F63" s="4">
        <v>4</v>
      </c>
      <c r="G63" s="4">
        <v>4.0678362999999997</v>
      </c>
      <c r="H63" s="4">
        <f t="shared" si="0"/>
        <v>4</v>
      </c>
      <c r="J63" s="4">
        <v>3</v>
      </c>
      <c r="K63" s="4">
        <v>3.8315589999999999</v>
      </c>
      <c r="L63" s="4">
        <f t="shared" si="1"/>
        <v>4</v>
      </c>
      <c r="X63">
        <v>100</v>
      </c>
      <c r="Y63">
        <v>-1.0112560768507519</v>
      </c>
    </row>
    <row r="64" spans="6:25" x14ac:dyDescent="0.2">
      <c r="F64" s="4">
        <v>3</v>
      </c>
      <c r="G64" s="4">
        <v>3.5926049</v>
      </c>
      <c r="H64" s="4">
        <f t="shared" si="0"/>
        <v>4</v>
      </c>
      <c r="J64" s="4">
        <v>5</v>
      </c>
      <c r="K64" s="4">
        <v>3.9835246</v>
      </c>
      <c r="L64" s="4">
        <f t="shared" si="1"/>
        <v>4</v>
      </c>
      <c r="X64">
        <v>200</v>
      </c>
      <c r="Y64">
        <v>-1.000564980786314</v>
      </c>
    </row>
    <row r="65" spans="6:25" x14ac:dyDescent="0.2">
      <c r="F65" s="4">
        <v>3</v>
      </c>
      <c r="G65" s="4">
        <v>2.9171586</v>
      </c>
      <c r="H65" s="4">
        <f t="shared" si="0"/>
        <v>3</v>
      </c>
      <c r="J65" s="4">
        <v>3</v>
      </c>
      <c r="K65" s="4">
        <v>3.9401538</v>
      </c>
      <c r="L65" s="4">
        <f t="shared" si="1"/>
        <v>4</v>
      </c>
      <c r="X65">
        <v>400</v>
      </c>
      <c r="Y65">
        <v>-1.067500579109592</v>
      </c>
    </row>
    <row r="66" spans="6:25" x14ac:dyDescent="0.2">
      <c r="F66" s="4">
        <v>4</v>
      </c>
      <c r="G66" s="4">
        <v>4.2719360000000002</v>
      </c>
      <c r="H66" s="4">
        <f t="shared" si="0"/>
        <v>4</v>
      </c>
      <c r="J66" s="4">
        <v>4</v>
      </c>
      <c r="K66" s="4">
        <v>3.5787930000000001</v>
      </c>
      <c r="L66" s="4">
        <f t="shared" si="1"/>
        <v>4</v>
      </c>
      <c r="X66">
        <v>300</v>
      </c>
      <c r="Y66">
        <v>-1.033789066712111</v>
      </c>
    </row>
    <row r="67" spans="6:25" x14ac:dyDescent="0.2">
      <c r="F67" s="4">
        <v>5</v>
      </c>
      <c r="G67" s="4">
        <v>3.1304094999999998</v>
      </c>
      <c r="H67" s="4">
        <f t="shared" si="0"/>
        <v>3</v>
      </c>
      <c r="J67" s="4">
        <v>3</v>
      </c>
      <c r="K67" s="4">
        <v>3.8005295000000001</v>
      </c>
      <c r="L67" s="4">
        <f t="shared" si="1"/>
        <v>4</v>
      </c>
      <c r="X67">
        <v>200</v>
      </c>
      <c r="Y67">
        <v>-1.079966398347546</v>
      </c>
    </row>
    <row r="68" spans="6:25" x14ac:dyDescent="0.2">
      <c r="F68" s="4">
        <v>4</v>
      </c>
      <c r="G68" s="4">
        <v>3.7658596000000002</v>
      </c>
      <c r="H68" s="4">
        <f t="shared" si="0"/>
        <v>4</v>
      </c>
      <c r="J68" s="4">
        <v>5</v>
      </c>
      <c r="K68" s="4">
        <v>3.6122339000000001</v>
      </c>
      <c r="L68" s="4">
        <f t="shared" si="1"/>
        <v>4</v>
      </c>
      <c r="X68">
        <v>100</v>
      </c>
      <c r="Y68">
        <v>-1.6950114638376039</v>
      </c>
    </row>
    <row r="69" spans="6:25" x14ac:dyDescent="0.2">
      <c r="F69" s="4">
        <v>4</v>
      </c>
      <c r="G69" s="4">
        <v>3.7044760000000001</v>
      </c>
      <c r="H69" s="4">
        <f t="shared" si="0"/>
        <v>4</v>
      </c>
      <c r="J69" s="4">
        <v>4</v>
      </c>
      <c r="K69" s="4">
        <v>3.5127117999999999</v>
      </c>
      <c r="L69" s="4">
        <f t="shared" si="1"/>
        <v>4</v>
      </c>
      <c r="X69">
        <v>200</v>
      </c>
      <c r="Y69">
        <v>-1.0189677154188641</v>
      </c>
    </row>
    <row r="70" spans="6:25" x14ac:dyDescent="0.2">
      <c r="F70" s="4">
        <v>4</v>
      </c>
      <c r="G70" s="4">
        <v>4.8524219999999998</v>
      </c>
      <c r="H70" s="4">
        <f t="shared" si="0"/>
        <v>5</v>
      </c>
      <c r="J70" s="4">
        <v>4</v>
      </c>
      <c r="K70" s="4">
        <v>3.4629514000000001</v>
      </c>
      <c r="L70" s="4">
        <f t="shared" si="1"/>
        <v>3</v>
      </c>
      <c r="X70">
        <v>400</v>
      </c>
      <c r="Y70">
        <v>-1.1725556637430501</v>
      </c>
    </row>
    <row r="71" spans="6:25" x14ac:dyDescent="0.2">
      <c r="F71" s="4">
        <v>5</v>
      </c>
      <c r="G71" s="4">
        <v>5.0089980000000001</v>
      </c>
      <c r="H71" s="4">
        <f t="shared" si="0"/>
        <v>5</v>
      </c>
      <c r="J71" s="4">
        <v>3</v>
      </c>
      <c r="K71" s="4">
        <v>3.6614616</v>
      </c>
      <c r="L71" s="4">
        <f t="shared" si="1"/>
        <v>4</v>
      </c>
      <c r="X71">
        <v>200</v>
      </c>
      <c r="Y71">
        <v>-1.102533049380267</v>
      </c>
    </row>
    <row r="72" spans="6:25" x14ac:dyDescent="0.2">
      <c r="F72" s="4">
        <v>5</v>
      </c>
      <c r="G72" s="4">
        <v>4.2785789999999997</v>
      </c>
      <c r="H72" s="4">
        <f t="shared" si="0"/>
        <v>4</v>
      </c>
      <c r="J72" s="4">
        <v>4</v>
      </c>
      <c r="K72" s="4">
        <v>3.6699345000000001</v>
      </c>
      <c r="L72" s="4">
        <f t="shared" si="1"/>
        <v>4</v>
      </c>
      <c r="X72">
        <v>400</v>
      </c>
      <c r="Y72">
        <v>-1.0012151185203071</v>
      </c>
    </row>
    <row r="73" spans="6:25" x14ac:dyDescent="0.2">
      <c r="F73" s="4">
        <v>5</v>
      </c>
      <c r="G73" s="4">
        <v>4.2308215999999996</v>
      </c>
      <c r="H73" s="4">
        <f t="shared" ref="H73:H136" si="8">IF(G73&lt;0.5, 0, IF(G73&lt;1.5, 1, IF(G73&lt;2.5, 2, IF(G73&lt;3.5, 3, IF(G73&lt;4.5, 4, 5)))))</f>
        <v>4</v>
      </c>
      <c r="J73" s="4">
        <v>2</v>
      </c>
      <c r="K73" s="4">
        <v>3.8153975</v>
      </c>
      <c r="L73" s="4">
        <f t="shared" ref="L73:L136" si="9">IF(K73&lt;0.5, 0, IF(K73&lt;1.5, 1, IF(K73&lt;2.5, 2, IF(K73&lt;3.5, 3, IF(K73&lt;4.5, 4, 5)))))</f>
        <v>4</v>
      </c>
      <c r="X73">
        <v>200</v>
      </c>
      <c r="Y73">
        <v>-1.1910083205526381</v>
      </c>
    </row>
    <row r="74" spans="6:25" x14ac:dyDescent="0.2">
      <c r="F74" s="4">
        <v>5</v>
      </c>
      <c r="G74" s="4">
        <v>3.2799659999999999</v>
      </c>
      <c r="H74" s="4">
        <f t="shared" si="8"/>
        <v>3</v>
      </c>
      <c r="J74" s="4">
        <v>1</v>
      </c>
      <c r="K74" s="4">
        <v>3.7657935999999999</v>
      </c>
      <c r="L74" s="4">
        <f t="shared" si="9"/>
        <v>4</v>
      </c>
      <c r="X74">
        <v>400</v>
      </c>
      <c r="Y74">
        <v>-1.0640411525654929</v>
      </c>
    </row>
    <row r="75" spans="6:25" x14ac:dyDescent="0.2">
      <c r="F75" s="4">
        <v>4</v>
      </c>
      <c r="G75" s="4">
        <v>4.0262460000000004</v>
      </c>
      <c r="H75" s="4">
        <f t="shared" si="8"/>
        <v>4</v>
      </c>
      <c r="J75" s="4">
        <v>5</v>
      </c>
      <c r="K75" s="4">
        <v>4.5243250000000002</v>
      </c>
      <c r="L75" s="4">
        <f t="shared" si="9"/>
        <v>5</v>
      </c>
      <c r="X75">
        <v>300</v>
      </c>
      <c r="Y75">
        <v>-1.039825754991462</v>
      </c>
    </row>
    <row r="76" spans="6:25" x14ac:dyDescent="0.2">
      <c r="F76" s="4">
        <v>5</v>
      </c>
      <c r="G76" s="4">
        <v>3.973071</v>
      </c>
      <c r="H76" s="4">
        <f t="shared" si="8"/>
        <v>4</v>
      </c>
      <c r="J76" s="4">
        <v>4</v>
      </c>
      <c r="K76" s="4">
        <v>3.5680013000000002</v>
      </c>
      <c r="L76" s="4">
        <f t="shared" si="9"/>
        <v>4</v>
      </c>
      <c r="X76">
        <v>100</v>
      </c>
      <c r="Y76">
        <v>-1.0648876064097641</v>
      </c>
    </row>
    <row r="77" spans="6:25" x14ac:dyDescent="0.2">
      <c r="F77" s="4">
        <v>3</v>
      </c>
      <c r="G77" s="4">
        <v>4.3279949999999996</v>
      </c>
      <c r="H77" s="4">
        <f t="shared" si="8"/>
        <v>4</v>
      </c>
      <c r="J77" s="4">
        <v>5</v>
      </c>
      <c r="K77" s="4">
        <v>3.3094098999999999</v>
      </c>
      <c r="L77" s="4">
        <f t="shared" si="9"/>
        <v>3</v>
      </c>
      <c r="X77">
        <v>200</v>
      </c>
      <c r="Y77">
        <v>-1.005798846781778</v>
      </c>
    </row>
    <row r="78" spans="6:25" x14ac:dyDescent="0.2">
      <c r="F78" s="4">
        <v>5</v>
      </c>
      <c r="G78" s="4">
        <v>3.2680726</v>
      </c>
      <c r="H78" s="4">
        <f t="shared" si="8"/>
        <v>3</v>
      </c>
      <c r="J78" s="4">
        <v>3</v>
      </c>
      <c r="K78" s="4">
        <v>3.4471280000000002</v>
      </c>
      <c r="L78" s="4">
        <f t="shared" si="9"/>
        <v>3</v>
      </c>
      <c r="X78">
        <v>100</v>
      </c>
      <c r="Y78">
        <v>-1.1990469115606679</v>
      </c>
    </row>
    <row r="79" spans="6:25" x14ac:dyDescent="0.2">
      <c r="F79" s="4">
        <v>3</v>
      </c>
      <c r="G79" s="4">
        <v>3.6974830000000001</v>
      </c>
      <c r="H79" s="4">
        <f t="shared" si="8"/>
        <v>4</v>
      </c>
      <c r="J79" s="4">
        <v>3</v>
      </c>
      <c r="K79" s="4">
        <v>3.9542272000000001</v>
      </c>
      <c r="L79" s="4">
        <f t="shared" si="9"/>
        <v>4</v>
      </c>
      <c r="X79">
        <v>400</v>
      </c>
      <c r="Y79">
        <v>-1.150392899495517</v>
      </c>
    </row>
    <row r="80" spans="6:25" x14ac:dyDescent="0.2">
      <c r="F80" s="4">
        <v>1</v>
      </c>
      <c r="G80" s="4">
        <v>3.1871179999999999</v>
      </c>
      <c r="H80" s="4">
        <f t="shared" si="8"/>
        <v>3</v>
      </c>
      <c r="J80" s="4">
        <v>3</v>
      </c>
      <c r="K80" s="4">
        <v>3.8192615999999999</v>
      </c>
      <c r="L80" s="4">
        <f t="shared" si="9"/>
        <v>4</v>
      </c>
      <c r="X80">
        <v>400</v>
      </c>
      <c r="Y80">
        <v>-1.126605342391787</v>
      </c>
    </row>
    <row r="81" spans="6:25" x14ac:dyDescent="0.2">
      <c r="F81" s="4">
        <v>5</v>
      </c>
      <c r="G81" s="4">
        <v>4.670585</v>
      </c>
      <c r="H81" s="4">
        <f t="shared" si="8"/>
        <v>5</v>
      </c>
      <c r="J81" s="4">
        <v>3</v>
      </c>
      <c r="K81" s="4">
        <v>3.6285436</v>
      </c>
      <c r="L81" s="4">
        <f t="shared" si="9"/>
        <v>4</v>
      </c>
      <c r="X81">
        <v>200</v>
      </c>
      <c r="Y81">
        <v>-1.0032459820193069</v>
      </c>
    </row>
    <row r="82" spans="6:25" x14ac:dyDescent="0.2">
      <c r="F82" s="4">
        <v>5</v>
      </c>
      <c r="G82" s="4">
        <v>4.0194279999999996</v>
      </c>
      <c r="H82" s="4">
        <f t="shared" si="8"/>
        <v>4</v>
      </c>
      <c r="J82" s="4">
        <v>5</v>
      </c>
      <c r="K82" s="4">
        <v>3.1427947999999999</v>
      </c>
      <c r="L82" s="4">
        <f t="shared" si="9"/>
        <v>3</v>
      </c>
      <c r="X82">
        <v>400</v>
      </c>
      <c r="Y82">
        <v>-1.0003518311372079</v>
      </c>
    </row>
    <row r="83" spans="6:25" x14ac:dyDescent="0.2">
      <c r="F83" s="4">
        <v>4</v>
      </c>
      <c r="G83" s="4">
        <v>2.7082932</v>
      </c>
      <c r="H83" s="4">
        <f t="shared" si="8"/>
        <v>3</v>
      </c>
      <c r="J83" s="4">
        <v>4</v>
      </c>
      <c r="K83" s="4">
        <v>2.9472925999999999</v>
      </c>
      <c r="L83" s="4">
        <f t="shared" si="9"/>
        <v>3</v>
      </c>
      <c r="X83">
        <v>300</v>
      </c>
      <c r="Y83">
        <v>-1.0295091024795471</v>
      </c>
    </row>
    <row r="84" spans="6:25" x14ac:dyDescent="0.2">
      <c r="F84" s="4">
        <v>5</v>
      </c>
      <c r="G84" s="4">
        <v>4.4671640000000004</v>
      </c>
      <c r="H84" s="4">
        <f t="shared" si="8"/>
        <v>4</v>
      </c>
      <c r="J84" s="4">
        <v>3</v>
      </c>
      <c r="K84" s="4">
        <v>4.0521096999999999</v>
      </c>
      <c r="L84" s="4">
        <f t="shared" si="9"/>
        <v>4</v>
      </c>
      <c r="X84">
        <v>300</v>
      </c>
      <c r="Y84">
        <v>-1.0040037934963131</v>
      </c>
    </row>
    <row r="85" spans="6:25" x14ac:dyDescent="0.2">
      <c r="F85" s="4">
        <v>4</v>
      </c>
      <c r="G85" s="4">
        <v>3.9342467999999999</v>
      </c>
      <c r="H85" s="4">
        <f t="shared" si="8"/>
        <v>4</v>
      </c>
      <c r="J85" s="4">
        <v>5</v>
      </c>
      <c r="K85" s="4">
        <v>4.4167484999999997</v>
      </c>
      <c r="L85" s="4">
        <f t="shared" si="9"/>
        <v>4</v>
      </c>
      <c r="X85">
        <v>200</v>
      </c>
      <c r="Y85">
        <v>-1.027017533047087</v>
      </c>
    </row>
    <row r="86" spans="6:25" x14ac:dyDescent="0.2">
      <c r="F86" s="4">
        <v>4</v>
      </c>
      <c r="G86" s="4">
        <v>4.5273684999999997</v>
      </c>
      <c r="H86" s="4">
        <f t="shared" si="8"/>
        <v>5</v>
      </c>
      <c r="J86" s="4">
        <v>5</v>
      </c>
      <c r="K86" s="4">
        <v>3.908865</v>
      </c>
      <c r="L86" s="4">
        <f t="shared" si="9"/>
        <v>4</v>
      </c>
      <c r="X86">
        <v>200</v>
      </c>
      <c r="Y86">
        <v>-1.0011561708788901</v>
      </c>
    </row>
    <row r="87" spans="6:25" x14ac:dyDescent="0.2">
      <c r="F87" s="4">
        <v>4</v>
      </c>
      <c r="G87" s="4">
        <v>4.3908624999999999</v>
      </c>
      <c r="H87" s="4">
        <f t="shared" si="8"/>
        <v>4</v>
      </c>
      <c r="J87" s="4">
        <v>2</v>
      </c>
      <c r="K87" s="4">
        <v>3.8457490000000001</v>
      </c>
      <c r="L87" s="4">
        <f t="shared" si="9"/>
        <v>4</v>
      </c>
      <c r="X87">
        <v>300</v>
      </c>
      <c r="Y87">
        <v>-1.0694389257459109</v>
      </c>
    </row>
    <row r="88" spans="6:25" x14ac:dyDescent="0.2">
      <c r="F88" s="4">
        <v>4</v>
      </c>
      <c r="G88" s="4">
        <v>4.8169139999999997</v>
      </c>
      <c r="H88" s="4">
        <f t="shared" si="8"/>
        <v>5</v>
      </c>
      <c r="J88" s="4">
        <v>4</v>
      </c>
      <c r="K88" s="4">
        <v>4.2497787000000002</v>
      </c>
      <c r="L88" s="4">
        <f t="shared" si="9"/>
        <v>4</v>
      </c>
      <c r="X88">
        <v>400</v>
      </c>
      <c r="Y88">
        <v>-1.029098457724799</v>
      </c>
    </row>
    <row r="89" spans="6:25" x14ac:dyDescent="0.2">
      <c r="F89" s="4">
        <v>4</v>
      </c>
      <c r="G89" s="4">
        <v>2.5728203999999999</v>
      </c>
      <c r="H89" s="4">
        <f t="shared" si="8"/>
        <v>3</v>
      </c>
      <c r="J89" s="4">
        <v>5</v>
      </c>
      <c r="K89" s="4">
        <v>4.2480529999999996</v>
      </c>
      <c r="L89" s="4">
        <f t="shared" si="9"/>
        <v>4</v>
      </c>
      <c r="X89">
        <v>200</v>
      </c>
      <c r="Y89">
        <v>-1.04385641999196</v>
      </c>
    </row>
    <row r="90" spans="6:25" x14ac:dyDescent="0.2">
      <c r="F90" s="4">
        <v>3</v>
      </c>
      <c r="G90" s="4">
        <v>3.8020770000000002</v>
      </c>
      <c r="H90" s="4">
        <f t="shared" si="8"/>
        <v>4</v>
      </c>
      <c r="J90" s="4">
        <v>1</v>
      </c>
      <c r="K90" s="4">
        <v>1.6948719999999999</v>
      </c>
      <c r="L90" s="4">
        <f t="shared" si="9"/>
        <v>2</v>
      </c>
      <c r="X90">
        <v>400</v>
      </c>
      <c r="Y90">
        <v>-1.001189801398193</v>
      </c>
    </row>
    <row r="91" spans="6:25" x14ac:dyDescent="0.2">
      <c r="F91" s="4">
        <v>4</v>
      </c>
      <c r="G91" s="4">
        <v>3.340014</v>
      </c>
      <c r="H91" s="4">
        <f t="shared" si="8"/>
        <v>3</v>
      </c>
      <c r="J91" s="4">
        <v>3</v>
      </c>
      <c r="K91" s="4">
        <v>3.0971215000000001</v>
      </c>
      <c r="L91" s="4">
        <f t="shared" si="9"/>
        <v>3</v>
      </c>
      <c r="X91">
        <v>300</v>
      </c>
      <c r="Y91">
        <v>-1.18959698381274</v>
      </c>
    </row>
    <row r="92" spans="6:25" x14ac:dyDescent="0.2">
      <c r="F92" s="4">
        <v>1</v>
      </c>
      <c r="G92" s="4">
        <v>3.8540795000000001</v>
      </c>
      <c r="H92" s="4">
        <f t="shared" si="8"/>
        <v>4</v>
      </c>
      <c r="J92" s="4">
        <v>3</v>
      </c>
      <c r="K92" s="4">
        <v>3.6150090000000001</v>
      </c>
      <c r="L92" s="4">
        <f t="shared" si="9"/>
        <v>4</v>
      </c>
      <c r="X92">
        <v>400</v>
      </c>
      <c r="Y92">
        <v>-1.032563832956813</v>
      </c>
    </row>
    <row r="93" spans="6:25" x14ac:dyDescent="0.2">
      <c r="F93" s="4">
        <v>5</v>
      </c>
      <c r="G93" s="4">
        <v>3.8222725</v>
      </c>
      <c r="H93" s="4">
        <f t="shared" si="8"/>
        <v>4</v>
      </c>
      <c r="J93" s="4">
        <v>3</v>
      </c>
      <c r="K93" s="4">
        <v>4.0254107000000001</v>
      </c>
      <c r="L93" s="4">
        <f t="shared" si="9"/>
        <v>4</v>
      </c>
      <c r="X93">
        <v>200</v>
      </c>
      <c r="Y93">
        <v>-1.0924108262401331</v>
      </c>
    </row>
    <row r="94" spans="6:25" x14ac:dyDescent="0.2">
      <c r="F94" s="4">
        <v>4</v>
      </c>
      <c r="G94" s="4">
        <v>3.7937829999999999</v>
      </c>
      <c r="H94" s="4">
        <f t="shared" si="8"/>
        <v>4</v>
      </c>
      <c r="J94" s="4">
        <v>2</v>
      </c>
      <c r="K94" s="4">
        <v>2.814943</v>
      </c>
      <c r="L94" s="4">
        <f t="shared" si="9"/>
        <v>3</v>
      </c>
      <c r="X94">
        <v>100</v>
      </c>
      <c r="Y94">
        <v>-1.0849461994804639</v>
      </c>
    </row>
    <row r="95" spans="6:25" x14ac:dyDescent="0.2">
      <c r="F95" s="4">
        <v>3</v>
      </c>
      <c r="G95" s="4">
        <v>4.1988807000000001</v>
      </c>
      <c r="H95" s="4">
        <f t="shared" si="8"/>
        <v>4</v>
      </c>
      <c r="J95" s="4">
        <v>2</v>
      </c>
      <c r="K95" s="4">
        <v>3.8188970000000002</v>
      </c>
      <c r="L95" s="4">
        <f t="shared" si="9"/>
        <v>4</v>
      </c>
      <c r="X95">
        <v>100</v>
      </c>
      <c r="Y95">
        <v>-1.3718207529582189</v>
      </c>
    </row>
    <row r="96" spans="6:25" x14ac:dyDescent="0.2">
      <c r="F96" s="4">
        <v>5</v>
      </c>
      <c r="G96" s="4">
        <v>4.0624399999999996</v>
      </c>
      <c r="H96" s="4">
        <f t="shared" si="8"/>
        <v>4</v>
      </c>
      <c r="J96" s="4">
        <v>4</v>
      </c>
      <c r="K96" s="4">
        <v>3.6357936999999998</v>
      </c>
      <c r="L96" s="4">
        <f t="shared" si="9"/>
        <v>4</v>
      </c>
      <c r="X96">
        <v>400</v>
      </c>
      <c r="Y96">
        <v>-1.0026097043266711</v>
      </c>
    </row>
    <row r="97" spans="6:25" x14ac:dyDescent="0.2">
      <c r="F97" s="4">
        <v>3</v>
      </c>
      <c r="G97" s="4">
        <v>2.4931985999999999</v>
      </c>
      <c r="H97" s="4">
        <f t="shared" si="8"/>
        <v>2</v>
      </c>
      <c r="J97" s="4">
        <v>4</v>
      </c>
      <c r="K97" s="4">
        <v>4.2285560000000002</v>
      </c>
      <c r="L97" s="4">
        <f t="shared" si="9"/>
        <v>4</v>
      </c>
      <c r="X97">
        <v>100</v>
      </c>
      <c r="Y97">
        <v>-1.2086933508475011</v>
      </c>
    </row>
    <row r="98" spans="6:25" x14ac:dyDescent="0.2">
      <c r="F98" s="4">
        <v>2</v>
      </c>
      <c r="G98" s="4">
        <v>2.7432501</v>
      </c>
      <c r="H98" s="4">
        <f t="shared" si="8"/>
        <v>3</v>
      </c>
      <c r="J98" s="4">
        <v>5</v>
      </c>
      <c r="K98" s="4">
        <v>4.4594209999999999</v>
      </c>
      <c r="L98" s="4">
        <f t="shared" si="9"/>
        <v>4</v>
      </c>
      <c r="X98">
        <v>300</v>
      </c>
      <c r="Y98">
        <v>-1.0477778577981069</v>
      </c>
    </row>
    <row r="99" spans="6:25" x14ac:dyDescent="0.2">
      <c r="F99" s="4">
        <v>3</v>
      </c>
      <c r="G99" s="4">
        <v>4.0073204000000002</v>
      </c>
      <c r="H99" s="4">
        <f t="shared" si="8"/>
        <v>4</v>
      </c>
      <c r="J99" s="4">
        <v>5</v>
      </c>
      <c r="K99" s="4">
        <v>3.5538516000000002</v>
      </c>
      <c r="L99" s="4">
        <f t="shared" si="9"/>
        <v>4</v>
      </c>
      <c r="X99">
        <v>100</v>
      </c>
      <c r="Y99">
        <v>-1.1810593512643059</v>
      </c>
    </row>
    <row r="100" spans="6:25" x14ac:dyDescent="0.2">
      <c r="F100" s="4">
        <v>5</v>
      </c>
      <c r="G100" s="4">
        <v>3.9652989999999999</v>
      </c>
      <c r="H100" s="4">
        <f t="shared" si="8"/>
        <v>4</v>
      </c>
      <c r="J100" s="4">
        <v>5</v>
      </c>
      <c r="K100" s="4">
        <v>4.0011644000000004</v>
      </c>
      <c r="L100" s="4">
        <f t="shared" si="9"/>
        <v>4</v>
      </c>
      <c r="X100">
        <v>100</v>
      </c>
      <c r="Y100">
        <v>-1.0067035669771609</v>
      </c>
    </row>
    <row r="101" spans="6:25" x14ac:dyDescent="0.2">
      <c r="F101" s="4">
        <v>4</v>
      </c>
      <c r="G101" s="4">
        <v>3.3668447000000001</v>
      </c>
      <c r="H101" s="4">
        <f t="shared" si="8"/>
        <v>3</v>
      </c>
      <c r="J101" s="4">
        <v>5</v>
      </c>
      <c r="K101" s="4">
        <v>4.2850260000000002</v>
      </c>
      <c r="L101" s="4">
        <f t="shared" si="9"/>
        <v>4</v>
      </c>
      <c r="X101">
        <v>400</v>
      </c>
      <c r="Y101">
        <v>-1.0436057603995541</v>
      </c>
    </row>
    <row r="102" spans="6:25" x14ac:dyDescent="0.2">
      <c r="F102" s="4">
        <v>4</v>
      </c>
      <c r="G102" s="4">
        <v>3.2420081999999999</v>
      </c>
      <c r="H102" s="4">
        <f t="shared" si="8"/>
        <v>3</v>
      </c>
      <c r="J102" s="4">
        <v>5</v>
      </c>
      <c r="K102" s="4">
        <v>4.5620494000000003</v>
      </c>
      <c r="L102" s="4">
        <f t="shared" si="9"/>
        <v>5</v>
      </c>
      <c r="X102">
        <v>300</v>
      </c>
      <c r="Y102">
        <v>-1.0828316807028799</v>
      </c>
    </row>
    <row r="103" spans="6:25" x14ac:dyDescent="0.2">
      <c r="F103" s="4">
        <v>3</v>
      </c>
      <c r="G103" s="4">
        <v>3.7374475</v>
      </c>
      <c r="H103" s="4">
        <f t="shared" si="8"/>
        <v>4</v>
      </c>
      <c r="J103" s="4">
        <v>1</v>
      </c>
      <c r="K103" s="4">
        <v>4.4329356999999998</v>
      </c>
      <c r="L103" s="4">
        <f t="shared" si="9"/>
        <v>4</v>
      </c>
      <c r="X103">
        <v>200</v>
      </c>
      <c r="Y103">
        <v>-1.066985488229764</v>
      </c>
    </row>
    <row r="104" spans="6:25" x14ac:dyDescent="0.2">
      <c r="F104" s="4">
        <v>3</v>
      </c>
      <c r="G104" s="4">
        <v>3.7502947</v>
      </c>
      <c r="H104" s="4">
        <f t="shared" si="8"/>
        <v>4</v>
      </c>
      <c r="J104" s="4">
        <v>5</v>
      </c>
      <c r="K104" s="4">
        <v>4.0525646000000002</v>
      </c>
      <c r="L104" s="4">
        <f t="shared" si="9"/>
        <v>4</v>
      </c>
      <c r="X104">
        <v>100</v>
      </c>
      <c r="Y104">
        <v>-1.0042328169286561</v>
      </c>
    </row>
    <row r="105" spans="6:25" x14ac:dyDescent="0.2">
      <c r="F105" s="4">
        <v>4</v>
      </c>
      <c r="G105" s="4">
        <v>3.8439667000000002</v>
      </c>
      <c r="H105" s="4">
        <f t="shared" si="8"/>
        <v>4</v>
      </c>
      <c r="J105" s="4">
        <v>4</v>
      </c>
      <c r="K105" s="4">
        <v>3.3734383999999999</v>
      </c>
      <c r="L105" s="4">
        <f t="shared" si="9"/>
        <v>3</v>
      </c>
      <c r="X105">
        <v>300</v>
      </c>
      <c r="Y105">
        <v>-1.029400080204687</v>
      </c>
    </row>
    <row r="106" spans="6:25" x14ac:dyDescent="0.2">
      <c r="F106" s="4">
        <v>2</v>
      </c>
      <c r="G106" s="4">
        <v>2.002424</v>
      </c>
      <c r="H106" s="4">
        <f t="shared" si="8"/>
        <v>2</v>
      </c>
      <c r="J106" s="4">
        <v>5</v>
      </c>
      <c r="K106" s="4">
        <v>4.4361343</v>
      </c>
      <c r="L106" s="4">
        <f t="shared" si="9"/>
        <v>4</v>
      </c>
      <c r="X106">
        <v>400</v>
      </c>
      <c r="Y106">
        <v>-1.040203795870384</v>
      </c>
    </row>
    <row r="107" spans="6:25" x14ac:dyDescent="0.2">
      <c r="F107" s="4">
        <v>5</v>
      </c>
      <c r="G107" s="4">
        <v>3.3439844000000001</v>
      </c>
      <c r="H107" s="4">
        <f t="shared" si="8"/>
        <v>3</v>
      </c>
      <c r="J107" s="4">
        <v>5</v>
      </c>
      <c r="K107" s="4">
        <v>4.2988353000000004</v>
      </c>
      <c r="L107" s="4">
        <f t="shared" si="9"/>
        <v>4</v>
      </c>
      <c r="X107">
        <v>100</v>
      </c>
      <c r="Y107">
        <v>-1.128174386574605</v>
      </c>
    </row>
    <row r="108" spans="6:25" x14ac:dyDescent="0.2">
      <c r="F108" s="4">
        <v>3</v>
      </c>
      <c r="G108" s="4">
        <v>4.3708315000000004</v>
      </c>
      <c r="H108" s="4">
        <f t="shared" si="8"/>
        <v>4</v>
      </c>
      <c r="J108" s="4">
        <v>3</v>
      </c>
      <c r="K108" s="4">
        <v>3.2839323999999999</v>
      </c>
      <c r="L108" s="4">
        <f t="shared" si="9"/>
        <v>3</v>
      </c>
      <c r="X108">
        <v>100</v>
      </c>
      <c r="Y108">
        <v>-1.1168829391981829</v>
      </c>
    </row>
    <row r="109" spans="6:25" x14ac:dyDescent="0.2">
      <c r="F109" s="4">
        <v>5</v>
      </c>
      <c r="G109" s="4">
        <v>3.6456947</v>
      </c>
      <c r="H109" s="4">
        <f t="shared" si="8"/>
        <v>4</v>
      </c>
      <c r="J109" s="4">
        <v>5</v>
      </c>
      <c r="K109" s="4">
        <v>4.2179165000000003</v>
      </c>
      <c r="L109" s="4">
        <f t="shared" si="9"/>
        <v>4</v>
      </c>
    </row>
    <row r="110" spans="6:25" x14ac:dyDescent="0.2">
      <c r="F110" s="4">
        <v>4</v>
      </c>
      <c r="G110" s="4">
        <v>4.3456970000000004</v>
      </c>
      <c r="H110" s="4">
        <f t="shared" si="8"/>
        <v>4</v>
      </c>
      <c r="J110" s="4">
        <v>4</v>
      </c>
      <c r="K110" s="4">
        <v>4.0628704999999998</v>
      </c>
      <c r="L110" s="4">
        <f t="shared" si="9"/>
        <v>4</v>
      </c>
    </row>
    <row r="111" spans="6:25" x14ac:dyDescent="0.2">
      <c r="F111" s="4">
        <v>5</v>
      </c>
      <c r="G111" s="4">
        <v>4.1390219999999998</v>
      </c>
      <c r="H111" s="4">
        <f t="shared" si="8"/>
        <v>4</v>
      </c>
      <c r="J111" s="4">
        <v>3</v>
      </c>
      <c r="K111" s="4">
        <v>2.8358620000000001</v>
      </c>
      <c r="L111" s="4">
        <f t="shared" si="9"/>
        <v>3</v>
      </c>
    </row>
    <row r="112" spans="6:25" x14ac:dyDescent="0.2">
      <c r="F112" s="4">
        <v>5</v>
      </c>
      <c r="G112" s="4">
        <v>4.1137670000000002</v>
      </c>
      <c r="H112" s="4">
        <f t="shared" si="8"/>
        <v>4</v>
      </c>
      <c r="J112" s="4">
        <v>4</v>
      </c>
      <c r="K112" s="4">
        <v>3.5220989999999999</v>
      </c>
      <c r="L112" s="4">
        <f t="shared" si="9"/>
        <v>4</v>
      </c>
    </row>
    <row r="113" spans="6:12" x14ac:dyDescent="0.2">
      <c r="F113" s="4">
        <v>4</v>
      </c>
      <c r="G113" s="4">
        <v>4.9179835000000001</v>
      </c>
      <c r="H113" s="4">
        <f t="shared" si="8"/>
        <v>5</v>
      </c>
      <c r="J113" s="4">
        <v>1</v>
      </c>
      <c r="K113" s="4">
        <v>2.8945536999999999</v>
      </c>
      <c r="L113" s="4">
        <f t="shared" si="9"/>
        <v>3</v>
      </c>
    </row>
    <row r="114" spans="6:12" x14ac:dyDescent="0.2">
      <c r="F114" s="4">
        <v>1</v>
      </c>
      <c r="G114" s="4">
        <v>2.0254672</v>
      </c>
      <c r="H114" s="4">
        <f t="shared" si="8"/>
        <v>2</v>
      </c>
      <c r="J114" s="4">
        <v>5</v>
      </c>
      <c r="K114" s="4">
        <v>4.5659637000000002</v>
      </c>
      <c r="L114" s="4">
        <f t="shared" si="9"/>
        <v>5</v>
      </c>
    </row>
    <row r="115" spans="6:12" x14ac:dyDescent="0.2">
      <c r="F115" s="4">
        <v>3</v>
      </c>
      <c r="G115" s="4">
        <v>2.9674939999999999</v>
      </c>
      <c r="H115" s="4">
        <f t="shared" si="8"/>
        <v>3</v>
      </c>
      <c r="J115" s="4">
        <v>3</v>
      </c>
      <c r="K115" s="4">
        <v>3.8275478000000001</v>
      </c>
      <c r="L115" s="4">
        <f t="shared" si="9"/>
        <v>4</v>
      </c>
    </row>
    <row r="116" spans="6:12" x14ac:dyDescent="0.2">
      <c r="F116" s="4">
        <v>4</v>
      </c>
      <c r="G116" s="4">
        <v>4.2992334000000003</v>
      </c>
      <c r="H116" s="4">
        <f t="shared" si="8"/>
        <v>4</v>
      </c>
      <c r="J116" s="4">
        <v>5</v>
      </c>
      <c r="K116" s="4">
        <v>4.1289600000000002</v>
      </c>
      <c r="L116" s="4">
        <f t="shared" si="9"/>
        <v>4</v>
      </c>
    </row>
    <row r="117" spans="6:12" x14ac:dyDescent="0.2">
      <c r="F117" s="4">
        <v>3</v>
      </c>
      <c r="G117" s="4">
        <v>2.8513690999999999</v>
      </c>
      <c r="H117" s="4">
        <f t="shared" si="8"/>
        <v>3</v>
      </c>
      <c r="J117" s="4">
        <v>3</v>
      </c>
      <c r="K117" s="4">
        <v>4.0733104000000004</v>
      </c>
      <c r="L117" s="4">
        <f t="shared" si="9"/>
        <v>4</v>
      </c>
    </row>
    <row r="118" spans="6:12" x14ac:dyDescent="0.2">
      <c r="F118" s="4">
        <v>5</v>
      </c>
      <c r="G118" s="4">
        <v>4.1671804999999997</v>
      </c>
      <c r="H118" s="4">
        <f t="shared" si="8"/>
        <v>4</v>
      </c>
      <c r="J118" s="4">
        <v>5</v>
      </c>
      <c r="K118" s="4">
        <v>5.2151036</v>
      </c>
      <c r="L118" s="4">
        <f t="shared" si="9"/>
        <v>5</v>
      </c>
    </row>
    <row r="119" spans="6:12" x14ac:dyDescent="0.2">
      <c r="F119" s="4">
        <v>5</v>
      </c>
      <c r="G119" s="4">
        <v>4.6146320000000003</v>
      </c>
      <c r="H119" s="4">
        <f t="shared" si="8"/>
        <v>5</v>
      </c>
      <c r="J119" s="4">
        <v>5</v>
      </c>
      <c r="K119" s="4">
        <v>4.6579986</v>
      </c>
      <c r="L119" s="4">
        <f t="shared" si="9"/>
        <v>5</v>
      </c>
    </row>
    <row r="120" spans="6:12" x14ac:dyDescent="0.2">
      <c r="F120" s="4">
        <v>4</v>
      </c>
      <c r="G120" s="4">
        <v>4.0461850000000004</v>
      </c>
      <c r="H120" s="4">
        <f t="shared" si="8"/>
        <v>4</v>
      </c>
      <c r="J120" s="4">
        <v>3</v>
      </c>
      <c r="K120" s="4">
        <v>2.7842207000000001</v>
      </c>
      <c r="L120" s="4">
        <f t="shared" si="9"/>
        <v>3</v>
      </c>
    </row>
    <row r="121" spans="6:12" x14ac:dyDescent="0.2">
      <c r="F121" s="4">
        <v>4</v>
      </c>
      <c r="G121" s="4">
        <v>4.8125809999999998</v>
      </c>
      <c r="H121" s="4">
        <f t="shared" si="8"/>
        <v>5</v>
      </c>
      <c r="J121" s="4">
        <v>4</v>
      </c>
      <c r="K121" s="4">
        <v>3.7123840000000001</v>
      </c>
      <c r="L121" s="4">
        <f t="shared" si="9"/>
        <v>4</v>
      </c>
    </row>
    <row r="122" spans="6:12" x14ac:dyDescent="0.2">
      <c r="F122" s="4">
        <v>4</v>
      </c>
      <c r="G122" s="4">
        <v>3.2494122999999999</v>
      </c>
      <c r="H122" s="4">
        <f t="shared" si="8"/>
        <v>3</v>
      </c>
      <c r="J122" s="4">
        <v>1</v>
      </c>
      <c r="K122" s="4">
        <v>1.7033083</v>
      </c>
      <c r="L122" s="4">
        <f t="shared" si="9"/>
        <v>2</v>
      </c>
    </row>
    <row r="123" spans="6:12" x14ac:dyDescent="0.2">
      <c r="F123" s="4">
        <v>4</v>
      </c>
      <c r="G123" s="4">
        <v>3.1835673</v>
      </c>
      <c r="H123" s="4">
        <f t="shared" si="8"/>
        <v>3</v>
      </c>
      <c r="J123" s="4">
        <v>5</v>
      </c>
      <c r="K123" s="4">
        <v>2.8902269999999999</v>
      </c>
      <c r="L123" s="4">
        <f t="shared" si="9"/>
        <v>3</v>
      </c>
    </row>
    <row r="124" spans="6:12" x14ac:dyDescent="0.2">
      <c r="F124" s="4">
        <v>4</v>
      </c>
      <c r="G124" s="4">
        <v>4.0831065000000004</v>
      </c>
      <c r="H124" s="4">
        <f t="shared" si="8"/>
        <v>4</v>
      </c>
      <c r="J124" s="4">
        <v>3</v>
      </c>
      <c r="K124" s="4">
        <v>3.4916399</v>
      </c>
      <c r="L124" s="4">
        <f t="shared" si="9"/>
        <v>3</v>
      </c>
    </row>
    <row r="125" spans="6:12" x14ac:dyDescent="0.2">
      <c r="F125" s="4">
        <v>5</v>
      </c>
      <c r="G125" s="4">
        <v>4.1619429999999999</v>
      </c>
      <c r="H125" s="4">
        <f t="shared" si="8"/>
        <v>4</v>
      </c>
      <c r="J125" s="4">
        <v>5</v>
      </c>
      <c r="K125" s="4">
        <v>4.3963169999999998</v>
      </c>
      <c r="L125" s="4">
        <f t="shared" si="9"/>
        <v>4</v>
      </c>
    </row>
    <row r="126" spans="6:12" x14ac:dyDescent="0.2">
      <c r="F126" s="4">
        <v>4</v>
      </c>
      <c r="G126" s="4">
        <v>3.9782047</v>
      </c>
      <c r="H126" s="4">
        <f t="shared" si="8"/>
        <v>4</v>
      </c>
      <c r="J126" s="4">
        <v>5</v>
      </c>
      <c r="K126" s="4">
        <v>4.1213664999999997</v>
      </c>
      <c r="L126" s="4">
        <f t="shared" si="9"/>
        <v>4</v>
      </c>
    </row>
    <row r="127" spans="6:12" x14ac:dyDescent="0.2">
      <c r="F127" s="4">
        <v>5</v>
      </c>
      <c r="G127" s="4">
        <v>4.124485</v>
      </c>
      <c r="H127" s="4">
        <f t="shared" si="8"/>
        <v>4</v>
      </c>
      <c r="J127" s="4">
        <v>4</v>
      </c>
      <c r="K127" s="4">
        <v>3.478596</v>
      </c>
      <c r="L127" s="4">
        <f t="shared" si="9"/>
        <v>3</v>
      </c>
    </row>
    <row r="128" spans="6:12" x14ac:dyDescent="0.2">
      <c r="F128" s="4">
        <v>3</v>
      </c>
      <c r="G128" s="4">
        <v>2.1452296</v>
      </c>
      <c r="H128" s="4">
        <f t="shared" si="8"/>
        <v>2</v>
      </c>
      <c r="J128" s="4">
        <v>4</v>
      </c>
      <c r="K128" s="4">
        <v>1.8313398000000001</v>
      </c>
      <c r="L128" s="4">
        <f t="shared" si="9"/>
        <v>2</v>
      </c>
    </row>
    <row r="129" spans="6:12" x14ac:dyDescent="0.2">
      <c r="F129" s="4">
        <v>4</v>
      </c>
      <c r="G129" s="4">
        <v>4.5551352999999999</v>
      </c>
      <c r="H129" s="4">
        <f t="shared" si="8"/>
        <v>5</v>
      </c>
      <c r="J129" s="4">
        <v>4</v>
      </c>
      <c r="K129" s="4">
        <v>3.4663818000000002</v>
      </c>
      <c r="L129" s="4">
        <f t="shared" si="9"/>
        <v>3</v>
      </c>
    </row>
    <row r="130" spans="6:12" x14ac:dyDescent="0.2">
      <c r="F130" s="4">
        <v>2</v>
      </c>
      <c r="G130" s="4">
        <v>1.9246745999999999</v>
      </c>
      <c r="H130" s="4">
        <f t="shared" si="8"/>
        <v>2</v>
      </c>
      <c r="J130" s="4">
        <v>4</v>
      </c>
      <c r="K130" s="4">
        <v>4.3231716000000002</v>
      </c>
      <c r="L130" s="4">
        <f t="shared" si="9"/>
        <v>4</v>
      </c>
    </row>
    <row r="131" spans="6:12" x14ac:dyDescent="0.2">
      <c r="F131" s="4">
        <v>4</v>
      </c>
      <c r="G131" s="4">
        <v>3.3842043999999998</v>
      </c>
      <c r="H131" s="4">
        <f t="shared" si="8"/>
        <v>3</v>
      </c>
      <c r="J131" s="4">
        <v>4</v>
      </c>
      <c r="K131" s="4">
        <v>3.9539971</v>
      </c>
      <c r="L131" s="4">
        <f t="shared" si="9"/>
        <v>4</v>
      </c>
    </row>
    <row r="132" spans="6:12" x14ac:dyDescent="0.2">
      <c r="F132" s="4">
        <v>5</v>
      </c>
      <c r="G132" s="4">
        <v>3.8346863</v>
      </c>
      <c r="H132" s="4">
        <f t="shared" si="8"/>
        <v>4</v>
      </c>
      <c r="J132" s="4">
        <v>4</v>
      </c>
      <c r="K132" s="4">
        <v>2.1479332000000002</v>
      </c>
      <c r="L132" s="4">
        <f t="shared" si="9"/>
        <v>2</v>
      </c>
    </row>
    <row r="133" spans="6:12" x14ac:dyDescent="0.2">
      <c r="F133" s="4">
        <v>1</v>
      </c>
      <c r="G133" s="4">
        <v>1.473546</v>
      </c>
      <c r="H133" s="4">
        <f t="shared" si="8"/>
        <v>1</v>
      </c>
      <c r="J133" s="4">
        <v>5</v>
      </c>
      <c r="K133" s="4">
        <v>4.0246224000000002</v>
      </c>
      <c r="L133" s="4">
        <f t="shared" si="9"/>
        <v>4</v>
      </c>
    </row>
    <row r="134" spans="6:12" x14ac:dyDescent="0.2">
      <c r="F134" s="4">
        <v>5</v>
      </c>
      <c r="G134" s="4">
        <v>3.9635777000000001</v>
      </c>
      <c r="H134" s="4">
        <f t="shared" si="8"/>
        <v>4</v>
      </c>
      <c r="J134" s="4">
        <v>4</v>
      </c>
      <c r="K134" s="4">
        <v>4.2138004000000002</v>
      </c>
      <c r="L134" s="4">
        <f t="shared" si="9"/>
        <v>4</v>
      </c>
    </row>
    <row r="135" spans="6:12" x14ac:dyDescent="0.2">
      <c r="F135" s="4">
        <v>5</v>
      </c>
      <c r="G135" s="4">
        <v>4.0935119999999996</v>
      </c>
      <c r="H135" s="4">
        <f t="shared" si="8"/>
        <v>4</v>
      </c>
      <c r="J135" s="4">
        <v>4</v>
      </c>
      <c r="K135" s="4">
        <v>3.8721155999999999</v>
      </c>
      <c r="L135" s="4">
        <f t="shared" si="9"/>
        <v>4</v>
      </c>
    </row>
    <row r="136" spans="6:12" x14ac:dyDescent="0.2">
      <c r="F136" s="4">
        <v>4</v>
      </c>
      <c r="G136" s="4">
        <v>3.4838200000000001</v>
      </c>
      <c r="H136" s="4">
        <f t="shared" si="8"/>
        <v>3</v>
      </c>
      <c r="J136" s="4">
        <v>2</v>
      </c>
      <c r="K136" s="4">
        <v>2.7394050000000001</v>
      </c>
      <c r="L136" s="4">
        <f t="shared" si="9"/>
        <v>3</v>
      </c>
    </row>
    <row r="137" spans="6:12" x14ac:dyDescent="0.2">
      <c r="F137" s="4">
        <v>5</v>
      </c>
      <c r="G137" s="4">
        <v>3.394539</v>
      </c>
      <c r="H137" s="4">
        <f t="shared" ref="H137:H200" si="10">IF(G137&lt;0.5, 0, IF(G137&lt;1.5, 1, IF(G137&lt;2.5, 2, IF(G137&lt;3.5, 3, IF(G137&lt;4.5, 4, 5)))))</f>
        <v>3</v>
      </c>
      <c r="J137" s="4">
        <v>4</v>
      </c>
      <c r="K137" s="4">
        <v>3.8466459999999998</v>
      </c>
      <c r="L137" s="4">
        <f t="shared" ref="L137:L200" si="11">IF(K137&lt;0.5, 0, IF(K137&lt;1.5, 1, IF(K137&lt;2.5, 2, IF(K137&lt;3.5, 3, IF(K137&lt;4.5, 4, 5)))))</f>
        <v>4</v>
      </c>
    </row>
    <row r="138" spans="6:12" x14ac:dyDescent="0.2">
      <c r="F138" s="4">
        <v>5</v>
      </c>
      <c r="G138" s="4">
        <v>4.1623954999999997</v>
      </c>
      <c r="H138" s="4">
        <f t="shared" si="10"/>
        <v>4</v>
      </c>
      <c r="J138" s="4">
        <v>4</v>
      </c>
      <c r="K138" s="4">
        <v>4.5357529999999997</v>
      </c>
      <c r="L138" s="4">
        <f t="shared" si="11"/>
        <v>5</v>
      </c>
    </row>
    <row r="139" spans="6:12" x14ac:dyDescent="0.2">
      <c r="F139" s="4">
        <v>3</v>
      </c>
      <c r="G139" s="4">
        <v>3.8313000000000001</v>
      </c>
      <c r="H139" s="4">
        <f t="shared" si="10"/>
        <v>4</v>
      </c>
      <c r="J139" s="4">
        <v>4</v>
      </c>
      <c r="K139" s="4">
        <v>3.3620584</v>
      </c>
      <c r="L139" s="4">
        <f t="shared" si="11"/>
        <v>3</v>
      </c>
    </row>
    <row r="140" spans="6:12" x14ac:dyDescent="0.2">
      <c r="F140" s="4">
        <v>5</v>
      </c>
      <c r="G140" s="4">
        <v>4.7049649999999996</v>
      </c>
      <c r="H140" s="4">
        <f t="shared" si="10"/>
        <v>5</v>
      </c>
      <c r="J140" s="4">
        <v>4</v>
      </c>
      <c r="K140" s="4">
        <v>4.0736420000000004</v>
      </c>
      <c r="L140" s="4">
        <f t="shared" si="11"/>
        <v>4</v>
      </c>
    </row>
    <row r="141" spans="6:12" x14ac:dyDescent="0.2">
      <c r="F141" s="4">
        <v>1</v>
      </c>
      <c r="G141" s="4">
        <v>3.7262590000000002</v>
      </c>
      <c r="H141" s="4">
        <f t="shared" si="10"/>
        <v>4</v>
      </c>
      <c r="J141" s="4">
        <v>5</v>
      </c>
      <c r="K141" s="4">
        <v>4.0456519999999996</v>
      </c>
      <c r="L141" s="4">
        <f t="shared" si="11"/>
        <v>4</v>
      </c>
    </row>
    <row r="142" spans="6:12" x14ac:dyDescent="0.2">
      <c r="F142" s="4">
        <v>5</v>
      </c>
      <c r="G142" s="4">
        <v>3.9965269999999999</v>
      </c>
      <c r="H142" s="4">
        <f t="shared" si="10"/>
        <v>4</v>
      </c>
      <c r="J142" s="4">
        <v>3</v>
      </c>
      <c r="K142" s="4">
        <v>3.1954389999999999</v>
      </c>
      <c r="L142" s="4">
        <f t="shared" si="11"/>
        <v>3</v>
      </c>
    </row>
    <row r="143" spans="6:12" x14ac:dyDescent="0.2">
      <c r="F143" s="4">
        <v>4</v>
      </c>
      <c r="G143" s="4">
        <v>3.7660054999999999</v>
      </c>
      <c r="H143" s="4">
        <f t="shared" si="10"/>
        <v>4</v>
      </c>
      <c r="J143" s="4">
        <v>5</v>
      </c>
      <c r="K143" s="4">
        <v>4.7109027000000001</v>
      </c>
      <c r="L143" s="4">
        <f t="shared" si="11"/>
        <v>5</v>
      </c>
    </row>
    <row r="144" spans="6:12" x14ac:dyDescent="0.2">
      <c r="F144" s="4">
        <v>4</v>
      </c>
      <c r="G144" s="4">
        <v>3.2540714999999998</v>
      </c>
      <c r="H144" s="4">
        <f t="shared" si="10"/>
        <v>3</v>
      </c>
      <c r="J144" s="4">
        <v>3</v>
      </c>
      <c r="K144" s="4">
        <v>4.2651370000000002</v>
      </c>
      <c r="L144" s="4">
        <f t="shared" si="11"/>
        <v>4</v>
      </c>
    </row>
    <row r="145" spans="6:12" x14ac:dyDescent="0.2">
      <c r="F145" s="4">
        <v>4</v>
      </c>
      <c r="G145" s="4">
        <v>3.6931155000000002</v>
      </c>
      <c r="H145" s="4">
        <f t="shared" si="10"/>
        <v>4</v>
      </c>
      <c r="J145" s="4">
        <v>4</v>
      </c>
      <c r="K145" s="4">
        <v>3.4213266</v>
      </c>
      <c r="L145" s="4">
        <f t="shared" si="11"/>
        <v>3</v>
      </c>
    </row>
    <row r="146" spans="6:12" x14ac:dyDescent="0.2">
      <c r="F146" s="4">
        <v>3</v>
      </c>
      <c r="G146" s="4">
        <v>3.8846326000000002</v>
      </c>
      <c r="H146" s="4">
        <f t="shared" si="10"/>
        <v>4</v>
      </c>
      <c r="J146" s="4">
        <v>5</v>
      </c>
      <c r="K146" s="4">
        <v>3.9506451999999999</v>
      </c>
      <c r="L146" s="4">
        <f t="shared" si="11"/>
        <v>4</v>
      </c>
    </row>
    <row r="147" spans="6:12" x14ac:dyDescent="0.2">
      <c r="F147" s="4">
        <v>1</v>
      </c>
      <c r="G147" s="4">
        <v>1.8275272</v>
      </c>
      <c r="H147" s="4">
        <f t="shared" si="10"/>
        <v>2</v>
      </c>
      <c r="J147" s="4">
        <v>1</v>
      </c>
      <c r="K147" s="4">
        <v>1.5663153999999999</v>
      </c>
      <c r="L147" s="4">
        <f t="shared" si="11"/>
        <v>2</v>
      </c>
    </row>
    <row r="148" spans="6:12" x14ac:dyDescent="0.2">
      <c r="F148" s="4">
        <v>3</v>
      </c>
      <c r="G148" s="4">
        <v>3.9475235999999998</v>
      </c>
      <c r="H148" s="4">
        <f t="shared" si="10"/>
        <v>4</v>
      </c>
      <c r="J148" s="4">
        <v>5</v>
      </c>
      <c r="K148" s="4">
        <v>4.5250287</v>
      </c>
      <c r="L148" s="4">
        <f t="shared" si="11"/>
        <v>5</v>
      </c>
    </row>
    <row r="149" spans="6:12" x14ac:dyDescent="0.2">
      <c r="F149" s="4">
        <v>1</v>
      </c>
      <c r="G149" s="4">
        <v>2.0184855000000002</v>
      </c>
      <c r="H149" s="4">
        <f t="shared" si="10"/>
        <v>2</v>
      </c>
      <c r="J149" s="4">
        <v>3</v>
      </c>
      <c r="K149" s="4">
        <v>3.3387418000000002</v>
      </c>
      <c r="L149" s="4">
        <f t="shared" si="11"/>
        <v>3</v>
      </c>
    </row>
    <row r="150" spans="6:12" x14ac:dyDescent="0.2">
      <c r="F150" s="4">
        <v>5</v>
      </c>
      <c r="G150" s="4">
        <v>4.2705669999999998</v>
      </c>
      <c r="H150" s="4">
        <f t="shared" si="10"/>
        <v>4</v>
      </c>
      <c r="J150" s="4">
        <v>1</v>
      </c>
      <c r="K150" s="4">
        <v>2.3980746000000002</v>
      </c>
      <c r="L150" s="4">
        <f t="shared" si="11"/>
        <v>2</v>
      </c>
    </row>
    <row r="151" spans="6:12" x14ac:dyDescent="0.2">
      <c r="F151" s="4">
        <v>4</v>
      </c>
      <c r="G151" s="4">
        <v>3.8888351999999999</v>
      </c>
      <c r="H151" s="4">
        <f t="shared" si="10"/>
        <v>4</v>
      </c>
      <c r="J151" s="4">
        <v>3</v>
      </c>
      <c r="K151" s="4">
        <v>3.7900420000000001</v>
      </c>
      <c r="L151" s="4">
        <f t="shared" si="11"/>
        <v>4</v>
      </c>
    </row>
    <row r="152" spans="6:12" x14ac:dyDescent="0.2">
      <c r="F152" s="4">
        <v>3</v>
      </c>
      <c r="G152" s="4">
        <v>1.7524172</v>
      </c>
      <c r="H152" s="4">
        <f t="shared" si="10"/>
        <v>2</v>
      </c>
      <c r="J152" s="4">
        <v>4</v>
      </c>
      <c r="K152" s="4">
        <v>4.7465577000000003</v>
      </c>
      <c r="L152" s="4">
        <f t="shared" si="11"/>
        <v>5</v>
      </c>
    </row>
    <row r="153" spans="6:12" x14ac:dyDescent="0.2">
      <c r="F153" s="4">
        <v>5</v>
      </c>
      <c r="G153" s="4">
        <v>4.0616263999999997</v>
      </c>
      <c r="H153" s="4">
        <f t="shared" si="10"/>
        <v>4</v>
      </c>
      <c r="J153" s="4">
        <v>2</v>
      </c>
      <c r="K153" s="4">
        <v>2.3241947000000001</v>
      </c>
      <c r="L153" s="4">
        <f t="shared" si="11"/>
        <v>2</v>
      </c>
    </row>
    <row r="154" spans="6:12" x14ac:dyDescent="0.2">
      <c r="F154" s="4">
        <v>4</v>
      </c>
      <c r="G154" s="4">
        <v>3.7914835999999998</v>
      </c>
      <c r="H154" s="4">
        <f t="shared" si="10"/>
        <v>4</v>
      </c>
      <c r="J154" s="4">
        <v>3</v>
      </c>
      <c r="K154" s="4">
        <v>4.1248364000000004</v>
      </c>
      <c r="L154" s="4">
        <f t="shared" si="11"/>
        <v>4</v>
      </c>
    </row>
    <row r="155" spans="6:12" x14ac:dyDescent="0.2">
      <c r="F155" s="4">
        <v>3</v>
      </c>
      <c r="G155" s="4">
        <v>2.5145578</v>
      </c>
      <c r="H155" s="4">
        <f t="shared" si="10"/>
        <v>3</v>
      </c>
      <c r="J155" s="4">
        <v>3</v>
      </c>
      <c r="K155" s="4">
        <v>3.9134804999999999</v>
      </c>
      <c r="L155" s="4">
        <f t="shared" si="11"/>
        <v>4</v>
      </c>
    </row>
    <row r="156" spans="6:12" x14ac:dyDescent="0.2">
      <c r="F156" s="4">
        <v>5</v>
      </c>
      <c r="G156" s="4">
        <v>4.6571736000000001</v>
      </c>
      <c r="H156" s="4">
        <f t="shared" si="10"/>
        <v>5</v>
      </c>
      <c r="J156" s="4">
        <v>1</v>
      </c>
      <c r="K156" s="4">
        <v>3.8957006999999999</v>
      </c>
      <c r="L156" s="4">
        <f t="shared" si="11"/>
        <v>4</v>
      </c>
    </row>
    <row r="157" spans="6:12" x14ac:dyDescent="0.2">
      <c r="F157" s="4">
        <v>5</v>
      </c>
      <c r="G157" s="4">
        <v>3.6253370999999999</v>
      </c>
      <c r="H157" s="4">
        <f t="shared" si="10"/>
        <v>4</v>
      </c>
      <c r="J157" s="4">
        <v>3</v>
      </c>
      <c r="K157" s="4">
        <v>3.4713664</v>
      </c>
      <c r="L157" s="4">
        <f t="shared" si="11"/>
        <v>3</v>
      </c>
    </row>
    <row r="158" spans="6:12" x14ac:dyDescent="0.2">
      <c r="F158" s="4">
        <v>4</v>
      </c>
      <c r="G158" s="4">
        <v>4.2346763999999997</v>
      </c>
      <c r="H158" s="4">
        <f t="shared" si="10"/>
        <v>4</v>
      </c>
      <c r="J158" s="4">
        <v>5</v>
      </c>
      <c r="K158" s="4">
        <v>4.3296194000000003</v>
      </c>
      <c r="L158" s="4">
        <f t="shared" si="11"/>
        <v>4</v>
      </c>
    </row>
    <row r="159" spans="6:12" x14ac:dyDescent="0.2">
      <c r="F159" s="4">
        <v>4</v>
      </c>
      <c r="G159" s="4">
        <v>3.7994297000000001</v>
      </c>
      <c r="H159" s="4">
        <f t="shared" si="10"/>
        <v>4</v>
      </c>
      <c r="J159" s="4">
        <v>5</v>
      </c>
      <c r="K159" s="4">
        <v>4.2461589999999996</v>
      </c>
      <c r="L159" s="4">
        <f t="shared" si="11"/>
        <v>4</v>
      </c>
    </row>
    <row r="160" spans="6:12" x14ac:dyDescent="0.2">
      <c r="F160" s="4">
        <v>3</v>
      </c>
      <c r="G160" s="4">
        <v>2.8792667000000001</v>
      </c>
      <c r="H160" s="4">
        <f t="shared" si="10"/>
        <v>3</v>
      </c>
      <c r="J160" s="4">
        <v>2</v>
      </c>
      <c r="K160" s="4">
        <v>3.9505792</v>
      </c>
      <c r="L160" s="4">
        <f t="shared" si="11"/>
        <v>4</v>
      </c>
    </row>
    <row r="161" spans="6:12" x14ac:dyDescent="0.2">
      <c r="F161" s="4">
        <v>4</v>
      </c>
      <c r="G161" s="4">
        <v>3.8950076</v>
      </c>
      <c r="H161" s="4">
        <f t="shared" si="10"/>
        <v>4</v>
      </c>
      <c r="J161" s="4">
        <v>3</v>
      </c>
      <c r="K161" s="4">
        <v>4.2785682999999999</v>
      </c>
      <c r="L161" s="4">
        <f t="shared" si="11"/>
        <v>4</v>
      </c>
    </row>
    <row r="162" spans="6:12" x14ac:dyDescent="0.2">
      <c r="F162" s="4">
        <v>1</v>
      </c>
      <c r="G162" s="4">
        <v>1.8811998000000001</v>
      </c>
      <c r="H162" s="4">
        <f t="shared" si="10"/>
        <v>2</v>
      </c>
      <c r="J162" s="4">
        <v>3</v>
      </c>
      <c r="K162" s="4">
        <v>4.1669299999999998</v>
      </c>
      <c r="L162" s="4">
        <f t="shared" si="11"/>
        <v>4</v>
      </c>
    </row>
    <row r="163" spans="6:12" x14ac:dyDescent="0.2">
      <c r="F163" s="4">
        <v>3</v>
      </c>
      <c r="G163" s="4">
        <v>4.3671939999999996</v>
      </c>
      <c r="H163" s="4">
        <f t="shared" si="10"/>
        <v>4</v>
      </c>
      <c r="J163" s="4">
        <v>4</v>
      </c>
      <c r="K163" s="4">
        <v>3.9168531999999998</v>
      </c>
      <c r="L163" s="4">
        <f t="shared" si="11"/>
        <v>4</v>
      </c>
    </row>
    <row r="164" spans="6:12" x14ac:dyDescent="0.2">
      <c r="F164" s="4">
        <v>4</v>
      </c>
      <c r="G164" s="4">
        <v>4.1991496000000001</v>
      </c>
      <c r="H164" s="4">
        <f t="shared" si="10"/>
        <v>4</v>
      </c>
      <c r="J164" s="4">
        <v>1</v>
      </c>
      <c r="K164" s="4">
        <v>4.4579250000000004</v>
      </c>
      <c r="L164" s="4">
        <f t="shared" si="11"/>
        <v>4</v>
      </c>
    </row>
    <row r="165" spans="6:12" x14ac:dyDescent="0.2">
      <c r="F165" s="4">
        <v>4</v>
      </c>
      <c r="G165" s="4">
        <v>4.2046595</v>
      </c>
      <c r="H165" s="4">
        <f t="shared" si="10"/>
        <v>4</v>
      </c>
      <c r="J165" s="4">
        <v>4</v>
      </c>
      <c r="K165" s="4">
        <v>4.0111319999999999</v>
      </c>
      <c r="L165" s="4">
        <f t="shared" si="11"/>
        <v>4</v>
      </c>
    </row>
    <row r="166" spans="6:12" x14ac:dyDescent="0.2">
      <c r="F166" s="4">
        <v>4</v>
      </c>
      <c r="G166" s="4">
        <v>4.2947205999999998</v>
      </c>
      <c r="H166" s="4">
        <f t="shared" si="10"/>
        <v>4</v>
      </c>
      <c r="J166" s="4">
        <v>2</v>
      </c>
      <c r="K166" s="4">
        <v>3.9000279999999998</v>
      </c>
      <c r="L166" s="4">
        <f t="shared" si="11"/>
        <v>4</v>
      </c>
    </row>
    <row r="167" spans="6:12" x14ac:dyDescent="0.2">
      <c r="F167" s="4">
        <v>4</v>
      </c>
      <c r="G167" s="4">
        <v>3.845834</v>
      </c>
      <c r="H167" s="4">
        <f t="shared" si="10"/>
        <v>4</v>
      </c>
      <c r="J167" s="4">
        <v>5</v>
      </c>
      <c r="K167" s="4">
        <v>4.2288876000000002</v>
      </c>
      <c r="L167" s="4">
        <f t="shared" si="11"/>
        <v>4</v>
      </c>
    </row>
    <row r="168" spans="6:12" x14ac:dyDescent="0.2">
      <c r="F168" s="4">
        <v>1</v>
      </c>
      <c r="G168" s="4">
        <v>1.8785034</v>
      </c>
      <c r="H168" s="4">
        <f t="shared" si="10"/>
        <v>2</v>
      </c>
      <c r="J168" s="4">
        <v>4</v>
      </c>
      <c r="K168" s="4">
        <v>4.8760256999999996</v>
      </c>
      <c r="L168" s="4">
        <f t="shared" si="11"/>
        <v>5</v>
      </c>
    </row>
    <row r="169" spans="6:12" x14ac:dyDescent="0.2">
      <c r="F169" s="4">
        <v>5</v>
      </c>
      <c r="G169" s="4">
        <v>4.2050843000000002</v>
      </c>
      <c r="H169" s="4">
        <f t="shared" si="10"/>
        <v>4</v>
      </c>
      <c r="J169" s="4">
        <v>5</v>
      </c>
      <c r="K169" s="4">
        <v>3.5140630000000002</v>
      </c>
      <c r="L169" s="4">
        <f t="shared" si="11"/>
        <v>4</v>
      </c>
    </row>
    <row r="170" spans="6:12" x14ac:dyDescent="0.2">
      <c r="F170" s="4">
        <v>3</v>
      </c>
      <c r="G170" s="4">
        <v>3.0847281999999998</v>
      </c>
      <c r="H170" s="4">
        <f t="shared" si="10"/>
        <v>3</v>
      </c>
      <c r="J170" s="4">
        <v>4</v>
      </c>
      <c r="K170" s="4">
        <v>3.7479789999999999</v>
      </c>
      <c r="L170" s="4">
        <f t="shared" si="11"/>
        <v>4</v>
      </c>
    </row>
    <row r="171" spans="6:12" x14ac:dyDescent="0.2">
      <c r="F171" s="4">
        <v>1</v>
      </c>
      <c r="G171" s="4">
        <v>4.1331480000000003</v>
      </c>
      <c r="H171" s="4">
        <f t="shared" si="10"/>
        <v>4</v>
      </c>
      <c r="J171" s="4">
        <v>3</v>
      </c>
      <c r="K171" s="4">
        <v>4.0062309999999997</v>
      </c>
      <c r="L171" s="4">
        <f t="shared" si="11"/>
        <v>4</v>
      </c>
    </row>
    <row r="172" spans="6:12" x14ac:dyDescent="0.2">
      <c r="F172" s="4">
        <v>5</v>
      </c>
      <c r="G172" s="4">
        <v>3.9320216000000001</v>
      </c>
      <c r="H172" s="4">
        <f t="shared" si="10"/>
        <v>4</v>
      </c>
      <c r="J172" s="4">
        <v>5</v>
      </c>
      <c r="K172" s="4">
        <v>3.8532817000000001</v>
      </c>
      <c r="L172" s="4">
        <f t="shared" si="11"/>
        <v>4</v>
      </c>
    </row>
    <row r="173" spans="6:12" x14ac:dyDescent="0.2">
      <c r="F173" s="4">
        <v>3</v>
      </c>
      <c r="G173" s="4">
        <v>3.9397115999999999</v>
      </c>
      <c r="H173" s="4">
        <f t="shared" si="10"/>
        <v>4</v>
      </c>
      <c r="J173" s="4">
        <v>5</v>
      </c>
      <c r="K173" s="4">
        <v>3.68893</v>
      </c>
      <c r="L173" s="4">
        <f t="shared" si="11"/>
        <v>4</v>
      </c>
    </row>
    <row r="174" spans="6:12" x14ac:dyDescent="0.2">
      <c r="F174" s="4">
        <v>3</v>
      </c>
      <c r="G174" s="4">
        <v>3.609381</v>
      </c>
      <c r="H174" s="4">
        <f t="shared" si="10"/>
        <v>4</v>
      </c>
      <c r="J174" s="4">
        <v>5</v>
      </c>
      <c r="K174" s="4">
        <v>4.2871639999999998</v>
      </c>
      <c r="L174" s="4">
        <f t="shared" si="11"/>
        <v>4</v>
      </c>
    </row>
    <row r="175" spans="6:12" x14ac:dyDescent="0.2">
      <c r="F175" s="4">
        <v>4</v>
      </c>
      <c r="G175" s="4">
        <v>3.3380641999999998</v>
      </c>
      <c r="H175" s="4">
        <f t="shared" si="10"/>
        <v>3</v>
      </c>
      <c r="J175" s="4">
        <v>1</v>
      </c>
      <c r="K175" s="4">
        <v>1.3213549</v>
      </c>
      <c r="L175" s="4">
        <f t="shared" si="11"/>
        <v>1</v>
      </c>
    </row>
    <row r="176" spans="6:12" x14ac:dyDescent="0.2">
      <c r="F176" s="4">
        <v>4</v>
      </c>
      <c r="G176" s="4">
        <v>3.5137732000000002</v>
      </c>
      <c r="H176" s="4">
        <f t="shared" si="10"/>
        <v>4</v>
      </c>
      <c r="J176" s="4">
        <v>3</v>
      </c>
      <c r="K176" s="4">
        <v>3.3836560000000002</v>
      </c>
      <c r="L176" s="4">
        <f t="shared" si="11"/>
        <v>3</v>
      </c>
    </row>
    <row r="177" spans="6:12" x14ac:dyDescent="0.2">
      <c r="F177" s="4">
        <v>4</v>
      </c>
      <c r="G177" s="4">
        <v>3.9578259999999998</v>
      </c>
      <c r="H177" s="4">
        <f t="shared" si="10"/>
        <v>4</v>
      </c>
      <c r="J177" s="4">
        <v>4</v>
      </c>
      <c r="K177" s="4">
        <v>4.0451373999999998</v>
      </c>
      <c r="L177" s="4">
        <f t="shared" si="11"/>
        <v>4</v>
      </c>
    </row>
    <row r="178" spans="6:12" x14ac:dyDescent="0.2">
      <c r="F178" s="4">
        <v>5</v>
      </c>
      <c r="G178" s="4">
        <v>4.3310884999999999</v>
      </c>
      <c r="H178" s="4">
        <f t="shared" si="10"/>
        <v>4</v>
      </c>
      <c r="J178" s="4">
        <v>4</v>
      </c>
      <c r="K178" s="4">
        <v>3.6400975999999998</v>
      </c>
      <c r="L178" s="4">
        <f t="shared" si="11"/>
        <v>4</v>
      </c>
    </row>
    <row r="179" spans="6:12" x14ac:dyDescent="0.2">
      <c r="F179" s="4">
        <v>3</v>
      </c>
      <c r="G179" s="4">
        <v>3.8903889999999999</v>
      </c>
      <c r="H179" s="4">
        <f t="shared" si="10"/>
        <v>4</v>
      </c>
      <c r="J179" s="4">
        <v>5</v>
      </c>
      <c r="K179" s="4">
        <v>3.0339684</v>
      </c>
      <c r="L179" s="4">
        <f t="shared" si="11"/>
        <v>3</v>
      </c>
    </row>
    <row r="180" spans="6:12" x14ac:dyDescent="0.2">
      <c r="F180" s="4">
        <v>4</v>
      </c>
      <c r="G180" s="4">
        <v>4.2741670000000003</v>
      </c>
      <c r="H180" s="4">
        <f t="shared" si="10"/>
        <v>4</v>
      </c>
      <c r="J180" s="4">
        <v>4</v>
      </c>
      <c r="K180" s="4">
        <v>4.1304654999999997</v>
      </c>
      <c r="L180" s="4">
        <f t="shared" si="11"/>
        <v>4</v>
      </c>
    </row>
    <row r="181" spans="6:12" x14ac:dyDescent="0.2">
      <c r="F181" s="4">
        <v>3</v>
      </c>
      <c r="G181" s="4">
        <v>2.8113983</v>
      </c>
      <c r="H181" s="4">
        <f t="shared" si="10"/>
        <v>3</v>
      </c>
      <c r="J181" s="4">
        <v>1</v>
      </c>
      <c r="K181" s="4">
        <v>2.4960732000000001</v>
      </c>
      <c r="L181" s="4">
        <f t="shared" si="11"/>
        <v>2</v>
      </c>
    </row>
    <row r="182" spans="6:12" x14ac:dyDescent="0.2">
      <c r="F182" s="4">
        <v>2</v>
      </c>
      <c r="G182" s="4">
        <v>4.0090475000000003</v>
      </c>
      <c r="H182" s="4">
        <f t="shared" si="10"/>
        <v>4</v>
      </c>
      <c r="J182" s="4">
        <v>4</v>
      </c>
      <c r="K182" s="4">
        <v>3.9241114000000001</v>
      </c>
      <c r="L182" s="4">
        <f t="shared" si="11"/>
        <v>4</v>
      </c>
    </row>
    <row r="183" spans="6:12" x14ac:dyDescent="0.2">
      <c r="F183" s="4">
        <v>4</v>
      </c>
      <c r="G183" s="4">
        <v>3.5556559999999999</v>
      </c>
      <c r="H183" s="4">
        <f t="shared" si="10"/>
        <v>4</v>
      </c>
      <c r="J183" s="4">
        <v>3</v>
      </c>
      <c r="K183" s="4">
        <v>3.4193031999999999</v>
      </c>
      <c r="L183" s="4">
        <f t="shared" si="11"/>
        <v>3</v>
      </c>
    </row>
    <row r="184" spans="6:12" x14ac:dyDescent="0.2">
      <c r="F184" s="4">
        <v>5</v>
      </c>
      <c r="G184" s="4">
        <v>3.9877033000000002</v>
      </c>
      <c r="H184" s="4">
        <f t="shared" si="10"/>
        <v>4</v>
      </c>
      <c r="J184" s="4">
        <v>4</v>
      </c>
      <c r="K184" s="4">
        <v>3.366641</v>
      </c>
      <c r="L184" s="4">
        <f t="shared" si="11"/>
        <v>3</v>
      </c>
    </row>
    <row r="185" spans="6:12" x14ac:dyDescent="0.2">
      <c r="F185" s="4">
        <v>5</v>
      </c>
      <c r="G185" s="4">
        <v>4.5961843</v>
      </c>
      <c r="H185" s="4">
        <f t="shared" si="10"/>
        <v>5</v>
      </c>
      <c r="J185" s="4">
        <v>5</v>
      </c>
      <c r="K185" s="4">
        <v>4.8107249999999997</v>
      </c>
      <c r="L185" s="4">
        <f t="shared" si="11"/>
        <v>5</v>
      </c>
    </row>
    <row r="186" spans="6:12" x14ac:dyDescent="0.2">
      <c r="F186" s="4">
        <v>4</v>
      </c>
      <c r="G186" s="4">
        <v>3.6658146</v>
      </c>
      <c r="H186" s="4">
        <f t="shared" si="10"/>
        <v>4</v>
      </c>
      <c r="J186" s="4">
        <v>4</v>
      </c>
      <c r="K186" s="4">
        <v>3.5572062</v>
      </c>
      <c r="L186" s="4">
        <f t="shared" si="11"/>
        <v>4</v>
      </c>
    </row>
    <row r="187" spans="6:12" x14ac:dyDescent="0.2">
      <c r="F187" s="4">
        <v>5</v>
      </c>
      <c r="G187" s="4">
        <v>4.6345077000000003</v>
      </c>
      <c r="H187" s="4">
        <f t="shared" si="10"/>
        <v>5</v>
      </c>
      <c r="J187" s="4">
        <v>5</v>
      </c>
      <c r="K187" s="4">
        <v>4.5629</v>
      </c>
      <c r="L187" s="4">
        <f t="shared" si="11"/>
        <v>5</v>
      </c>
    </row>
    <row r="188" spans="6:12" x14ac:dyDescent="0.2">
      <c r="F188" s="4">
        <v>2</v>
      </c>
      <c r="G188" s="4">
        <v>1.8280605999999999</v>
      </c>
      <c r="H188" s="4">
        <f t="shared" si="10"/>
        <v>2</v>
      </c>
      <c r="J188" s="4">
        <v>5</v>
      </c>
      <c r="K188" s="4">
        <v>4.0594596999999997</v>
      </c>
      <c r="L188" s="4">
        <f t="shared" si="11"/>
        <v>4</v>
      </c>
    </row>
    <row r="189" spans="6:12" x14ac:dyDescent="0.2">
      <c r="F189" s="4">
        <v>5</v>
      </c>
      <c r="G189" s="4">
        <v>2.8631799999999998</v>
      </c>
      <c r="H189" s="4">
        <f t="shared" si="10"/>
        <v>3</v>
      </c>
      <c r="J189" s="4">
        <v>3</v>
      </c>
      <c r="K189" s="4">
        <v>3.9211037000000002</v>
      </c>
      <c r="L189" s="4">
        <f t="shared" si="11"/>
        <v>4</v>
      </c>
    </row>
    <row r="190" spans="6:12" x14ac:dyDescent="0.2">
      <c r="F190" s="4">
        <v>4</v>
      </c>
      <c r="G190" s="4">
        <v>4.4457253999999997</v>
      </c>
      <c r="H190" s="4">
        <f t="shared" si="10"/>
        <v>4</v>
      </c>
      <c r="J190" s="4">
        <v>1</v>
      </c>
      <c r="K190" s="4">
        <v>2.1565099999999999</v>
      </c>
      <c r="L190" s="4">
        <f t="shared" si="11"/>
        <v>2</v>
      </c>
    </row>
    <row r="191" spans="6:12" x14ac:dyDescent="0.2">
      <c r="F191" s="4">
        <v>3</v>
      </c>
      <c r="G191" s="4">
        <v>3.5215898000000001</v>
      </c>
      <c r="H191" s="4">
        <f t="shared" si="10"/>
        <v>4</v>
      </c>
      <c r="J191" s="4">
        <v>1</v>
      </c>
      <c r="K191" s="4">
        <v>2.6399089999999998</v>
      </c>
      <c r="L191" s="4">
        <f t="shared" si="11"/>
        <v>3</v>
      </c>
    </row>
    <row r="192" spans="6:12" x14ac:dyDescent="0.2">
      <c r="F192" s="4">
        <v>3</v>
      </c>
      <c r="G192" s="4">
        <v>2.9331225999999999</v>
      </c>
      <c r="H192" s="4">
        <f t="shared" si="10"/>
        <v>3</v>
      </c>
      <c r="J192" s="4">
        <v>3</v>
      </c>
      <c r="K192" s="4">
        <v>2.5317712000000001</v>
      </c>
      <c r="L192" s="4">
        <f t="shared" si="11"/>
        <v>3</v>
      </c>
    </row>
    <row r="193" spans="6:12" x14ac:dyDescent="0.2">
      <c r="F193" s="4">
        <v>4</v>
      </c>
      <c r="G193" s="4">
        <v>4.3345190000000002</v>
      </c>
      <c r="H193" s="4">
        <f t="shared" si="10"/>
        <v>4</v>
      </c>
      <c r="J193" s="4">
        <v>5</v>
      </c>
      <c r="K193" s="4">
        <v>4.0402139999999997</v>
      </c>
      <c r="L193" s="4">
        <f t="shared" si="11"/>
        <v>4</v>
      </c>
    </row>
    <row r="194" spans="6:12" x14ac:dyDescent="0.2">
      <c r="F194" s="4">
        <v>3</v>
      </c>
      <c r="G194" s="4">
        <v>4.3921159999999997</v>
      </c>
      <c r="H194" s="4">
        <f t="shared" si="10"/>
        <v>4</v>
      </c>
      <c r="J194" s="4">
        <v>1</v>
      </c>
      <c r="K194" s="4">
        <v>1.5785849999999999</v>
      </c>
      <c r="L194" s="4">
        <f t="shared" si="11"/>
        <v>2</v>
      </c>
    </row>
    <row r="195" spans="6:12" x14ac:dyDescent="0.2">
      <c r="F195" s="4">
        <v>4</v>
      </c>
      <c r="G195" s="4">
        <v>3.5389607000000001</v>
      </c>
      <c r="H195" s="4">
        <f t="shared" si="10"/>
        <v>4</v>
      </c>
      <c r="J195" s="4">
        <v>4</v>
      </c>
      <c r="K195" s="4">
        <v>3.9697409000000001</v>
      </c>
      <c r="L195" s="4">
        <f t="shared" si="11"/>
        <v>4</v>
      </c>
    </row>
    <row r="196" spans="6:12" x14ac:dyDescent="0.2">
      <c r="F196" s="4">
        <v>5</v>
      </c>
      <c r="G196" s="4">
        <v>3.2122860000000002</v>
      </c>
      <c r="H196" s="4">
        <f t="shared" si="10"/>
        <v>3</v>
      </c>
      <c r="J196" s="4">
        <v>4</v>
      </c>
      <c r="K196" s="4">
        <v>2.8870168</v>
      </c>
      <c r="L196" s="4">
        <f t="shared" si="11"/>
        <v>3</v>
      </c>
    </row>
    <row r="197" spans="6:12" x14ac:dyDescent="0.2">
      <c r="F197" s="4">
        <v>1</v>
      </c>
      <c r="G197" s="4">
        <v>2.3941648</v>
      </c>
      <c r="H197" s="4">
        <f t="shared" si="10"/>
        <v>2</v>
      </c>
      <c r="J197" s="4">
        <v>1</v>
      </c>
      <c r="K197" s="4">
        <v>3.4972759999999998</v>
      </c>
      <c r="L197" s="4">
        <f t="shared" si="11"/>
        <v>3</v>
      </c>
    </row>
    <row r="198" spans="6:12" x14ac:dyDescent="0.2">
      <c r="F198" s="4">
        <v>5</v>
      </c>
      <c r="G198" s="4">
        <v>4.4331019999999999</v>
      </c>
      <c r="H198" s="4">
        <f t="shared" si="10"/>
        <v>4</v>
      </c>
      <c r="J198" s="4">
        <v>5</v>
      </c>
      <c r="K198" s="4">
        <v>4.3220223999999998</v>
      </c>
      <c r="L198" s="4">
        <f t="shared" si="11"/>
        <v>4</v>
      </c>
    </row>
    <row r="199" spans="6:12" x14ac:dyDescent="0.2">
      <c r="F199" s="4">
        <v>1</v>
      </c>
      <c r="G199" s="4">
        <v>2.2734108000000002</v>
      </c>
      <c r="H199" s="4">
        <f t="shared" si="10"/>
        <v>2</v>
      </c>
      <c r="J199" s="4">
        <v>5</v>
      </c>
      <c r="K199" s="4">
        <v>4.5364103</v>
      </c>
      <c r="L199" s="4">
        <f t="shared" si="11"/>
        <v>5</v>
      </c>
    </row>
    <row r="200" spans="6:12" x14ac:dyDescent="0.2">
      <c r="F200" s="4">
        <v>3</v>
      </c>
      <c r="G200" s="4">
        <v>4.2625704000000004</v>
      </c>
      <c r="H200" s="4">
        <f t="shared" si="10"/>
        <v>4</v>
      </c>
      <c r="J200" s="4">
        <v>4</v>
      </c>
      <c r="K200" s="4">
        <v>3.8918244999999998</v>
      </c>
      <c r="L200" s="4">
        <f t="shared" si="11"/>
        <v>4</v>
      </c>
    </row>
    <row r="201" spans="6:12" x14ac:dyDescent="0.2">
      <c r="F201" s="4">
        <v>5</v>
      </c>
      <c r="G201" s="4">
        <v>3.0500910000000001</v>
      </c>
      <c r="H201" s="4">
        <f t="shared" ref="H201:H264" si="12">IF(G201&lt;0.5, 0, IF(G201&lt;1.5, 1, IF(G201&lt;2.5, 2, IF(G201&lt;3.5, 3, IF(G201&lt;4.5, 4, 5)))))</f>
        <v>3</v>
      </c>
      <c r="J201" s="4">
        <v>4</v>
      </c>
      <c r="K201" s="4">
        <v>4.2521560000000003</v>
      </c>
      <c r="L201" s="4">
        <f t="shared" ref="L201:L264" si="13">IF(K201&lt;0.5, 0, IF(K201&lt;1.5, 1, IF(K201&lt;2.5, 2, IF(K201&lt;3.5, 3, IF(K201&lt;4.5, 4, 5)))))</f>
        <v>4</v>
      </c>
    </row>
    <row r="202" spans="6:12" x14ac:dyDescent="0.2">
      <c r="F202" s="4">
        <v>3</v>
      </c>
      <c r="G202" s="4">
        <v>2.2085881000000001</v>
      </c>
      <c r="H202" s="4">
        <f t="shared" si="12"/>
        <v>2</v>
      </c>
      <c r="J202" s="4">
        <v>2</v>
      </c>
      <c r="K202" s="4">
        <v>2.6707079999999999</v>
      </c>
      <c r="L202" s="4">
        <f t="shared" si="13"/>
        <v>3</v>
      </c>
    </row>
    <row r="203" spans="6:12" x14ac:dyDescent="0.2">
      <c r="F203" s="4">
        <v>5</v>
      </c>
      <c r="G203" s="4">
        <v>4.0567083000000004</v>
      </c>
      <c r="H203" s="4">
        <f t="shared" si="12"/>
        <v>4</v>
      </c>
      <c r="J203" s="4">
        <v>3</v>
      </c>
      <c r="K203" s="4">
        <v>3.5799932000000001</v>
      </c>
      <c r="L203" s="4">
        <f t="shared" si="13"/>
        <v>4</v>
      </c>
    </row>
    <row r="204" spans="6:12" x14ac:dyDescent="0.2">
      <c r="F204" s="4">
        <v>4</v>
      </c>
      <c r="G204" s="4">
        <v>3.3833988000000002</v>
      </c>
      <c r="H204" s="4">
        <f t="shared" si="12"/>
        <v>3</v>
      </c>
      <c r="J204" s="4">
        <v>1</v>
      </c>
      <c r="K204" s="4">
        <v>2.4973326</v>
      </c>
      <c r="L204" s="4">
        <f t="shared" si="13"/>
        <v>2</v>
      </c>
    </row>
    <row r="205" spans="6:12" x14ac:dyDescent="0.2">
      <c r="F205" s="4">
        <v>4</v>
      </c>
      <c r="G205" s="4">
        <v>3.1348612</v>
      </c>
      <c r="H205" s="4">
        <f t="shared" si="12"/>
        <v>3</v>
      </c>
      <c r="J205" s="4">
        <v>5</v>
      </c>
      <c r="K205" s="4">
        <v>1.5542122</v>
      </c>
      <c r="L205" s="4">
        <f t="shared" si="13"/>
        <v>2</v>
      </c>
    </row>
    <row r="206" spans="6:12" x14ac:dyDescent="0.2">
      <c r="F206" s="4">
        <v>2</v>
      </c>
      <c r="G206" s="4">
        <v>3.978523</v>
      </c>
      <c r="H206" s="4">
        <f t="shared" si="12"/>
        <v>4</v>
      </c>
      <c r="J206" s="4">
        <v>1</v>
      </c>
      <c r="K206" s="4">
        <v>4.0616390000000004</v>
      </c>
      <c r="L206" s="4">
        <f t="shared" si="13"/>
        <v>4</v>
      </c>
    </row>
    <row r="207" spans="6:12" x14ac:dyDescent="0.2">
      <c r="F207" s="4">
        <v>2</v>
      </c>
      <c r="G207" s="4">
        <v>1.9194077</v>
      </c>
      <c r="H207" s="4">
        <f t="shared" si="12"/>
        <v>2</v>
      </c>
      <c r="J207" s="4">
        <v>1</v>
      </c>
      <c r="K207" s="4">
        <v>2.0402</v>
      </c>
      <c r="L207" s="4">
        <f t="shared" si="13"/>
        <v>2</v>
      </c>
    </row>
    <row r="208" spans="6:12" x14ac:dyDescent="0.2">
      <c r="F208" s="4">
        <v>2</v>
      </c>
      <c r="G208" s="4">
        <v>3.1309783000000002</v>
      </c>
      <c r="H208" s="4">
        <f t="shared" si="12"/>
        <v>3</v>
      </c>
      <c r="J208" s="4">
        <v>4</v>
      </c>
      <c r="K208" s="4">
        <v>4.0600804999999998</v>
      </c>
      <c r="L208" s="4">
        <f t="shared" si="13"/>
        <v>4</v>
      </c>
    </row>
    <row r="209" spans="6:12" x14ac:dyDescent="0.2">
      <c r="F209" s="4">
        <v>2</v>
      </c>
      <c r="G209" s="4">
        <v>2.0645007999999998</v>
      </c>
      <c r="H209" s="4">
        <f t="shared" si="12"/>
        <v>2</v>
      </c>
      <c r="J209" s="4">
        <v>4</v>
      </c>
      <c r="K209" s="4">
        <v>2.0103054</v>
      </c>
      <c r="L209" s="4">
        <f t="shared" si="13"/>
        <v>2</v>
      </c>
    </row>
    <row r="210" spans="6:12" x14ac:dyDescent="0.2">
      <c r="F210" s="4">
        <v>4</v>
      </c>
      <c r="G210" s="4">
        <v>4.0148960000000002</v>
      </c>
      <c r="H210" s="4">
        <f t="shared" si="12"/>
        <v>4</v>
      </c>
      <c r="J210" s="4">
        <v>5</v>
      </c>
      <c r="K210" s="4">
        <v>4.2049279999999998</v>
      </c>
      <c r="L210" s="4">
        <f t="shared" si="13"/>
        <v>4</v>
      </c>
    </row>
    <row r="211" spans="6:12" x14ac:dyDescent="0.2">
      <c r="F211" s="4">
        <v>2</v>
      </c>
      <c r="G211" s="4">
        <v>3.0503830000000001</v>
      </c>
      <c r="H211" s="4">
        <f t="shared" si="12"/>
        <v>3</v>
      </c>
      <c r="J211" s="4">
        <v>2</v>
      </c>
      <c r="K211" s="4">
        <v>3.8762194999999999</v>
      </c>
      <c r="L211" s="4">
        <f t="shared" si="13"/>
        <v>4</v>
      </c>
    </row>
    <row r="212" spans="6:12" x14ac:dyDescent="0.2">
      <c r="F212" s="4">
        <v>1</v>
      </c>
      <c r="G212" s="4">
        <v>1.2765031</v>
      </c>
      <c r="H212" s="4">
        <f t="shared" si="12"/>
        <v>1</v>
      </c>
      <c r="J212" s="4">
        <v>4</v>
      </c>
      <c r="K212" s="4">
        <v>4.7075032999999999</v>
      </c>
      <c r="L212" s="4">
        <f t="shared" si="13"/>
        <v>5</v>
      </c>
    </row>
    <row r="213" spans="6:12" x14ac:dyDescent="0.2">
      <c r="F213" s="4">
        <v>2</v>
      </c>
      <c r="G213" s="4">
        <v>3.7909513000000001</v>
      </c>
      <c r="H213" s="4">
        <f t="shared" si="12"/>
        <v>4</v>
      </c>
      <c r="J213" s="4">
        <v>3</v>
      </c>
      <c r="K213" s="4">
        <v>4.0710059999999997</v>
      </c>
      <c r="L213" s="4">
        <f t="shared" si="13"/>
        <v>4</v>
      </c>
    </row>
    <row r="214" spans="6:12" x14ac:dyDescent="0.2">
      <c r="F214" s="4">
        <v>2</v>
      </c>
      <c r="G214" s="4">
        <v>3.6706943999999999</v>
      </c>
      <c r="H214" s="4">
        <f t="shared" si="12"/>
        <v>4</v>
      </c>
      <c r="J214" s="4">
        <v>3</v>
      </c>
      <c r="K214" s="4">
        <v>4.6051289999999998</v>
      </c>
      <c r="L214" s="4">
        <f t="shared" si="13"/>
        <v>5</v>
      </c>
    </row>
    <row r="215" spans="6:12" x14ac:dyDescent="0.2">
      <c r="F215" s="4">
        <v>4</v>
      </c>
      <c r="G215" s="4">
        <v>3.7931140000000001</v>
      </c>
      <c r="H215" s="4">
        <f t="shared" si="12"/>
        <v>4</v>
      </c>
      <c r="J215" s="4">
        <v>5</v>
      </c>
      <c r="K215" s="4">
        <v>4.0269430000000002</v>
      </c>
      <c r="L215" s="4">
        <f t="shared" si="13"/>
        <v>4</v>
      </c>
    </row>
    <row r="216" spans="6:12" x14ac:dyDescent="0.2">
      <c r="F216" s="4">
        <v>4</v>
      </c>
      <c r="G216" s="4">
        <v>3.4298267</v>
      </c>
      <c r="H216" s="4">
        <f t="shared" si="12"/>
        <v>3</v>
      </c>
      <c r="J216" s="4">
        <v>3</v>
      </c>
      <c r="K216" s="4">
        <v>3.3003979999999999</v>
      </c>
      <c r="L216" s="4">
        <f t="shared" si="13"/>
        <v>3</v>
      </c>
    </row>
    <row r="217" spans="6:12" x14ac:dyDescent="0.2">
      <c r="F217" s="4">
        <v>4</v>
      </c>
      <c r="G217" s="4">
        <v>3.9891991999999998</v>
      </c>
      <c r="H217" s="4">
        <f t="shared" si="12"/>
        <v>4</v>
      </c>
      <c r="J217" s="4">
        <v>5</v>
      </c>
      <c r="K217" s="4">
        <v>4.188383</v>
      </c>
      <c r="L217" s="4">
        <f t="shared" si="13"/>
        <v>4</v>
      </c>
    </row>
    <row r="218" spans="6:12" x14ac:dyDescent="0.2">
      <c r="F218" s="4">
        <v>5</v>
      </c>
      <c r="G218" s="4">
        <v>4.071574</v>
      </c>
      <c r="H218" s="4">
        <f t="shared" si="12"/>
        <v>4</v>
      </c>
      <c r="J218" s="4">
        <v>1</v>
      </c>
      <c r="K218" s="4">
        <v>1.6619832999999999</v>
      </c>
      <c r="L218" s="4">
        <f t="shared" si="13"/>
        <v>2</v>
      </c>
    </row>
    <row r="219" spans="6:12" x14ac:dyDescent="0.2">
      <c r="F219" s="4">
        <v>2</v>
      </c>
      <c r="G219" s="4">
        <v>3.6305227000000002</v>
      </c>
      <c r="H219" s="4">
        <f t="shared" si="12"/>
        <v>4</v>
      </c>
      <c r="J219" s="4">
        <v>3</v>
      </c>
      <c r="K219" s="4">
        <v>3.8747007999999998</v>
      </c>
      <c r="L219" s="4">
        <f t="shared" si="13"/>
        <v>4</v>
      </c>
    </row>
    <row r="220" spans="6:12" x14ac:dyDescent="0.2">
      <c r="F220" s="4">
        <v>3</v>
      </c>
      <c r="G220" s="4">
        <v>4.0297359999999998</v>
      </c>
      <c r="H220" s="4">
        <f t="shared" si="12"/>
        <v>4</v>
      </c>
      <c r="J220" s="4">
        <v>4</v>
      </c>
      <c r="K220" s="4">
        <v>3.9364316000000001</v>
      </c>
      <c r="L220" s="4">
        <f t="shared" si="13"/>
        <v>4</v>
      </c>
    </row>
    <row r="221" spans="6:12" x14ac:dyDescent="0.2">
      <c r="F221" s="4">
        <v>5</v>
      </c>
      <c r="G221" s="4">
        <v>3.6228201000000002</v>
      </c>
      <c r="H221" s="4">
        <f t="shared" si="12"/>
        <v>4</v>
      </c>
      <c r="J221" s="4">
        <v>5</v>
      </c>
      <c r="K221" s="4">
        <v>4.2644380000000002</v>
      </c>
      <c r="L221" s="4">
        <f t="shared" si="13"/>
        <v>4</v>
      </c>
    </row>
    <row r="222" spans="6:12" x14ac:dyDescent="0.2">
      <c r="F222" s="4">
        <v>3</v>
      </c>
      <c r="G222" s="4">
        <v>4.225873</v>
      </c>
      <c r="H222" s="4">
        <f t="shared" si="12"/>
        <v>4</v>
      </c>
      <c r="J222" s="4">
        <v>4</v>
      </c>
      <c r="K222" s="4">
        <v>3.8367083000000002</v>
      </c>
      <c r="L222" s="4">
        <f t="shared" si="13"/>
        <v>4</v>
      </c>
    </row>
    <row r="223" spans="6:12" x14ac:dyDescent="0.2">
      <c r="F223" s="4">
        <v>3</v>
      </c>
      <c r="G223" s="4">
        <v>2.3956213000000002</v>
      </c>
      <c r="H223" s="4">
        <f t="shared" si="12"/>
        <v>2</v>
      </c>
      <c r="J223" s="4">
        <v>4</v>
      </c>
      <c r="K223" s="4">
        <v>4.5718082999999998</v>
      </c>
      <c r="L223" s="4">
        <f t="shared" si="13"/>
        <v>5</v>
      </c>
    </row>
    <row r="224" spans="6:12" x14ac:dyDescent="0.2">
      <c r="F224" s="4">
        <v>3</v>
      </c>
      <c r="G224" s="4">
        <v>3.1893596999999998</v>
      </c>
      <c r="H224" s="4">
        <f t="shared" si="12"/>
        <v>3</v>
      </c>
      <c r="J224" s="4">
        <v>3</v>
      </c>
      <c r="K224" s="4">
        <v>4.3972892999999997</v>
      </c>
      <c r="L224" s="4">
        <f t="shared" si="13"/>
        <v>4</v>
      </c>
    </row>
    <row r="225" spans="6:12" x14ac:dyDescent="0.2">
      <c r="F225" s="4">
        <v>5</v>
      </c>
      <c r="G225" s="4">
        <v>4.1034220000000001</v>
      </c>
      <c r="H225" s="4">
        <f t="shared" si="12"/>
        <v>4</v>
      </c>
      <c r="J225" s="4">
        <v>2</v>
      </c>
      <c r="K225" s="4">
        <v>1.2904367000000001</v>
      </c>
      <c r="L225" s="4">
        <f t="shared" si="13"/>
        <v>1</v>
      </c>
    </row>
    <row r="226" spans="6:12" x14ac:dyDescent="0.2">
      <c r="F226" s="4">
        <v>5</v>
      </c>
      <c r="G226" s="4">
        <v>3.0536439999999998</v>
      </c>
      <c r="H226" s="4">
        <f t="shared" si="12"/>
        <v>3</v>
      </c>
      <c r="J226" s="4">
        <v>5</v>
      </c>
      <c r="K226" s="4">
        <v>4.5427074000000003</v>
      </c>
      <c r="L226" s="4">
        <f t="shared" si="13"/>
        <v>5</v>
      </c>
    </row>
    <row r="227" spans="6:12" x14ac:dyDescent="0.2">
      <c r="F227" s="4">
        <v>4</v>
      </c>
      <c r="G227" s="4">
        <v>3.6064216999999998</v>
      </c>
      <c r="H227" s="4">
        <f t="shared" si="12"/>
        <v>4</v>
      </c>
      <c r="J227" s="4">
        <v>2</v>
      </c>
      <c r="K227" s="4">
        <v>2.6398556000000002</v>
      </c>
      <c r="L227" s="4">
        <f t="shared" si="13"/>
        <v>3</v>
      </c>
    </row>
    <row r="228" spans="6:12" x14ac:dyDescent="0.2">
      <c r="F228" s="4">
        <v>5</v>
      </c>
      <c r="G228" s="4">
        <v>4.2721724999999999</v>
      </c>
      <c r="H228" s="4">
        <f t="shared" si="12"/>
        <v>4</v>
      </c>
      <c r="J228" s="4">
        <v>1</v>
      </c>
      <c r="K228" s="4">
        <v>1.2928991000000001</v>
      </c>
      <c r="L228" s="4">
        <f t="shared" si="13"/>
        <v>1</v>
      </c>
    </row>
    <row r="229" spans="6:12" x14ac:dyDescent="0.2">
      <c r="F229" s="4">
        <v>5</v>
      </c>
      <c r="G229" s="4">
        <v>4.3138914000000002</v>
      </c>
      <c r="H229" s="4">
        <f t="shared" si="12"/>
        <v>4</v>
      </c>
      <c r="J229" s="4">
        <v>4</v>
      </c>
      <c r="K229" s="4">
        <v>4.0517782999999996</v>
      </c>
      <c r="L229" s="4">
        <f t="shared" si="13"/>
        <v>4</v>
      </c>
    </row>
    <row r="230" spans="6:12" x14ac:dyDescent="0.2">
      <c r="F230" s="4">
        <v>5</v>
      </c>
      <c r="G230" s="4">
        <v>3.9880049999999998</v>
      </c>
      <c r="H230" s="4">
        <f t="shared" si="12"/>
        <v>4</v>
      </c>
      <c r="J230" s="4">
        <v>1</v>
      </c>
      <c r="K230" s="4">
        <v>2.8682055000000002</v>
      </c>
      <c r="L230" s="4">
        <f t="shared" si="13"/>
        <v>3</v>
      </c>
    </row>
    <row r="231" spans="6:12" x14ac:dyDescent="0.2">
      <c r="F231" s="4">
        <v>4</v>
      </c>
      <c r="G231" s="4">
        <v>4.0962787000000001</v>
      </c>
      <c r="H231" s="4">
        <f t="shared" si="12"/>
        <v>4</v>
      </c>
      <c r="J231" s="4">
        <v>5</v>
      </c>
      <c r="K231" s="4">
        <v>3.3514545</v>
      </c>
      <c r="L231" s="4">
        <f t="shared" si="13"/>
        <v>3</v>
      </c>
    </row>
    <row r="232" spans="6:12" x14ac:dyDescent="0.2">
      <c r="F232" s="4">
        <v>2</v>
      </c>
      <c r="G232" s="4">
        <v>2.4020393000000002</v>
      </c>
      <c r="H232" s="4">
        <f t="shared" si="12"/>
        <v>2</v>
      </c>
      <c r="J232" s="4">
        <v>2</v>
      </c>
      <c r="K232" s="4">
        <v>3.6463263000000001</v>
      </c>
      <c r="L232" s="4">
        <f t="shared" si="13"/>
        <v>4</v>
      </c>
    </row>
    <row r="233" spans="6:12" x14ac:dyDescent="0.2">
      <c r="F233" s="4">
        <v>5</v>
      </c>
      <c r="G233" s="4">
        <v>3.4330113</v>
      </c>
      <c r="H233" s="4">
        <f t="shared" si="12"/>
        <v>3</v>
      </c>
      <c r="J233" s="4">
        <v>4</v>
      </c>
      <c r="K233" s="4">
        <v>4.4447856000000003</v>
      </c>
      <c r="L233" s="4">
        <f t="shared" si="13"/>
        <v>4</v>
      </c>
    </row>
    <row r="234" spans="6:12" x14ac:dyDescent="0.2">
      <c r="F234" s="4">
        <v>4</v>
      </c>
      <c r="G234" s="4">
        <v>3.0272472000000001</v>
      </c>
      <c r="H234" s="4">
        <f t="shared" si="12"/>
        <v>3</v>
      </c>
      <c r="J234" s="4">
        <v>1</v>
      </c>
      <c r="K234" s="4">
        <v>3.6418504999999999</v>
      </c>
      <c r="L234" s="4">
        <f t="shared" si="13"/>
        <v>4</v>
      </c>
    </row>
    <row r="235" spans="6:12" x14ac:dyDescent="0.2">
      <c r="F235" s="4">
        <v>1</v>
      </c>
      <c r="G235" s="4">
        <v>3.1269841</v>
      </c>
      <c r="H235" s="4">
        <f t="shared" si="12"/>
        <v>3</v>
      </c>
      <c r="J235" s="4">
        <v>5</v>
      </c>
      <c r="K235" s="4">
        <v>4.0005755000000001</v>
      </c>
      <c r="L235" s="4">
        <f t="shared" si="13"/>
        <v>4</v>
      </c>
    </row>
    <row r="236" spans="6:12" x14ac:dyDescent="0.2">
      <c r="F236" s="4">
        <v>4</v>
      </c>
      <c r="G236" s="4">
        <v>3.3729429999999998</v>
      </c>
      <c r="H236" s="4">
        <f t="shared" si="12"/>
        <v>3</v>
      </c>
      <c r="J236" s="4">
        <v>5</v>
      </c>
      <c r="K236" s="4">
        <v>3.7060882999999998</v>
      </c>
      <c r="L236" s="4">
        <f t="shared" si="13"/>
        <v>4</v>
      </c>
    </row>
    <row r="237" spans="6:12" x14ac:dyDescent="0.2">
      <c r="F237" s="4">
        <v>4</v>
      </c>
      <c r="G237" s="4">
        <v>3.6373725000000001</v>
      </c>
      <c r="H237" s="4">
        <f t="shared" si="12"/>
        <v>4</v>
      </c>
      <c r="J237" s="4">
        <v>4</v>
      </c>
      <c r="K237" s="4">
        <v>3.7152047000000001</v>
      </c>
      <c r="L237" s="4">
        <f t="shared" si="13"/>
        <v>4</v>
      </c>
    </row>
    <row r="238" spans="6:12" x14ac:dyDescent="0.2">
      <c r="F238" s="4">
        <v>5</v>
      </c>
      <c r="G238" s="4">
        <v>3.4731429</v>
      </c>
      <c r="H238" s="4">
        <f t="shared" si="12"/>
        <v>3</v>
      </c>
      <c r="J238" s="4">
        <v>4</v>
      </c>
      <c r="K238" s="4">
        <v>3.2977354999999999</v>
      </c>
      <c r="L238" s="4">
        <f t="shared" si="13"/>
        <v>3</v>
      </c>
    </row>
    <row r="239" spans="6:12" x14ac:dyDescent="0.2">
      <c r="F239" s="4">
        <v>4</v>
      </c>
      <c r="G239" s="4">
        <v>4.3209080000000002</v>
      </c>
      <c r="H239" s="4">
        <f t="shared" si="12"/>
        <v>4</v>
      </c>
      <c r="J239" s="4">
        <v>4</v>
      </c>
      <c r="K239" s="4">
        <v>4.0950046000000002</v>
      </c>
      <c r="L239" s="4">
        <f t="shared" si="13"/>
        <v>4</v>
      </c>
    </row>
    <row r="240" spans="6:12" x14ac:dyDescent="0.2">
      <c r="F240" s="4">
        <v>3</v>
      </c>
      <c r="G240" s="4">
        <v>3.8620644</v>
      </c>
      <c r="H240" s="4">
        <f t="shared" si="12"/>
        <v>4</v>
      </c>
      <c r="J240" s="4">
        <v>3</v>
      </c>
      <c r="K240" s="4">
        <v>3.0546669999999998</v>
      </c>
      <c r="L240" s="4">
        <f t="shared" si="13"/>
        <v>3</v>
      </c>
    </row>
    <row r="241" spans="6:12" x14ac:dyDescent="0.2">
      <c r="F241" s="4">
        <v>5</v>
      </c>
      <c r="G241" s="4">
        <v>4.0318737000000002</v>
      </c>
      <c r="H241" s="4">
        <f t="shared" si="12"/>
        <v>4</v>
      </c>
      <c r="J241" s="4">
        <v>1</v>
      </c>
      <c r="K241" s="4">
        <v>4.1752669999999998</v>
      </c>
      <c r="L241" s="4">
        <f t="shared" si="13"/>
        <v>4</v>
      </c>
    </row>
    <row r="242" spans="6:12" x14ac:dyDescent="0.2">
      <c r="F242" s="4">
        <v>5</v>
      </c>
      <c r="G242" s="4">
        <v>4.1882714999999999</v>
      </c>
      <c r="H242" s="4">
        <f t="shared" si="12"/>
        <v>4</v>
      </c>
      <c r="J242" s="4">
        <v>4</v>
      </c>
      <c r="K242" s="4">
        <v>3.4548206000000001</v>
      </c>
      <c r="L242" s="4">
        <f t="shared" si="13"/>
        <v>3</v>
      </c>
    </row>
    <row r="243" spans="6:12" x14ac:dyDescent="0.2">
      <c r="F243" s="4">
        <v>5</v>
      </c>
      <c r="G243" s="4">
        <v>4.4065814000000003</v>
      </c>
      <c r="H243" s="4">
        <f t="shared" si="12"/>
        <v>4</v>
      </c>
      <c r="J243" s="4">
        <v>2</v>
      </c>
      <c r="K243" s="4">
        <v>3.787115</v>
      </c>
      <c r="L243" s="4">
        <f t="shared" si="13"/>
        <v>4</v>
      </c>
    </row>
    <row r="244" spans="6:12" x14ac:dyDescent="0.2">
      <c r="F244" s="4">
        <v>3</v>
      </c>
      <c r="G244" s="4">
        <v>3.9848495000000002</v>
      </c>
      <c r="H244" s="4">
        <f t="shared" si="12"/>
        <v>4</v>
      </c>
      <c r="J244" s="4">
        <v>2</v>
      </c>
      <c r="K244" s="4">
        <v>2.8300106999999999</v>
      </c>
      <c r="L244" s="4">
        <f t="shared" si="13"/>
        <v>3</v>
      </c>
    </row>
    <row r="245" spans="6:12" x14ac:dyDescent="0.2">
      <c r="F245" s="4">
        <v>4</v>
      </c>
      <c r="G245" s="4">
        <v>3.8258573999999999</v>
      </c>
      <c r="H245" s="4">
        <f t="shared" si="12"/>
        <v>4</v>
      </c>
      <c r="J245" s="4">
        <v>5</v>
      </c>
      <c r="K245" s="4">
        <v>4.4455070000000001</v>
      </c>
      <c r="L245" s="4">
        <f t="shared" si="13"/>
        <v>4</v>
      </c>
    </row>
    <row r="246" spans="6:12" x14ac:dyDescent="0.2">
      <c r="F246" s="4">
        <v>3</v>
      </c>
      <c r="G246" s="4">
        <v>3.1216865</v>
      </c>
      <c r="H246" s="4">
        <f t="shared" si="12"/>
        <v>3</v>
      </c>
      <c r="J246" s="4">
        <v>1</v>
      </c>
      <c r="K246" s="4">
        <v>2.4301192999999999</v>
      </c>
      <c r="L246" s="4">
        <f t="shared" si="13"/>
        <v>2</v>
      </c>
    </row>
    <row r="247" spans="6:12" x14ac:dyDescent="0.2">
      <c r="F247" s="4">
        <v>4</v>
      </c>
      <c r="G247" s="4">
        <v>3.6343383999999999</v>
      </c>
      <c r="H247" s="4">
        <f t="shared" si="12"/>
        <v>4</v>
      </c>
      <c r="J247" s="4">
        <v>3</v>
      </c>
      <c r="K247" s="4">
        <v>3.5994842</v>
      </c>
      <c r="L247" s="4">
        <f t="shared" si="13"/>
        <v>4</v>
      </c>
    </row>
    <row r="248" spans="6:12" x14ac:dyDescent="0.2">
      <c r="F248" s="4">
        <v>4</v>
      </c>
      <c r="G248" s="4">
        <v>4.3732420000000003</v>
      </c>
      <c r="H248" s="4">
        <f t="shared" si="12"/>
        <v>4</v>
      </c>
      <c r="J248" s="4">
        <v>4</v>
      </c>
      <c r="K248" s="4">
        <v>3.6084228</v>
      </c>
      <c r="L248" s="4">
        <f t="shared" si="13"/>
        <v>4</v>
      </c>
    </row>
    <row r="249" spans="6:12" x14ac:dyDescent="0.2">
      <c r="F249" s="4">
        <v>2</v>
      </c>
      <c r="G249" s="4">
        <v>1.7171216</v>
      </c>
      <c r="H249" s="4">
        <f t="shared" si="12"/>
        <v>2</v>
      </c>
      <c r="J249" s="4">
        <v>4</v>
      </c>
      <c r="K249" s="4">
        <v>4.0399094</v>
      </c>
      <c r="L249" s="4">
        <f t="shared" si="13"/>
        <v>4</v>
      </c>
    </row>
    <row r="250" spans="6:12" x14ac:dyDescent="0.2">
      <c r="F250" s="4">
        <v>4</v>
      </c>
      <c r="G250" s="4">
        <v>4.8582234</v>
      </c>
      <c r="H250" s="4">
        <f t="shared" si="12"/>
        <v>5</v>
      </c>
      <c r="J250" s="4">
        <v>5</v>
      </c>
      <c r="K250" s="4">
        <v>4.6329136000000002</v>
      </c>
      <c r="L250" s="4">
        <f t="shared" si="13"/>
        <v>5</v>
      </c>
    </row>
    <row r="251" spans="6:12" x14ac:dyDescent="0.2">
      <c r="F251" s="4">
        <v>5</v>
      </c>
      <c r="G251" s="4">
        <v>4.3223729999999998</v>
      </c>
      <c r="H251" s="4">
        <f t="shared" si="12"/>
        <v>4</v>
      </c>
      <c r="J251" s="4">
        <v>1</v>
      </c>
      <c r="K251" s="4">
        <v>2.8013029999999999</v>
      </c>
      <c r="L251" s="4">
        <f t="shared" si="13"/>
        <v>3</v>
      </c>
    </row>
    <row r="252" spans="6:12" x14ac:dyDescent="0.2">
      <c r="F252" s="4">
        <v>3</v>
      </c>
      <c r="G252" s="4">
        <v>4.0447005999999996</v>
      </c>
      <c r="H252" s="4">
        <f t="shared" si="12"/>
        <v>4</v>
      </c>
      <c r="J252" s="4">
        <v>2</v>
      </c>
      <c r="K252" s="4">
        <v>3.5841590999999999</v>
      </c>
      <c r="L252" s="4">
        <f t="shared" si="13"/>
        <v>4</v>
      </c>
    </row>
    <row r="253" spans="6:12" x14ac:dyDescent="0.2">
      <c r="F253" s="4">
        <v>4</v>
      </c>
      <c r="G253" s="4">
        <v>3.9824625999999999</v>
      </c>
      <c r="H253" s="4">
        <f t="shared" si="12"/>
        <v>4</v>
      </c>
      <c r="J253" s="4">
        <v>3</v>
      </c>
      <c r="K253" s="4">
        <v>2.1010222000000001</v>
      </c>
      <c r="L253" s="4">
        <f t="shared" si="13"/>
        <v>2</v>
      </c>
    </row>
    <row r="254" spans="6:12" x14ac:dyDescent="0.2">
      <c r="F254" s="4">
        <v>4</v>
      </c>
      <c r="G254" s="4">
        <v>3.6727935999999999</v>
      </c>
      <c r="H254" s="4">
        <f t="shared" si="12"/>
        <v>4</v>
      </c>
      <c r="J254" s="4">
        <v>2</v>
      </c>
      <c r="K254" s="4">
        <v>3.5055350000000001</v>
      </c>
      <c r="L254" s="4">
        <f t="shared" si="13"/>
        <v>4</v>
      </c>
    </row>
    <row r="255" spans="6:12" x14ac:dyDescent="0.2">
      <c r="F255" s="4">
        <v>4</v>
      </c>
      <c r="G255" s="4">
        <v>3.2932383999999999</v>
      </c>
      <c r="H255" s="4">
        <f t="shared" si="12"/>
        <v>3</v>
      </c>
      <c r="J255" s="4">
        <v>4</v>
      </c>
      <c r="K255" s="4">
        <v>3.9781718000000001</v>
      </c>
      <c r="L255" s="4">
        <f t="shared" si="13"/>
        <v>4</v>
      </c>
    </row>
    <row r="256" spans="6:12" x14ac:dyDescent="0.2">
      <c r="F256" s="4">
        <v>4</v>
      </c>
      <c r="G256" s="4">
        <v>4.2970420000000003</v>
      </c>
      <c r="H256" s="4">
        <f t="shared" si="12"/>
        <v>4</v>
      </c>
      <c r="J256" s="4">
        <v>4</v>
      </c>
      <c r="K256" s="4">
        <v>2.9668450000000002</v>
      </c>
      <c r="L256" s="4">
        <f t="shared" si="13"/>
        <v>3</v>
      </c>
    </row>
    <row r="257" spans="6:12" x14ac:dyDescent="0.2">
      <c r="F257" s="4">
        <v>2</v>
      </c>
      <c r="G257" s="4">
        <v>3.6867390000000002</v>
      </c>
      <c r="H257" s="4">
        <f t="shared" si="12"/>
        <v>4</v>
      </c>
      <c r="J257" s="4">
        <v>5</v>
      </c>
      <c r="K257" s="4">
        <v>4.4510736</v>
      </c>
      <c r="L257" s="4">
        <f t="shared" si="13"/>
        <v>4</v>
      </c>
    </row>
    <row r="258" spans="6:12" x14ac:dyDescent="0.2">
      <c r="F258" s="4">
        <v>5</v>
      </c>
      <c r="G258" s="4">
        <v>4.0259137000000003</v>
      </c>
      <c r="H258" s="4">
        <f t="shared" si="12"/>
        <v>4</v>
      </c>
      <c r="J258" s="4">
        <v>3</v>
      </c>
      <c r="K258" s="4">
        <v>3.7539872999999999</v>
      </c>
      <c r="L258" s="4">
        <f t="shared" si="13"/>
        <v>4</v>
      </c>
    </row>
    <row r="259" spans="6:12" x14ac:dyDescent="0.2">
      <c r="F259" s="4">
        <v>4</v>
      </c>
      <c r="G259" s="4">
        <v>4.3177576000000002</v>
      </c>
      <c r="H259" s="4">
        <f t="shared" si="12"/>
        <v>4</v>
      </c>
      <c r="J259" s="4">
        <v>4</v>
      </c>
      <c r="K259" s="4">
        <v>2.7997565</v>
      </c>
      <c r="L259" s="4">
        <f t="shared" si="13"/>
        <v>3</v>
      </c>
    </row>
    <row r="260" spans="6:12" x14ac:dyDescent="0.2">
      <c r="F260" s="4">
        <v>4</v>
      </c>
      <c r="G260" s="4">
        <v>4.2163000000000004</v>
      </c>
      <c r="H260" s="4">
        <f t="shared" si="12"/>
        <v>4</v>
      </c>
      <c r="J260" s="4">
        <v>4</v>
      </c>
      <c r="K260" s="4">
        <v>3.7106626</v>
      </c>
      <c r="L260" s="4">
        <f t="shared" si="13"/>
        <v>4</v>
      </c>
    </row>
    <row r="261" spans="6:12" x14ac:dyDescent="0.2">
      <c r="F261" s="4">
        <v>4</v>
      </c>
      <c r="G261" s="4">
        <v>3.8095143</v>
      </c>
      <c r="H261" s="4">
        <f t="shared" si="12"/>
        <v>4</v>
      </c>
      <c r="J261" s="4">
        <v>5</v>
      </c>
      <c r="K261" s="4">
        <v>4.7398559999999996</v>
      </c>
      <c r="L261" s="4">
        <f t="shared" si="13"/>
        <v>5</v>
      </c>
    </row>
    <row r="262" spans="6:12" x14ac:dyDescent="0.2">
      <c r="F262" s="4">
        <v>5</v>
      </c>
      <c r="G262" s="4">
        <v>4.2016989999999996</v>
      </c>
      <c r="H262" s="4">
        <f t="shared" si="12"/>
        <v>4</v>
      </c>
      <c r="J262" s="4">
        <v>5</v>
      </c>
      <c r="K262" s="4">
        <v>4.2080735999999996</v>
      </c>
      <c r="L262" s="4">
        <f t="shared" si="13"/>
        <v>4</v>
      </c>
    </row>
    <row r="263" spans="6:12" x14ac:dyDescent="0.2">
      <c r="F263" s="4">
        <v>5</v>
      </c>
      <c r="G263" s="4">
        <v>4.1422305000000001</v>
      </c>
      <c r="H263" s="4">
        <f t="shared" si="12"/>
        <v>4</v>
      </c>
      <c r="J263" s="4">
        <v>4</v>
      </c>
      <c r="K263" s="4">
        <v>4.7517709999999997</v>
      </c>
      <c r="L263" s="4">
        <f t="shared" si="13"/>
        <v>5</v>
      </c>
    </row>
    <row r="264" spans="6:12" x14ac:dyDescent="0.2">
      <c r="F264" s="4">
        <v>3</v>
      </c>
      <c r="G264" s="4">
        <v>4.455444</v>
      </c>
      <c r="H264" s="4">
        <f t="shared" si="12"/>
        <v>4</v>
      </c>
      <c r="J264" s="4">
        <v>4</v>
      </c>
      <c r="K264" s="4">
        <v>3.8024127000000001</v>
      </c>
      <c r="L264" s="4">
        <f t="shared" si="13"/>
        <v>4</v>
      </c>
    </row>
    <row r="265" spans="6:12" x14ac:dyDescent="0.2">
      <c r="F265" s="4">
        <v>2</v>
      </c>
      <c r="G265" s="4">
        <v>2.1468381999999999</v>
      </c>
      <c r="H265" s="4">
        <f t="shared" ref="H265:H307" si="14">IF(G265&lt;0.5, 0, IF(G265&lt;1.5, 1, IF(G265&lt;2.5, 2, IF(G265&lt;3.5, 3, IF(G265&lt;4.5, 4, 5)))))</f>
        <v>2</v>
      </c>
      <c r="J265" s="4">
        <v>3</v>
      </c>
      <c r="K265" s="4">
        <v>2.9966938000000001</v>
      </c>
      <c r="L265" s="4">
        <f t="shared" ref="L265:L307" si="15">IF(K265&lt;0.5, 0, IF(K265&lt;1.5, 1, IF(K265&lt;2.5, 2, IF(K265&lt;3.5, 3, IF(K265&lt;4.5, 4, 5)))))</f>
        <v>3</v>
      </c>
    </row>
    <row r="266" spans="6:12" x14ac:dyDescent="0.2">
      <c r="F266" s="4">
        <v>3</v>
      </c>
      <c r="G266" s="4">
        <v>3.4787129999999999</v>
      </c>
      <c r="H266" s="4">
        <f t="shared" si="14"/>
        <v>3</v>
      </c>
      <c r="J266" s="4">
        <v>5</v>
      </c>
      <c r="K266" s="4">
        <v>3.7765374</v>
      </c>
      <c r="L266" s="4">
        <f t="shared" si="15"/>
        <v>4</v>
      </c>
    </row>
    <row r="267" spans="6:12" x14ac:dyDescent="0.2">
      <c r="F267" s="4">
        <v>3</v>
      </c>
      <c r="G267" s="4">
        <v>3.6066465000000001</v>
      </c>
      <c r="H267" s="4">
        <f t="shared" si="14"/>
        <v>4</v>
      </c>
      <c r="J267" s="4">
        <v>4</v>
      </c>
      <c r="K267" s="4">
        <v>4.6372565999999997</v>
      </c>
      <c r="L267" s="4">
        <f t="shared" si="15"/>
        <v>5</v>
      </c>
    </row>
    <row r="268" spans="6:12" x14ac:dyDescent="0.2">
      <c r="F268" s="4">
        <v>4</v>
      </c>
      <c r="G268" s="4">
        <v>3.8396509000000001</v>
      </c>
      <c r="H268" s="4">
        <f t="shared" si="14"/>
        <v>4</v>
      </c>
      <c r="J268" s="4">
        <v>3</v>
      </c>
      <c r="K268" s="4">
        <v>3.3596249</v>
      </c>
      <c r="L268" s="4">
        <f t="shared" si="15"/>
        <v>3</v>
      </c>
    </row>
    <row r="269" spans="6:12" x14ac:dyDescent="0.2">
      <c r="F269" s="4">
        <v>2</v>
      </c>
      <c r="G269" s="4">
        <v>3.982583</v>
      </c>
      <c r="H269" s="4">
        <f t="shared" si="14"/>
        <v>4</v>
      </c>
      <c r="J269" s="4">
        <v>4</v>
      </c>
      <c r="K269" s="4">
        <v>3.5444217</v>
      </c>
      <c r="L269" s="4">
        <f t="shared" si="15"/>
        <v>4</v>
      </c>
    </row>
    <row r="270" spans="6:12" x14ac:dyDescent="0.2">
      <c r="F270" s="4">
        <v>4</v>
      </c>
      <c r="G270" s="4">
        <v>3.55816</v>
      </c>
      <c r="H270" s="4">
        <f t="shared" si="14"/>
        <v>4</v>
      </c>
      <c r="J270" s="4">
        <v>4</v>
      </c>
      <c r="K270" s="4">
        <v>3.2053535000000002</v>
      </c>
      <c r="L270" s="4">
        <f t="shared" si="15"/>
        <v>3</v>
      </c>
    </row>
    <row r="271" spans="6:12" x14ac:dyDescent="0.2">
      <c r="F271" s="4">
        <v>2</v>
      </c>
      <c r="G271" s="4">
        <v>3.3114297000000001</v>
      </c>
      <c r="H271" s="4">
        <f t="shared" si="14"/>
        <v>3</v>
      </c>
      <c r="J271" s="4">
        <v>4</v>
      </c>
      <c r="K271" s="4">
        <v>3.9772850000000002</v>
      </c>
      <c r="L271" s="4">
        <f t="shared" si="15"/>
        <v>4</v>
      </c>
    </row>
    <row r="272" spans="6:12" x14ac:dyDescent="0.2">
      <c r="F272" s="4">
        <v>1</v>
      </c>
      <c r="G272" s="4">
        <v>3.9619412000000001</v>
      </c>
      <c r="H272" s="4">
        <f t="shared" si="14"/>
        <v>4</v>
      </c>
      <c r="J272" s="4">
        <v>4</v>
      </c>
      <c r="K272" s="4">
        <v>3.9808764000000001</v>
      </c>
      <c r="L272" s="4">
        <f t="shared" si="15"/>
        <v>4</v>
      </c>
    </row>
    <row r="273" spans="6:12" x14ac:dyDescent="0.2">
      <c r="F273" s="4">
        <v>3</v>
      </c>
      <c r="G273" s="4">
        <v>4.5074433999999997</v>
      </c>
      <c r="H273" s="4">
        <f t="shared" si="14"/>
        <v>5</v>
      </c>
      <c r="J273" s="4">
        <v>4</v>
      </c>
      <c r="K273" s="4">
        <v>3.9682914999999999</v>
      </c>
      <c r="L273" s="4">
        <f t="shared" si="15"/>
        <v>4</v>
      </c>
    </row>
    <row r="274" spans="6:12" x14ac:dyDescent="0.2">
      <c r="F274" s="4">
        <v>4</v>
      </c>
      <c r="G274" s="4">
        <v>3.4903692999999998</v>
      </c>
      <c r="H274" s="4">
        <f t="shared" si="14"/>
        <v>3</v>
      </c>
      <c r="J274" s="4">
        <v>5</v>
      </c>
      <c r="K274" s="4">
        <v>4.1810764999999996</v>
      </c>
      <c r="L274" s="4">
        <f t="shared" si="15"/>
        <v>4</v>
      </c>
    </row>
    <row r="275" spans="6:12" x14ac:dyDescent="0.2">
      <c r="F275" s="4">
        <v>3</v>
      </c>
      <c r="G275" s="4">
        <v>3.2732043000000002</v>
      </c>
      <c r="H275" s="4">
        <f t="shared" si="14"/>
        <v>3</v>
      </c>
      <c r="J275" s="4">
        <v>1</v>
      </c>
      <c r="K275" s="4">
        <v>3.343683</v>
      </c>
      <c r="L275" s="4">
        <f t="shared" si="15"/>
        <v>3</v>
      </c>
    </row>
    <row r="276" spans="6:12" x14ac:dyDescent="0.2">
      <c r="F276" s="4">
        <v>5</v>
      </c>
      <c r="G276" s="4">
        <v>3.8046574999999998</v>
      </c>
      <c r="H276" s="4">
        <f t="shared" si="14"/>
        <v>4</v>
      </c>
      <c r="J276" s="4">
        <v>4</v>
      </c>
      <c r="K276" s="4">
        <v>3.6568149999999999</v>
      </c>
      <c r="L276" s="4">
        <f t="shared" si="15"/>
        <v>4</v>
      </c>
    </row>
    <row r="277" spans="6:12" x14ac:dyDescent="0.2">
      <c r="F277" s="4">
        <v>4</v>
      </c>
      <c r="G277" s="4">
        <v>3.5986087000000002</v>
      </c>
      <c r="H277" s="4">
        <f t="shared" si="14"/>
        <v>4</v>
      </c>
      <c r="J277" s="4">
        <v>5</v>
      </c>
      <c r="K277" s="4">
        <v>4.2823114000000002</v>
      </c>
      <c r="L277" s="4">
        <f t="shared" si="15"/>
        <v>4</v>
      </c>
    </row>
    <row r="278" spans="6:12" x14ac:dyDescent="0.2">
      <c r="F278" s="4">
        <v>4</v>
      </c>
      <c r="G278" s="4">
        <v>3.7227589999999999</v>
      </c>
      <c r="H278" s="4">
        <f t="shared" si="14"/>
        <v>4</v>
      </c>
      <c r="J278" s="4">
        <v>1</v>
      </c>
      <c r="K278" s="4">
        <v>4.3566336999999997</v>
      </c>
      <c r="L278" s="4">
        <f t="shared" si="15"/>
        <v>4</v>
      </c>
    </row>
    <row r="279" spans="6:12" x14ac:dyDescent="0.2">
      <c r="F279" s="4">
        <v>4</v>
      </c>
      <c r="G279" s="4">
        <v>4.4971237000000004</v>
      </c>
      <c r="H279" s="4">
        <f t="shared" si="14"/>
        <v>4</v>
      </c>
      <c r="J279" s="4">
        <v>2</v>
      </c>
      <c r="K279" s="4">
        <v>3.3205464</v>
      </c>
      <c r="L279" s="4">
        <f t="shared" si="15"/>
        <v>3</v>
      </c>
    </row>
    <row r="280" spans="6:12" x14ac:dyDescent="0.2">
      <c r="F280" s="4">
        <v>4</v>
      </c>
      <c r="G280" s="4">
        <v>4.1955020000000003</v>
      </c>
      <c r="H280" s="4">
        <f t="shared" si="14"/>
        <v>4</v>
      </c>
      <c r="J280" s="4">
        <v>5</v>
      </c>
      <c r="K280" s="4">
        <v>4.1799200000000001</v>
      </c>
      <c r="L280" s="4">
        <f t="shared" si="15"/>
        <v>4</v>
      </c>
    </row>
    <row r="281" spans="6:12" x14ac:dyDescent="0.2">
      <c r="F281" s="4">
        <v>5</v>
      </c>
      <c r="G281" s="4">
        <v>3.8521678000000001</v>
      </c>
      <c r="H281" s="4">
        <f t="shared" si="14"/>
        <v>4</v>
      </c>
      <c r="J281" s="4">
        <v>4</v>
      </c>
      <c r="K281" s="4">
        <v>3.6486209999999999</v>
      </c>
      <c r="L281" s="4">
        <f t="shared" si="15"/>
        <v>4</v>
      </c>
    </row>
    <row r="282" spans="6:12" x14ac:dyDescent="0.2">
      <c r="F282" s="4">
        <v>5</v>
      </c>
      <c r="G282" s="4">
        <v>4.6551714000000004</v>
      </c>
      <c r="H282" s="4">
        <f t="shared" si="14"/>
        <v>5</v>
      </c>
      <c r="J282" s="4">
        <v>2</v>
      </c>
      <c r="K282" s="4">
        <v>1.9861906</v>
      </c>
      <c r="L282" s="4">
        <f t="shared" si="15"/>
        <v>2</v>
      </c>
    </row>
    <row r="283" spans="6:12" x14ac:dyDescent="0.2">
      <c r="F283" s="4">
        <v>5</v>
      </c>
      <c r="G283" s="4">
        <v>5.080686</v>
      </c>
      <c r="H283" s="4">
        <f t="shared" si="14"/>
        <v>5</v>
      </c>
      <c r="J283" s="4">
        <v>3</v>
      </c>
      <c r="K283" s="4">
        <v>3.0746560000000001</v>
      </c>
      <c r="L283" s="4">
        <f t="shared" si="15"/>
        <v>3</v>
      </c>
    </row>
    <row r="284" spans="6:12" x14ac:dyDescent="0.2">
      <c r="F284" s="4">
        <v>3</v>
      </c>
      <c r="G284" s="4">
        <v>3.8046047999999999</v>
      </c>
      <c r="H284" s="4">
        <f t="shared" si="14"/>
        <v>4</v>
      </c>
      <c r="J284" s="4">
        <v>4</v>
      </c>
      <c r="K284" s="4">
        <v>4.0368839999999997</v>
      </c>
      <c r="L284" s="4">
        <f t="shared" si="15"/>
        <v>4</v>
      </c>
    </row>
    <row r="285" spans="6:12" x14ac:dyDescent="0.2">
      <c r="F285" s="4">
        <v>3</v>
      </c>
      <c r="G285" s="4">
        <v>3.4957685000000001</v>
      </c>
      <c r="H285" s="4">
        <f t="shared" si="14"/>
        <v>3</v>
      </c>
      <c r="J285" s="4">
        <v>5</v>
      </c>
      <c r="K285" s="4">
        <v>3.4681766000000001</v>
      </c>
      <c r="L285" s="4">
        <f t="shared" si="15"/>
        <v>3</v>
      </c>
    </row>
    <row r="286" spans="6:12" x14ac:dyDescent="0.2">
      <c r="F286" s="4">
        <v>4</v>
      </c>
      <c r="G286" s="4">
        <v>3.5683569999999998</v>
      </c>
      <c r="H286" s="4">
        <f t="shared" si="14"/>
        <v>4</v>
      </c>
      <c r="J286" s="4">
        <v>4</v>
      </c>
      <c r="K286" s="4">
        <v>3.3248221999999998</v>
      </c>
      <c r="L286" s="4">
        <f t="shared" si="15"/>
        <v>3</v>
      </c>
    </row>
    <row r="287" spans="6:12" x14ac:dyDescent="0.2">
      <c r="F287" s="4">
        <v>5</v>
      </c>
      <c r="G287" s="4">
        <v>4.0525479999999998</v>
      </c>
      <c r="H287" s="4">
        <f t="shared" si="14"/>
        <v>4</v>
      </c>
      <c r="J287" s="4">
        <v>4</v>
      </c>
      <c r="K287" s="4">
        <v>3.8267312000000002</v>
      </c>
      <c r="L287" s="4">
        <f t="shared" si="15"/>
        <v>4</v>
      </c>
    </row>
    <row r="288" spans="6:12" x14ac:dyDescent="0.2">
      <c r="F288" s="4">
        <v>4</v>
      </c>
      <c r="G288" s="4">
        <v>4.2954299999999996</v>
      </c>
      <c r="H288" s="4">
        <f t="shared" si="14"/>
        <v>4</v>
      </c>
      <c r="J288" s="4">
        <v>4</v>
      </c>
      <c r="K288" s="4">
        <v>3.9834320000000001</v>
      </c>
      <c r="L288" s="4">
        <f t="shared" si="15"/>
        <v>4</v>
      </c>
    </row>
    <row r="289" spans="6:12" x14ac:dyDescent="0.2">
      <c r="F289" s="4">
        <v>5</v>
      </c>
      <c r="G289" s="4">
        <v>4.0522289999999996</v>
      </c>
      <c r="H289" s="4">
        <f t="shared" si="14"/>
        <v>4</v>
      </c>
      <c r="J289" s="4">
        <v>5</v>
      </c>
      <c r="K289" s="4">
        <v>3.7573376000000001</v>
      </c>
      <c r="L289" s="4">
        <f t="shared" si="15"/>
        <v>4</v>
      </c>
    </row>
    <row r="290" spans="6:12" x14ac:dyDescent="0.2">
      <c r="F290" s="4">
        <v>5</v>
      </c>
      <c r="G290" s="4">
        <v>3.8865694999999998</v>
      </c>
      <c r="H290" s="4">
        <f t="shared" si="14"/>
        <v>4</v>
      </c>
      <c r="J290" s="4">
        <v>3</v>
      </c>
      <c r="K290" s="4">
        <v>3.6901473999999999</v>
      </c>
      <c r="L290" s="4">
        <f t="shared" si="15"/>
        <v>4</v>
      </c>
    </row>
    <row r="291" spans="6:12" x14ac:dyDescent="0.2">
      <c r="F291" s="4">
        <v>4</v>
      </c>
      <c r="G291" s="4">
        <v>4.9960389999999997</v>
      </c>
      <c r="H291" s="4">
        <f t="shared" si="14"/>
        <v>5</v>
      </c>
      <c r="J291" s="4">
        <v>5</v>
      </c>
      <c r="K291" s="4">
        <v>4.6193530000000003</v>
      </c>
      <c r="L291" s="4">
        <f t="shared" si="15"/>
        <v>5</v>
      </c>
    </row>
    <row r="292" spans="6:12" x14ac:dyDescent="0.2">
      <c r="F292" s="4">
        <v>2</v>
      </c>
      <c r="G292" s="4">
        <v>2.661718</v>
      </c>
      <c r="H292" s="4">
        <f t="shared" si="14"/>
        <v>3</v>
      </c>
      <c r="J292" s="4">
        <v>5</v>
      </c>
      <c r="K292" s="4">
        <v>3.5718212</v>
      </c>
      <c r="L292" s="4">
        <f t="shared" si="15"/>
        <v>4</v>
      </c>
    </row>
    <row r="293" spans="6:12" x14ac:dyDescent="0.2">
      <c r="F293" s="4">
        <v>4</v>
      </c>
      <c r="G293" s="4">
        <v>4.6563077000000002</v>
      </c>
      <c r="H293" s="4">
        <f t="shared" si="14"/>
        <v>5</v>
      </c>
      <c r="J293" s="4">
        <v>5</v>
      </c>
      <c r="K293" s="4">
        <v>4.5426187999999996</v>
      </c>
      <c r="L293" s="4">
        <f t="shared" si="15"/>
        <v>5</v>
      </c>
    </row>
    <row r="294" spans="6:12" x14ac:dyDescent="0.2">
      <c r="F294" s="4">
        <v>5</v>
      </c>
      <c r="G294" s="4">
        <v>3.5278450000000001</v>
      </c>
      <c r="H294" s="4">
        <f t="shared" si="14"/>
        <v>4</v>
      </c>
      <c r="J294" s="4">
        <v>2</v>
      </c>
      <c r="K294" s="4">
        <v>3.5047293000000002</v>
      </c>
      <c r="L294" s="4">
        <f t="shared" si="15"/>
        <v>4</v>
      </c>
    </row>
    <row r="295" spans="6:12" x14ac:dyDescent="0.2">
      <c r="F295" s="4">
        <v>1</v>
      </c>
      <c r="G295" s="4">
        <v>3.0282377999999999</v>
      </c>
      <c r="H295" s="4">
        <f t="shared" si="14"/>
        <v>3</v>
      </c>
      <c r="J295" s="4">
        <v>4</v>
      </c>
      <c r="K295" s="4">
        <v>2.9315007</v>
      </c>
      <c r="L295" s="4">
        <f t="shared" si="15"/>
        <v>3</v>
      </c>
    </row>
    <row r="296" spans="6:12" x14ac:dyDescent="0.2">
      <c r="F296" s="4">
        <v>4</v>
      </c>
      <c r="G296" s="4">
        <v>3.8140624000000001</v>
      </c>
      <c r="H296" s="4">
        <f t="shared" si="14"/>
        <v>4</v>
      </c>
      <c r="J296" s="4">
        <v>3</v>
      </c>
      <c r="K296" s="4">
        <v>3.8194568000000002</v>
      </c>
      <c r="L296" s="4">
        <f t="shared" si="15"/>
        <v>4</v>
      </c>
    </row>
    <row r="297" spans="6:12" x14ac:dyDescent="0.2">
      <c r="F297" s="4">
        <v>4</v>
      </c>
      <c r="G297" s="4">
        <v>3.8113869999999999</v>
      </c>
      <c r="H297" s="4">
        <f t="shared" si="14"/>
        <v>4</v>
      </c>
      <c r="J297" s="4">
        <v>5</v>
      </c>
      <c r="K297" s="4">
        <v>4.9578347000000003</v>
      </c>
      <c r="L297" s="4">
        <f t="shared" si="15"/>
        <v>5</v>
      </c>
    </row>
    <row r="298" spans="6:12" x14ac:dyDescent="0.2">
      <c r="F298" s="4">
        <v>4</v>
      </c>
      <c r="G298" s="4">
        <v>3.168104</v>
      </c>
      <c r="H298" s="4">
        <f t="shared" si="14"/>
        <v>3</v>
      </c>
      <c r="J298" s="4">
        <v>3</v>
      </c>
      <c r="K298" s="4">
        <v>3.6671398000000002</v>
      </c>
      <c r="L298" s="4">
        <f t="shared" si="15"/>
        <v>4</v>
      </c>
    </row>
    <row r="299" spans="6:12" x14ac:dyDescent="0.2">
      <c r="F299" s="4">
        <v>5</v>
      </c>
      <c r="G299" s="4">
        <v>4.7209399999999997</v>
      </c>
      <c r="H299" s="4">
        <f t="shared" si="14"/>
        <v>5</v>
      </c>
      <c r="J299" s="4">
        <v>2</v>
      </c>
      <c r="K299" s="4">
        <v>1.9537342</v>
      </c>
      <c r="L299" s="4">
        <f t="shared" si="15"/>
        <v>2</v>
      </c>
    </row>
    <row r="300" spans="6:12" x14ac:dyDescent="0.2">
      <c r="F300" s="4">
        <v>1</v>
      </c>
      <c r="G300" s="4">
        <v>2.5427232000000002</v>
      </c>
      <c r="H300" s="4">
        <f t="shared" si="14"/>
        <v>3</v>
      </c>
      <c r="J300" s="4">
        <v>3</v>
      </c>
      <c r="K300" s="4">
        <v>0.90654564000000004</v>
      </c>
      <c r="L300" s="4">
        <f t="shared" si="15"/>
        <v>1</v>
      </c>
    </row>
    <row r="301" spans="6:12" x14ac:dyDescent="0.2">
      <c r="F301" s="4">
        <v>4</v>
      </c>
      <c r="G301" s="4">
        <v>4.0839113999999999</v>
      </c>
      <c r="H301" s="4">
        <f t="shared" si="14"/>
        <v>4</v>
      </c>
      <c r="J301" s="4">
        <v>5</v>
      </c>
      <c r="K301" s="4">
        <v>4.0645328000000003</v>
      </c>
      <c r="L301" s="4">
        <f t="shared" si="15"/>
        <v>4</v>
      </c>
    </row>
    <row r="302" spans="6:12" x14ac:dyDescent="0.2">
      <c r="F302" s="4">
        <v>3</v>
      </c>
      <c r="G302" s="4">
        <v>3.4531323999999999</v>
      </c>
      <c r="H302" s="4">
        <f t="shared" si="14"/>
        <v>3</v>
      </c>
      <c r="J302" s="4">
        <v>5</v>
      </c>
      <c r="K302" s="4">
        <v>3.9963586000000002</v>
      </c>
      <c r="L302" s="4">
        <f t="shared" si="15"/>
        <v>4</v>
      </c>
    </row>
    <row r="303" spans="6:12" x14ac:dyDescent="0.2">
      <c r="F303" s="4">
        <v>3</v>
      </c>
      <c r="G303" s="4">
        <v>3.4396076</v>
      </c>
      <c r="H303" s="4">
        <f t="shared" si="14"/>
        <v>3</v>
      </c>
      <c r="J303" s="4">
        <v>2</v>
      </c>
      <c r="K303" s="4">
        <v>1.8313657999999999</v>
      </c>
      <c r="L303" s="4">
        <f t="shared" si="15"/>
        <v>2</v>
      </c>
    </row>
    <row r="304" spans="6:12" x14ac:dyDescent="0.2">
      <c r="F304" s="4">
        <v>4</v>
      </c>
      <c r="G304" s="4">
        <v>4.2434187000000003</v>
      </c>
      <c r="H304" s="4">
        <f t="shared" si="14"/>
        <v>4</v>
      </c>
      <c r="J304" s="4">
        <v>5</v>
      </c>
      <c r="K304" s="4">
        <v>4.5191317</v>
      </c>
      <c r="L304" s="4">
        <f t="shared" si="15"/>
        <v>5</v>
      </c>
    </row>
    <row r="305" spans="6:12" x14ac:dyDescent="0.2">
      <c r="F305" s="4">
        <v>5</v>
      </c>
      <c r="G305" s="4">
        <v>4.8783035000000003</v>
      </c>
      <c r="H305" s="4">
        <f t="shared" si="14"/>
        <v>5</v>
      </c>
      <c r="J305" s="4">
        <v>4</v>
      </c>
      <c r="K305" s="4">
        <v>3.3579552000000001</v>
      </c>
      <c r="L305" s="4">
        <f t="shared" si="15"/>
        <v>3</v>
      </c>
    </row>
    <row r="306" spans="6:12" x14ac:dyDescent="0.2">
      <c r="F306" s="4">
        <v>4</v>
      </c>
      <c r="G306" s="4">
        <v>4.1522226</v>
      </c>
      <c r="H306" s="4">
        <f t="shared" si="14"/>
        <v>4</v>
      </c>
      <c r="J306" s="4">
        <v>4</v>
      </c>
      <c r="K306" s="4">
        <v>3.5091771999999999</v>
      </c>
      <c r="L306" s="4">
        <f t="shared" si="15"/>
        <v>4</v>
      </c>
    </row>
    <row r="307" spans="6:12" x14ac:dyDescent="0.2">
      <c r="F307" s="4">
        <v>5</v>
      </c>
      <c r="G307" s="4">
        <v>3.4574449999999999</v>
      </c>
      <c r="H307" s="4">
        <f t="shared" si="14"/>
        <v>3</v>
      </c>
      <c r="J307" s="4">
        <v>4</v>
      </c>
      <c r="K307" s="4">
        <v>4.5515119999999998</v>
      </c>
      <c r="L307" s="4">
        <f t="shared" si="1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Feature dictionary</vt:lpstr>
      <vt:lpstr>Execution planner</vt:lpstr>
      <vt:lpstr>Dashboard</vt:lpstr>
      <vt:lpstr>Inputs &gt;&gt;&gt;</vt:lpstr>
      <vt:lpstr>General inputs</vt:lpstr>
      <vt:lpstr>Train prediction inputs</vt:lpstr>
      <vt:lpstr>Test prediction inputs</vt:lpstr>
      <vt:lpstr>Execution deepdive inputs</vt:lpstr>
      <vt:lpstr>Dropdowns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Pinzón</dc:creator>
  <cp:lastModifiedBy>Iker</cp:lastModifiedBy>
  <dcterms:created xsi:type="dcterms:W3CDTF">2024-04-27T19:15:15Z</dcterms:created>
  <dcterms:modified xsi:type="dcterms:W3CDTF">2026-05-26T16:05:51Z</dcterms:modified>
</cp:coreProperties>
</file>